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פירוק והריסה" state="hidden" r:id="rId7"/>
    <sheet sheetId="5" name="מחיצות והכנות לדלפק" state="hidden" r:id="rId8"/>
    <sheet sheetId="6" name="אינסטלציה ותברואה" state="visible" r:id="rId9"/>
    <sheet sheetId="7" name="חשמל והכנות תקשורת" state="visible" r:id="rId10"/>
    <sheet sheetId="8" name="הכנות רצפה והגבהות" state="hidden" r:id="rId11"/>
    <sheet sheetId="9" name="איטום" state="hidden" r:id="rId12"/>
    <sheet sheetId="10" name="דלתות בחנות או בחדר שירות" state="hidden" r:id="rId13"/>
    <sheet sheetId="11" name="ריצוף וחיפוי הדלפק" state="visible" r:id="rId14"/>
    <sheet sheetId="12" name="תקרה וקרניזים לדוכן" state="hidden" r:id="rId15"/>
    <sheet sheetId="13" name="צבע וגמר" state="hidden" r:id="rId16"/>
    <sheet sheetId="14" name="נגרות ביפרש" state="visible" r:id="rId17"/>
    <sheet sheetId="15" name="מסגרות ביפרש" state="visible" r:id="rId18"/>
    <sheet sheetId="16" name="זיגוג וחופת דלפק" state="visible" r:id="rId19"/>
    <sheet sheetId="17" name="משטחים ודפנות מיוחדים" state="visible" r:id="rId20"/>
    <sheet sheetId="18" name="אספקות גמר נפרדות" state="hidden" r:id="rId21"/>
    <sheet sheetId="19" name="מיזוג ואוורור" state="hidden" r:id="rId22"/>
    <sheet sheetId="20" name="ציוד מטבח ונירוסטה" state="hidden" r:id="rId23"/>
    <sheet sheetId="21" name="הכנות ומערכת גז" state="hidden" r:id="rId24"/>
    <sheet sheetId="22" name="כיבוי וגילוי" state="hidden" r:id="rId25"/>
    <sheet sheetId="23" name="שילוט ומיתוג" state="hidden" r:id="rId26"/>
    <sheet sheetId="24" name="ריהוט נייד" state="hidden" r:id="rId27"/>
    <sheet sheetId="25" name="ריכוז עלויות" state="visible" r:id="rId28"/>
  </sheets>
  <definedNames>
    <definedName name="_xlnm.Print_Area" localSheetId="0">'שער'!$A1:$F13</definedName>
    <definedName name="_xlnm.Print_Area" localSheetId="1">'מקרא והנחיות'!$A1:$F18</definedName>
    <definedName name="_xlnm.Print_Area" localSheetId="3">'פירוק והריסה'!$A1:$F12</definedName>
    <definedName name="_xlnm.Print_Area" localSheetId="4">'מחיצות והכנות לדלפק'!$A1:$F10</definedName>
    <definedName name="_xlnm.Print_Area" localSheetId="5">'אינסטלציה ותברואה'!$A1:$F12</definedName>
    <definedName name="_xlnm.Print_Area" localSheetId="6">'חשמל והכנות תקשורת'!$A1:$F15</definedName>
    <definedName name="_xlnm.Print_Area" localSheetId="7">'הכנות רצפה והגבהות'!$A1:$F7</definedName>
    <definedName name="_xlnm.Print_Area" localSheetId="8">'איטום'!$A1:$F7</definedName>
    <definedName name="_xlnm.Print_Area" localSheetId="9">'דלתות בחנות או בחדר שירות'!$A1:$F7</definedName>
    <definedName name="_xlnm.Print_Area" localSheetId="10">'ריצוף וחיפוי הדלפק'!$A1:$F9</definedName>
    <definedName name="_xlnm.Print_Area" localSheetId="11">'תקרה וקרניזים לדוכן'!$A1:$F8</definedName>
    <definedName name="_xlnm.Print_Area" localSheetId="12">'צבע וגמר'!$A1:$F8</definedName>
    <definedName name="_xlnm.Print_Area" localSheetId="13">'נגרות ביפרש'!$A1:$F11</definedName>
    <definedName name="_xlnm.Print_Area" localSheetId="14">'מסגרות ביפרש'!$A1:$F9</definedName>
    <definedName name="_xlnm.Print_Area" localSheetId="15">'זיגוג וחופת דלפק'!$A1:$F8</definedName>
    <definedName name="_xlnm.Print_Area" localSheetId="16">'משטחים ודפנות מיוחדים'!$A1:$F9</definedName>
    <definedName name="_xlnm.Print_Area" localSheetId="17">'אספקות גמר נפרדות'!$A1:$F9</definedName>
    <definedName name="_xlnm.Print_Area" localSheetId="18">'מיזוג ואוורור'!$A1:$F7</definedName>
    <definedName name="_xlnm.Print_Area" localSheetId="19">'ציוד מטבח ונירוסטה'!$A1:$F7</definedName>
    <definedName name="_xlnm.Print_Area" localSheetId="20">'הכנות ומערכת גז'!$A1:$F7</definedName>
    <definedName name="_xlnm.Print_Area" localSheetId="21">'כיבוי וגילוי'!$A1:$F8</definedName>
    <definedName name="_xlnm.Print_Area" localSheetId="22">'שילוט ומיתוג'!$A1:$F7</definedName>
    <definedName name="_xlnm.Print_Area" localSheetId="23">'ריהוט נייד'!$A1:$F7</definedName>
    <definedName name="_xlnm.Print_Area" localSheetId="24">'ריכוז עלויות'!$A1:$F13</definedName>
  </definedNames>
  <calcPr calcId="171027" fullCalcOnLoad="1"/>
</workbook>
</file>

<file path=xl/sharedStrings.xml><?xml version="1.0" encoding="utf-8"?>
<sst xmlns="http://schemas.openxmlformats.org/spreadsheetml/2006/main" count="770" uniqueCount="328">
  <si>
    <t>פירוט טכני וכתב כמויות</t>
  </si>
  <si>
    <t>בדיקת פרויקט קיים — לפני עדכון הרשת</t>
  </si>
  <si>
    <t/>
  </si>
  <si>
    <t>2026-10-28</t>
  </si>
  <si>
    <t>[לוגו המשרד — להשלמה]</t>
  </si>
  <si>
    <t>נחלת יצחק 34 ת"א | טל- 0505241244</t>
  </si>
  <si>
    <t>spacer</t>
  </si>
  <si>
    <t>מקרא ותוכן עניינים</t>
  </si>
  <si>
    <t>פרק</t>
  </si>
  <si>
    <t>שם הפרק</t>
  </si>
  <si>
    <t>עמוד</t>
  </si>
  <si>
    <t>אינסטלציה ותברואה</t>
  </si>
  <si>
    <t>חשמל והכנות תקשורת</t>
  </si>
  <si>
    <t>ריצוף וחיפוי הדלפק</t>
  </si>
  <si>
    <t>נגרות ביפרש</t>
  </si>
  <si>
    <t>מסגרות ביפרש</t>
  </si>
  <si>
    <t>זיגוג וחופת דלפק</t>
  </si>
  <si>
    <t>משטחים ודפנות מיוחדים</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</si>
  <si>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</si>
  <si>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</si>
  <si>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</si>
  <si>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פרטי ביצוע, מידות, גוונים ודגמים יושלמו לפי מסמכי הפרויקט המאושרים. אין להשתמש בערכים זמניים או במידע מפרויקט קודם כנתוני ביצוע.</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</si>
  <si>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</si>
  <si>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</si>
  <si>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</si>
  <si>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project</t>
  </si>
  <si>
    <t>90bcad17-0fab-46da-8904-1cd08f77c429</t>
  </si>
  <si>
    <t>71f9965f-7b08-4cff-9cc2-3ae2fb32200a</t>
  </si>
  <si>
    <t>bfresh</t>
  </si>
  <si>
    <t>["8e671efc-2407-4740-8644-4a13a382fd40","0ede860a-e79b-414a-bc2a-bfea51abd4ba","d2843933-389d-4e47-81ff-2cfb5d5e6f9d","37643876-9b3b-41c3-8644-0c62d3ec8134","01111d4e-a85d-4b19-97cd-271f13773f90","696ac903-9732-4432-8a8a-18b0ca639827","030fe729-b17d-4d2b-959f-c0d65c92eff8","10963183-5a23-4aa6-9d8e-2b464ab4ff02","4c39765e-67ca-4894-8686-b6cd175f5f6d","da02db1c-a4da-49ee-8840-b26d8eccae48","3bba4889-39cb-4bbe-b4f0-df7b67005730","04127471-4ab4-4055-a5f4-b9401b9d18b7","e53ef5a5-6dc2-4f99-8984-774dd75a0fca","ea0816a7-1115-4109-b4ce-a022a6cc4489","799537dc-5c82-4c22-b534-9ada025cfdaf","ae422d7f-697b-43df-974c-b52dc82612bd","4e12e137-2f1b-4f49-a132-a2787c66ad6e","7df97331-95da-456a-9ddf-5595e1cdb839","de0e5aca-a68e-43aa-9343-cc1dd019e4ab","fa355e7c-82e1-4ef6-bce6-7be7c4a6a8d4","03a96adf-93e5-4675-98fa-9281d67d41fb"]</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</si>
  <si>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</si>
  <si>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</si>
  <si>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והנחיות","cell":"A13"},{"sheet":"מקרא והנחיות","cell":"A14"},{"sheet":"מקרא והנחיות","cell":"A15"},{"sheet":"מקרא והנחיות","cell":"A16"},{"sheet":"מקרא והנחיות","cell":"A17"}]}</t>
  </si>
  <si>
    <t>chapterId</t>
  </si>
  <si>
    <t>sheet</t>
  </si>
  <si>
    <t>active</t>
  </si>
  <si>
    <t>rowIds</t>
  </si>
  <si>
    <t>8e671efc-2407-4740-8644-4a13a382fd40</t>
  </si>
  <si>
    <t>פירוק והריסה</t>
  </si>
  <si>
    <t>["c7634a69-0905-4dfe-8a5d-d9bf1f07ecc8","123a12fb-5e3f-46f0-846a-03446de1b110","d15fbb8e-4651-4bdc-b874-c5126fedd45c","25d6b306-e245-4765-996d-1c9cc621e9c7","0889de03-5361-4ba2-8932-94b48ea50af6","2c6e2cb3-5a42-4dc6-b2de-c5073e491a67","d6fcfa9e-f7b2-45c7-8e7f-6e2e420c2a46","5b2ea549-3d46-479e-9d9b-c0c6574ed22e"]</t>
  </si>
  <si>
    <t>0ede860a-e79b-414a-bc2a-bfea51abd4ba</t>
  </si>
  <si>
    <t>מחיצות והכנות לדלפק</t>
  </si>
  <si>
    <t>["3a094142-e358-43d8-8c8a-b1e3cd773ddb","6e8dbbb2-bb70-47b6-bbb7-eea6ec34e0fd","bb0b944b-04af-481b-966b-99cfe872ddf2","7c3b1ff9-93e7-485e-bb2d-7a9d026c9fd2","ba4217c6-a949-4f00-87f0-0c44102840c0","2652fdbe-5212-4d86-9ebc-b833ddbb50f3"]</t>
  </si>
  <si>
    <t>d2843933-389d-4e47-81ff-2cfb5d5e6f9d</t>
  </si>
  <si>
    <t>["94cd75d9-c1a5-4db9-9d2f-8da61d1f2c9d","5def7872-7eea-4b3a-aede-2cc530b0f9a6","850af88a-9f1a-4815-84af-2239f31178a0","d5b488e3-b9ac-4678-8ba5-e56ebbdd7195","b3b5ba40-7b52-47dc-878a-543ad4ed7bee","b9110f0d-f7b5-4f81-9803-7578ca94d35e","a85cbdf1-03b1-43d5-b955-e46543e08c08","f655665d-0e51-417b-ad78-e834f8b7b69f"]</t>
  </si>
  <si>
    <t>37643876-9b3b-41c3-8644-0c62d3ec8134</t>
  </si>
  <si>
    <t>["b21afd45-1921-4e98-9a20-8b2d7f5237ae","4757a016-d96e-49b0-9b2e-f49f46585837","48fa0bac-116a-47d8-806b-9ca5060bdee2","fbda83c4-2797-4277-89b8-1b19b0f53031","6c2bb26c-0c4e-419c-aa1e-57f2be53118e","c79d1a51-e24c-4417-955f-c8377ef33ce5","cc35be17-571c-4186-a443-0a4e29ae0cea","a44a99f7-54db-455d-8150-e341c1bd0cc1","301991de-51c2-4bf7-b970-876641f4c88d","c29f4b5b-fc0b-4f81-8483-4b9b099e1282","cac6ed55-65d6-427a-bf18-c3052c603848"]</t>
  </si>
  <si>
    <t>01111d4e-a85d-4b19-97cd-271f13773f90</t>
  </si>
  <si>
    <t>הכנות רצפה והגבהות</t>
  </si>
  <si>
    <t>["c4b07803-bd42-47b8-a6b1-897386bd7bf1","35082e91-36a7-40f9-a3f3-98db771f1042"]</t>
  </si>
  <si>
    <t>696ac903-9732-4432-8a8a-18b0ca639827</t>
  </si>
  <si>
    <t>איטום</t>
  </si>
  <si>
    <t>["960ca8df-f870-4587-a82c-6edf7ce1005b","b22c8125-cb3b-40ba-965d-8a24256eb27b"]</t>
  </si>
  <si>
    <t>030fe729-b17d-4d2b-959f-c0d65c92eff8</t>
  </si>
  <si>
    <t>דלתות בחנות או בחדר שירות</t>
  </si>
  <si>
    <t>["60bed0d8-113d-4b92-9d31-c0df4fc7f0d6","ef170f49-8fab-45ee-869e-36aecbd3b244"]</t>
  </si>
  <si>
    <t>10963183-5a23-4aa6-9d8e-2b464ab4ff02</t>
  </si>
  <si>
    <t>["2f9123f2-35ff-4221-9ea6-74e5e9edd6ce","1af32f77-8c53-48cc-8f37-6d997cb82fda","eb44ff87-c5d6-40b4-9d9b-9b9474f36a12","7f941ef6-a341-49ed-a49f-976dde45815d","5cd662b6-7a59-4d2c-9517-39c0f921906b"]</t>
  </si>
  <si>
    <t>4c39765e-67ca-4894-8686-b6cd175f5f6d</t>
  </si>
  <si>
    <t>תקרה וקרניזים לדוכן</t>
  </si>
  <si>
    <t>["8c0f6f08-8f52-4357-9000-c097925cdfce","443a1b2c-f0cb-425a-91fe-5d26ddde3ac6","d6186ead-0986-4661-8d9b-e056c05e5e04"]</t>
  </si>
  <si>
    <t>da02db1c-a4da-49ee-8840-b26d8eccae48</t>
  </si>
  <si>
    <t>צבע וגמר</t>
  </si>
  <si>
    <t>["e588d65c-8302-4487-8b17-67c25d1e9499","71ed30bf-27b6-41e6-8c4e-bd5e3f6265b9","ca963033-95c2-4c38-939b-3266285ee6f7"]</t>
  </si>
  <si>
    <t>3bba4889-39cb-4bbe-b4f0-df7b67005730</t>
  </si>
  <si>
    <t>["6fc05c6f-6487-445d-8a44-8a7ca32ec5bc","55cf338b-1ab0-4fa4-8211-815bffb5e73f","6e62371b-6c5f-427b-9c69-7d65055e2d00","22f4b0e0-b517-40d7-8a9c-ce209179c115","c474cc8c-7122-4503-a1ed-81e8ea1a43c9","beffcd1e-0f4b-4d82-bfc6-c81e4ff5b46a","a2e8e923-754f-4b77-86ff-e116db42ea8b"]</t>
  </si>
  <si>
    <t>04127471-4ab4-4055-a5f4-b9401b9d18b7</t>
  </si>
  <si>
    <t>["7c789c31-c3c1-479d-85d0-c4097016cbcb","7638565a-aa49-4d61-986f-2052c821ea05","2ff4f310-7e0b-4a1b-8459-4d5e175e28a2","d5f9ace7-956c-4fd2-b530-1b1f41d899bc","f539aefa-f675-4190-810f-f730a3bd9ae7"]</t>
  </si>
  <si>
    <t>e53ef5a5-6dc2-4f99-8984-774dd75a0fca</t>
  </si>
  <si>
    <t>["dd70bb3d-4f92-4ef4-8bbc-3d7216d8652a","46fb5f95-0fef-4d55-a5c6-f3b2119f7622","c75c3733-3cd3-46d4-85fe-f63b5415e7a4","ffe15c8b-c9f4-45f9-ad7d-de3a1c8cf0c0"]</t>
  </si>
  <si>
    <t>ea0816a7-1115-4109-b4ce-a022a6cc4489</t>
  </si>
  <si>
    <t>["61340976-e2c9-4b53-a905-4ff7ec4d2379","cbd02afe-396d-4153-acbe-ee5bd9142784","b0f2a164-96d3-4a85-a5f9-b0fcfab65985","62ed44ce-dd1a-4bd1-a820-171759894666"]</t>
  </si>
  <si>
    <t>799537dc-5c82-4c22-b534-9ada025cfdaf</t>
  </si>
  <si>
    <t>אספקות גמר נפרדות</t>
  </si>
  <si>
    <t>["bf44a6e7-7757-4296-8dd5-16a941f7ecfc","a91bdb3c-34e6-4f92-bad8-95695336a1e9","236b4c0c-32fc-4fb7-9476-296ad03731a7","91a0a786-cec9-452c-b2d9-f0056f5ab75d"]</t>
  </si>
  <si>
    <t>ae422d7f-697b-43df-974c-b52dc82612bd</t>
  </si>
  <si>
    <t>מיזוג ואוורור</t>
  </si>
  <si>
    <t>["d162efe7-fc45-4549-94d3-356b41037388","4f0b051f-8aca-4370-97a3-9d32f3a05f56"]</t>
  </si>
  <si>
    <t>4e12e137-2f1b-4f49-a132-a2787c66ad6e</t>
  </si>
  <si>
    <t>ציוד מטבח ונירוסטה</t>
  </si>
  <si>
    <t>["1abeaeab-35ec-42ff-919d-ed8ad89a7ce9","4cd39652-da89-4d9b-9292-a8da5cd010b3"]</t>
  </si>
  <si>
    <t>7df97331-95da-456a-9ddf-5595e1cdb839</t>
  </si>
  <si>
    <t>הכנות ומערכת גז</t>
  </si>
  <si>
    <t>["83a5c4db-04e8-4a0b-abe4-6c0eeb79f087","2c6f951d-efc8-4ed6-8be5-acff7c4bed46"]</t>
  </si>
  <si>
    <t>de0e5aca-a68e-43aa-9343-cc1dd019e4ab</t>
  </si>
  <si>
    <t>כיבוי וגילוי</t>
  </si>
  <si>
    <t>["27533abe-0c18-4130-adc2-b046a73623e6","d8892950-3007-4539-bb86-c5be39f49737","5ce19ebf-ec90-4967-b376-2a5d00d0ce70"]</t>
  </si>
  <si>
    <t>fa355e7c-82e1-4ef6-bce6-7be7c4a6a8d4</t>
  </si>
  <si>
    <t>שילוט ומיתוג</t>
  </si>
  <si>
    <t>["99c8c2f4-3e08-4c18-b3c3-9b6867d9c781","e9fab013-6fc7-40f0-ad73-517879d2d25f"]</t>
  </si>
  <si>
    <t>03a96adf-93e5-4675-98fa-9281d67d41fb</t>
  </si>
  <si>
    <t>ריהוט נייד</t>
  </si>
  <si>
    <t>["31520d52-cb40-4625-b873-5f69a4afa491","32566ce5-5b0b-4b5f-ab9e-e404aa145c04"]</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</si>
  <si>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</si>
  <si>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</si>
  <si>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</si>
  <si>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</si>
  <si>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</si>
  <si>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</si>
  <si>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</si>
  <si>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</si>
  <si>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</si>
  <si>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c7634a69-0905-4dfe-8a5d-d9bf1f07ecc8</t>
  </si>
  <si>
    <t>note</t>
  </si>
  <si>
    <t>פירוק מעטפת דלפק {זיהוי}, לרבות חיפויים, משטחים ודפנות המיועדים להחלפה. שלד, ציוד ותשתיות שנותרים לשימוש: {פירוט}.</t>
  </si>
  <si>
    <t>קומפ'</t>
  </si>
  <si>
    <t>123a12fb-5e3f-46f0-846a-03446de1b110</t>
  </si>
  <si>
    <t>item</t>
  </si>
  <si>
    <t>פירוק ופינוי ריהוט קבוע, ארונות וציוד המיועדים לפינוי באזור {אזור}; פריטים לשימוש חוזר וגבולות פירוק יפורטו לפני תחילת העבודה.</t>
  </si>
  <si>
    <t>d15fbb8e-4651-4bdc-b874-c5126fedd45c</t>
  </si>
  <si>
    <t>פירוק תקרה או הנמכה מסוג {סוג} באזור {אזור}, לרבות התשתית המיועדת לפירוק. הטיפול בחלקים: {פינוי או שמירה להרכבה מחדש}.</t>
  </si>
  <si>
    <t>מ"ר</t>
  </si>
  <si>
    <t>25d6b306-e245-4765-996d-1c9cc621e9c7</t>
  </si>
  <si>
    <t>פירוק ריצוף ושכבות תשתית באזור {אזור}, עד {גבול ועומק פירוק}, כהכנה לעבודות החדשות המפורטות בפרויקט.</t>
  </si>
  <si>
    <t>0889de03-5361-4ba2-8932-94b48ea50af6</t>
  </si>
  <si>
    <t>פירוק מערכת חשמל ואביזריה באזור {אזור}, בגבולות הנקובים בתכנון. מעגלים ואביזרים שנשארים פעילים או מיועדים להרכבה מחדש: {פירוט}.</t>
  </si>
  <si>
    <t>2c6e2cb3-5a42-4dc6-b2de-c5073e491a67</t>
  </si>
  <si>
    <t>פירוק צנרת ואביזרי אינסטלציה המיועדים להחלפה באזור {אזור}, בגבולות {תחילה וסיום}; הגנת וחסימת קצוות החיבור לפי התכנון.</t>
  </si>
  <si>
    <t>d6fcfa9e-f7b2-45c7-8e7f-6e2e420c2a46</t>
  </si>
  <si>
    <t>פירוק שילוט קיים מטיפוס {זיהוי}, כולל רכיבי התקנה והזנה המיועדים לפירוק, ושמירה על רכיבים שסומנו להמשך שימוש.</t>
  </si>
  <si>
    <t>5b2ea549-3d46-479e-9d9b-c0c6574ed22e</t>
  </si>
  <si>
    <t>סיכום חלקי פרק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</si>
  <si>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</si>
  <si>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</si>
  <si>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3a094142-e358-43d8-8c8a-b1e3cd773ddb</t>
  </si>
  <si>
    <t>הקמת מחיצה נמוכה כתשתית לדלפק או להפרדה באזור {אזור}, בגובה ובחתך {מידות}, במערכת {סוג}, לרבות {תכולה ועיגון}.</t>
  </si>
  <si>
    <t>מ.א.</t>
  </si>
  <si>
    <t>6e8dbbb2-bb70-47b6-bbb7-eea6ec34e0fd</t>
  </si>
  <si>
    <t>ביצוע עיבוי או חיפוי קיר קיים במערכת {סוג}, בגובה {גובה}, באזור {אזור}, לצורך {ייעוד}, לרבות תשתית וחיבורים כמפורט.</t>
  </si>
  <si>
    <t>bb0b944b-04af-481b-966b-99cfe872ddf2</t>
  </si>
  <si>
    <t>אספקה והתקנת מגן פינה מנירוסטה מטיפוס {טיפוס}, במידות {מידות}, עובי וגמר {מפרט}, על תשתית {סוג} ובאופן חיבור {פרט}.</t>
  </si>
  <si>
    <t>יח'</t>
  </si>
  <si>
    <t>7c3b1ff9-93e7-485e-bb2d-7a9d026c9fd2</t>
  </si>
  <si>
    <t>אספקה והתקנת מגן קצה מנירוסטה מטיפוס {טיפוס}, במידות {מידות}, עובי וגמר {מפרט}, על תשתית {סוג} ובאופן חיבור {פרט}.</t>
  </si>
  <si>
    <t>ba4217c6-a949-4f00-87f0-0c44102840c0</t>
  </si>
  <si>
    <t>אספקה והתקנת משקוף נירוסטה לפתח {זיהוי וייעוד}, במידות {מידות}, עובי וגמר {מפרט}, לרבות החיבורים והעיגון שנקבעו לפריט.</t>
  </si>
  <si>
    <t>2652fdbe-5212-4d86-9ebc-b833ddbb50f3</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</si>
  <si>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</si>
  <si>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94cd75d9-c1a5-4db9-9d2f-8da61d1f2c9d</t>
  </si>
  <si>
    <t>1.01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</si>
  <si>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</si>
  <si>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5def7872-7eea-4b3a-aede-2cc530b0f9a6</t>
  </si>
  <si>
    <t>1.02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</si>
  <si>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</si>
  <si>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</si>
  <si>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850af88a-9f1a-4815-84af-2239f31178a0</t>
  </si>
  <si>
    <t>1.03</t>
  </si>
  <si>
    <t>ביצוע נקודת מים קרים ודלוחין עבור {כיור או ציוד}, לפי תכנון הפרויקט, לרבות הצנרת ואביזרי החיבור בגבולות {תכולה}.</t>
  </si>
  <si>
    <t>d5b488e3-b9ac-4678-8ba5-e56ebbdd7195</t>
  </si>
  <si>
    <t>1.04</t>
  </si>
  <si>
    <t>ביצוע נקודת דלוחין עצמאית עבור {ציוד או ייעוד}, לרבות חיבור וסיום לפי תכנון הפרויקט. אין לכלול שוב ניקוז שכבר נכלל בנקודת מים משולבת.</t>
  </si>
  <si>
    <t>b3b5ba40-7b52-47dc-878a-543ad4ed7bee</t>
  </si>
  <si>
    <t>1.05</t>
  </si>
  <si>
    <t>ביצוע נקודת ניקוז למיזוג אוויר מטיפוס {טיפוס}, לפי תכנון המיזוג והתברואה; קצה וגבול החיבור לקבלן המיזוג: {פירוט}.</t>
  </si>
  <si>
    <t>b9110f0d-f7b5-4f81-9803-7578ca94d35e</t>
  </si>
  <si>
    <t>1.06</t>
  </si>
  <si>
    <t>התקנת תעלת ניקוז מטיפוס {טיפוס}, במידות {מידות}, על התשתית המוגדרת, וחיבורה למערכת הניקוז. אספקת התעלה, עיגון ואיטום המפגש: {חלוקת אחריות}.</t>
  </si>
  <si>
    <t>a85cbdf1-03b1-43d5-b955-e46543e08c08</t>
  </si>
  <si>
    <t>1.07</t>
  </si>
  <si>
    <t>אספקה והתקנת מתקן חימום מים מסוג {סוג}, בקיבול או הספק {נתון}, עם אביזרים וחיבורים כמפורט בתכנון. גבולות עבודות החשמל ועיגון המתקן: {פירוט}.</t>
  </si>
  <si>
    <t>f655665d-0e51-417b-ad78-e834f8b7b69f</t>
  </si>
  <si>
    <t>סיכום חלקי פרק 1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</si>
  <si>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</si>
  <si>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b21afd45-1921-4e98-9a20-8b2d7f5237ae</t>
  </si>
  <si>
    <t>2.01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</si>
  <si>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</si>
  <si>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4757a016-d96e-49b0-9b2e-f49f46585837</t>
  </si>
  <si>
    <t>2.02</t>
  </si>
  <si>
    <t>ביצוע יציאה נוספת לגוף תאורה המשויך למעגל {זיהוי}, לפי תכנון החשמל; תכולת החיבור: {פירוט}.</t>
  </si>
  <si>
    <t>48fa0bac-116a-47d8-806b-9ca5060bdee2</t>
  </si>
  <si>
    <t>2.03</t>
  </si>
  <si>
    <t>התקנת וחיבור גוף תאורה מטיפוס {טיפוס} על תשתית {קיימת או חדשה}, לרבות אביזרי ההתקנה המוגדרים. אספקת הגוף: {אחריות}.</t>
  </si>
  <si>
    <t>fbda83c4-2797-4277-89b8-1b19b0f53031</t>
  </si>
  <si>
    <t>2.04</t>
  </si>
  <si>
    <t>ביצוע נקודת כוח חד־פאזית עבור {ייעוד}, באזור {אזור}, עם האביזר והתשתית לפי תכנון החשמל ובגבולות {תכולה}.</t>
  </si>
  <si>
    <t>6c2bb26c-0c4e-419c-aa1e-57f2be53118e</t>
  </si>
  <si>
    <t>2.05</t>
  </si>
  <si>
    <t>ביצוע נקודת כוח תלת־פאזית עבור {ציוד}, לפי מפרט ההזנה של מתכנן החשמל ויצרן הציוד. אביזר החיבור וגבול העבודה: {פירוט}.</t>
  </si>
  <si>
    <t>c79d1a51-e24c-4417-955f-c8377ef33ce5</t>
  </si>
  <si>
    <t>2.06</t>
  </si>
  <si>
    <t>ביצוע נקודת הזנה למיזוג אוויר עבור {יחידה}, בהתאם לתכנון החשמל והמיזוג, לרבות אביזר סיום וגבול חיבור {פירוט}.</t>
  </si>
  <si>
    <t>cc35be17-571c-4186-a443-0a4e29ae0cea</t>
  </si>
  <si>
    <t>2.07</t>
  </si>
  <si>
    <t>ביצוע נקודת הזנה למפוח עבור {יחידה וייעוד}, בהתאם לתכנון החשמל והאוורור, לרבות אביזר סיום וגבול חיבור {פירוט}.</t>
  </si>
  <si>
    <t>a44a99f7-54db-455d-8150-e341c1bd0cc1</t>
  </si>
  <si>
    <t>2.08</t>
  </si>
  <si>
    <t>ביצוע תשתית תקשורת מטיפוס {סוג}, בין נקודות {קצוות}, לרבות צנרת, חוט משיכה ואביזרי סיום שנקבעו. כבילה פעילה וציוד קצה: {תכולה ואחריות}.</t>
  </si>
  <si>
    <t>301991de-51c2-4bf7-b970-876641f4c88d</t>
  </si>
  <si>
    <t>2.09</t>
  </si>
  <si>
    <t>אספקה והתקנת לוח חשמל {זיהוי}, כולל מכלול הרכיבים, הסימון, החיווט והחיבור שנקבעו בתכנון החשמל. גודל החיבור והמפרט יושלמו בפרויקט.</t>
  </si>
  <si>
    <t>c29f4b5b-fc0b-4f81-8483-4b9b099e1282</t>
  </si>
  <si>
    <t>2.10</t>
  </si>
  <si>
    <t>ביצוע הזנת חשמל והפעלה לשלט {זיהוי}, לרבות מעבר כבל בתשתית המוגדרת וחיבור בנקודת הסיום {מיקום}. השלט וספקו יתומחרו בנפרד אלא אם צוינה תכולה אחרת.</t>
  </si>
  <si>
    <t>cac6ed55-65d6-427a-bf18-c3052c603848</t>
  </si>
  <si>
    <t>סיכום חלקי פרק 2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</si>
  <si>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</si>
  <si>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c4b07803-bd42-47b8-a6b1-897386bd7bf1</t>
  </si>
  <si>
    <t>ביצוע שכבת הכנה, מילוי או הגבהה באזור {אזור}, מחומר {מערכת}, בעובי ובמפלס {נתונים}, לרבות {תשתית, גמר והשלמות נכללים}, לפי פרט מאושר.</t>
  </si>
  <si>
    <t>35082e91-36a7-40f9-a3f3-98db771f1042</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</si>
  <si>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</si>
  <si>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960ca8df-f870-4587-a82c-6edf7ce1005b</t>
  </si>
  <si>
    <t>ביצוע איטום באזור רטוב {זיהוי ואזור}, במערכת {מפרט מאושר}, לרבות הכנת תשתית, מפגשי קיר ורצפה, חדירות וסיומות לפי הפרט. בדיקות ותכולת ההכנה: {פירוט}.</t>
  </si>
  <si>
    <t>b22c8125-cb3b-40ba-965d-8a24256eb27b</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</si>
  <si>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</si>
  <si>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60bed0d8-113d-4b92-9d31-c0df4fc7f0d6</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</si>
  <si>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</si>
  <si>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ef170f49-8fab-45ee-869e-36aecbd3b244</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</si>
  <si>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</si>
  <si>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2f9123f2-35ff-4221-9ea6-74e5e9edd6ce</t>
  </si>
  <si>
    <t>3.01</t>
  </si>
  <si>
    <t>ריצוף אזור הכנת מזון או שטח רטוב {אזור}, באריחים {סוג, מידה וגמר מאושרים לשימוש}, לרבות טיפול במפגשים ובנקזים לפי הפרט, מישקים ורובה {מפרט}.</t>
  </si>
  <si>
    <t>1af32f77-8c53-48cc-8f37-6d997cb82fda</t>
  </si>
  <si>
    <t>3.02</t>
  </si>
  <si>
    <t>חיפוי דופן חיצונית של דלפק {זיהוי}, בחומר {סוג, דגם ומידה}, בדוגמה ובגמר {פירוט}, על תשתית {סוג}; פרופילים וחיבוריהם נכללים רק לפי התכולה המפורשת.</t>
  </si>
  <si>
    <t>eb44ff87-c5d6-40b4-9d9b-9b9474f36a12</t>
  </si>
  <si>
    <t>3.03</t>
  </si>
  <si>
    <t>חיפוי דופן פנימית של דלפק {זיהוי}, בחומר {סוג ומידה}, בגובה {גובה}, עם גמר מפגשים, מישקים ורובה {מפרט}.</t>
  </si>
  <si>
    <t>7f941ef6-a341-49ed-a49f-976dde45815d</t>
  </si>
  <si>
    <t>3.04</t>
  </si>
  <si>
    <t>התקנת פנל תואם לריצוף {חומר וגמר}, בגובה {גובה}, לאורך האזור {אזור}, לרבות פינות וסיומות לפי הפרט.</t>
  </si>
  <si>
    <t>5cd662b6-7a59-4d2c-9517-39c0f921906b</t>
  </si>
  <si>
    <t>סיכום חלקי פרק 3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</si>
  <si>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</si>
  <si>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8c0f6f08-8f52-4357-9000-c097925cdfce</t>
  </si>
  <si>
    <t>ביצוע קרניז מטיפוס {טיפוס}, בחתך ובגובה {מידות}, באזור {אזור}, לרבות הכנה לתאורה או למיזוג לפי הפרט וללא אספקת גוף התאורה.</t>
  </si>
  <si>
    <t>443a1b2c-f0cb-425a-91fe-5d26ddde3ac6</t>
  </si>
  <si>
    <t>אספקה והתקנת תקרה פריקה מטיפוס {טיפוס}, באזור {אזור}, במידות מודול ובגמר {מפרט}, לרבות תשתית, פרופילי סיום ופתחים לפי התכנון.</t>
  </si>
  <si>
    <t>d6186ead-0986-4661-8d9b-e056c05e5e04</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</si>
  <si>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</si>
  <si>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e588d65c-8302-4487-8b17-67c25d1e9499</t>
  </si>
  <si>
    <t>הכנת וצביעת קירות באזור {אזור}, לרבות תיקוני תשתית והחלקה בתכולת {פירוט}, במערכת צבע {סוג}, בגוון ובגמר {מפרט}.</t>
  </si>
  <si>
    <t>71ed30bf-27b6-41e6-8c4e-bd5e3f6265b9</t>
  </si>
  <si>
    <t>הכנת וצביעת תקרות והנמכות באזור {אזור}, לרבות תיקוני תשתית והחלקה בתכולת {פירוט}, במערכת צבע {סוג}, בגוון ובגמר {מפרט}.</t>
  </si>
  <si>
    <t>ca963033-95c2-4c38-939b-3266285ee6f7</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</si>
  <si>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</si>
  <si>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6fc05c6f-6487-445d-8a44-8a7ca32ec5bc</t>
  </si>
  <si>
    <t>4.01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</si>
  <si>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</si>
  <si>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55cf338b-1ab0-4fa4-8211-815bffb5e73f</t>
  </si>
  <si>
    <t>4.02</t>
  </si>
  <si>
    <t>אספקה והתקנת דופן פנימית לדלפק {זיהוי}, מחומר {סוג}, בגובה ובעובי {מידות}, בגמר {גמר}, על תשתית {סוג}, לרבות פתחים והתאמות לציוד לפי הפרט.</t>
  </si>
  <si>
    <t>6e62371b-6c5f-427b-9c69-7d65055e2d00</t>
  </si>
  <si>
    <t>4.03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</si>
  <si>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</si>
  <si>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22f4b0e0-b517-40d7-8a9c-ce209179c115</t>
  </si>
  <si>
    <t>4.04</t>
  </si>
  <si>
    <t>אספקה והתקנת שער או דלת כניסה לדלפק מטיפוס {טיפוס}, במידות {מידות}, מחומר ובגמר {מפרט}, לרבות מסגרת, צירים, סגירה וחיבורים כפי שנקבעו בפרט.</t>
  </si>
  <si>
    <t>c474cc8c-7122-4503-a1ed-81e8ea1a43c9</t>
  </si>
  <si>
    <t>4.05</t>
  </si>
  <si>
    <t>התקנת לוחות תשתית לדופן דלפק {זיהוי}, מחומר ובעובי {מפרט}, על גבי {תשתית}, כהכנה לחיפוי {חומר}. החיפוי הסופי מתומחר בפרק הריצוף והחיפוי או בפרק המשטחים.</t>
  </si>
  <si>
    <t>beffcd1e-0f4b-4d82-bfc6-c81e4ff5b46a</t>
  </si>
  <si>
    <t>4.06</t>
  </si>
  <si>
    <t>אספקה והתקנת רקע נגרות לקיר מיתוג {זיהוי}, במידות ובחלוקה {מידות}, מחומרים ובגמר {מפרט}, כהכנה לאותיות או לשלט המתומחרים בנפרד.</t>
  </si>
  <si>
    <t>a2e8e923-754f-4b77-86ff-e116db42ea8b</t>
  </si>
  <si>
    <t>סיכום חלקי פרק 4 להעברה</t>
  </si>
  <si>
    <t>עבודות המסגרות כוללות חומרי גלם, חיבורים, עיגון, הכנת שטח וגמר לפי מפרט הפריט, הובלה והרכבה. פרופילים, עוביים ופרטי תלייה אינם מועתקים כקבועים. רכיבי נגרות, זכוכית ותאורה בפרקים אחרים מוחרגים מהמחיר.</t>
  </si>
  <si>
    <t>7c789c31-c3c1-479d-85d0-c4097016cbcb</t>
  </si>
  <si>
    <t>5.01</t>
  </si>
  <si>
    <t>אספקה והתקנת שלד מסגרות לדלפק {זיהוי}, במערכת פרופילים {מפרט}, בגובה ובחלוקה {מידות}, לרבות עיגון והכנות מוגדרות למעבר תשתיות. גמרי נגרות, אריחים ומשטחים אינם כלולים בסעיף זה.</t>
  </si>
  <si>
    <t>7638565a-aa49-4d61-986f-2052c821ea05</t>
  </si>
  <si>
    <t>5.02</t>
  </si>
  <si>
    <t>אספקה והתקנת יחידת מדפי מתכת או מתקן תצוגה מטיפוס {טיפוס}, במידות {מידות}, מפרופילים ומשטחים {מפרט}, בגמר {גמר}, לרבות תלייה או עיגון המוגדרים לפריט.</t>
  </si>
  <si>
    <t>2ff4f310-7e0b-4a1b-8459-4d5e175e28a2</t>
  </si>
  <si>
    <t>5.03</t>
  </si>
  <si>
    <t>אספקה והתקנת מסגרת תמיכה לפריט {זיהוי}, במידות {מידות}, מפרופילים ובגמר {מפרט}, לרבות עיגון והכנות כמפורט. הפריט הנתמך מתומחר בנפרד.</t>
  </si>
  <si>
    <t>d5f9ace7-956c-4fd2-b530-1b1f41d899bc</t>
  </si>
  <si>
    <t>5.04</t>
  </si>
  <si>
    <t>אספקה והתקנת מסגרת תומכת לשילוט בהיקף דלפק {זיהוי}, במידות ובפרופילים {מפרט}, לרבות עיגון והכנה למעבר הזנה. אותיות, תאורה ושלט גמר אינם כלולים.</t>
  </si>
  <si>
    <t>f539aefa-f675-4190-810f-f730a3bd9ae7</t>
  </si>
  <si>
    <t>סיכום חלקי פרק 5 להעברה</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</si>
  <si>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</si>
  <si>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dd70bb3d-4f92-4ef4-8bbc-3d7216d8652a</t>
  </si>
  <si>
    <t>6.01</t>
  </si>
  <si>
    <t>אספקה והתקנת חופת זכוכית לדלפק {זיהוי}, בגובה וברוחב {מידות}, בסוג ובעובי זכוכית {מפרט}, לרבות דפנות, פרזול וחיבור לפי הפרט. מדף פנימי מתומחר בנפרד.</t>
  </si>
  <si>
    <t>46fb5f95-0fef-4d55-a5c6-f3b2119f7622</t>
  </si>
  <si>
    <t>6.02</t>
  </si>
  <si>
    <t>אספקה והתקנת מדף זכוכית בחופת דלפק {זיהוי}, ברוחב ובגובה {מידות}, בסוג ובעובי {מפרט}, לרבות התמיכות והחיבור שנקבעו.</t>
  </si>
  <si>
    <t>c75c3733-3cd3-46d4-85fe-f63b5415e7a4</t>
  </si>
  <si>
    <t>6.03</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</si>
  <si>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</si>
  <si>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ffe15c8b-c9f4-45f9-ad7d-de3a1c8cf0c0</t>
  </si>
  <si>
    <t>סיכום חלקי פרק 6 להעברה</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</si>
  <si>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</si>
  <si>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61340976-e2c9-4b53-a905-4ff7ec4d2379</t>
  </si>
  <si>
    <t>7.01</t>
  </si>
  <si>
    <t>אספקה והתקנת משטח עבודה עבור {פריט}, מחומר ודגם {מפרט}, ברוחב ובעובי {מידות}, לרבות פתחים, קנטים וחיבורים {פירוט}, על תשתית {סוג}.</t>
  </si>
  <si>
    <t>cbd02afe-396d-4153-acbe-ee5bd9142784</t>
  </si>
  <si>
    <t>7.02</t>
  </si>
  <si>
    <t>אספקה והתקנת פס או דופן גמר מיוחדת לדלפק {זיהוי}, מחומר ודגם {מפרט}, בחתך {מידות}, לרבות פינות, עיבוד וחיבורים שנקבעו.</t>
  </si>
  <si>
    <t>b0f2a164-96d3-4a85-a5f9-b0fcfab65985</t>
  </si>
  <si>
    <t>7.03</t>
  </si>
  <si>
    <t>אספקה והתקנת קופינג או צוקל לדלפק או למחיצה {זיהוי}, מחומר ודגם {מפרט}, בחתך {מידות}, עם פינות, קנטים וחיבורים {פירוט}.</t>
  </si>
  <si>
    <t>62ed44ce-dd1a-4bd1-a820-171759894666</t>
  </si>
  <si>
    <t>סיכום חלקי פרק 7 להעברה</t>
  </si>
  <si>
    <t>פרק אספקות נפתח רק כשהאספקה נפרדת מעבודת ההתקנה. בעת הפעלתו יש להחריג את האספקה ממחירי הפרקים המבצעים. כמויות הרכש ופחת, אם נדרשים, ייקבעו בפרויקט ולא בתבנית.</t>
  </si>
  <si>
    <t>bf44a6e7-7757-4296-8dd5-16a941f7ecfc</t>
  </si>
  <si>
    <t>אספקת אריחי ריצוף או חיפוי מטיפוס {זיהוי}, מחומר ודגם {מפרט}, במידה ובגמר {מפרט}. הובלה ופריקה: {תכולה}; התקנה מתומחרת בנפרד.</t>
  </si>
  <si>
    <t>a91bdb3c-34e6-4f92-bad8-95695336a1e9</t>
  </si>
  <si>
    <t>אספקת כלי או אביזר סניטרי מטיפוס {זיהוי}, בדגם ובגמר {מפרט}, לרבות {אביזרים נלווים}. התקנה וחיבור מתומחרים בפרק האינסטלציה.</t>
  </si>
  <si>
    <t>236b4c0c-32fc-4fb7-9476-296ad03731a7</t>
  </si>
  <si>
    <t>אספקת גוף תאורה מטיפוס {זיהוי}, במפרט ובדגם {מפרט}, עם {ספק, דרייבר ואביזרים נלווים לפי הנדרש}. התקנה ונקודת הזנה מתומחרות בפרק החשמל.</t>
  </si>
  <si>
    <t>91a0a786-cec9-452c-b2d9-f0056f5ab75d</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</si>
  <si>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</si>
  <si>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d162efe7-fc45-4549-94d3-356b41037388</t>
  </si>
  <si>
    <t>ביצוע מערכת מיזוג ואוורור בתכולת {מערכת מוגדרת}, לפי תכנון {הפניה}, לרבות {אספקה, התקנה, חיבור והפעלה}. גבולות מול חשמל, ניקוז ותקרות: {פירוט}.</t>
  </si>
  <si>
    <t>4f0b051f-8aca-4370-97a3-9d32f3a05f56</t>
  </si>
  <si>
    <t>1abeaeab-35ec-42ff-919d-ed8ad89a7ce9</t>
  </si>
  <si>
    <t>אספקה והתקנת פריט ציוד מטבח או נירוסטה {זיהוי}, לפי רשימת ציוד {הפניה}, בתכולת {מפרט}, עם גבולות חיבור למערכות {פירוט}.</t>
  </si>
  <si>
    <t>4cd39652-da89-4d9b-9292-a8da5cd010b3</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</si>
  <si>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</si>
  <si>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83a5c4db-04e8-4a0b-abe4-6c0eeb79f087</t>
  </si>
  <si>
    <t>ביצוע נקודת גז עבור {ציוד מזוהה}, לפי תכנון {הפניה}, לרבות התשתית ואביזרי החיבור בתכולת {מפרט}. גבולות אחריות אספקת המערכת, חיבור הציוד ובדיקות: {פירוט}.</t>
  </si>
  <si>
    <t>2c6f951d-efc8-4ed6-8be5-acff7c4bed46</t>
  </si>
  <si>
    <t>27533abe-0c18-4130-adc2-b046a73623e6</t>
  </si>
  <si>
    <t>ביצוע מערכת כיבוי {סוג מערכת מוגדר}, לפי תכנון בטיחות וכיבוי {הפניה}, בגבולות {תכולה ואחריות}, עם הממשקים למערכות האחרות כמפורט.</t>
  </si>
  <si>
    <t>d8892950-3007-4539-bb86-c5be39f49737</t>
  </si>
  <si>
    <t>ביצוע מערכת גילוי או התרעה {סוג מערכת מוגדר}, לפי תכנון {הפניה}, בגבולות {תכולה ואחריות}, עם ההכנות והחיבורים המפורטים.</t>
  </si>
  <si>
    <t>5ce19ebf-ec90-4967-b376-2a5d00d0ce70</t>
  </si>
  <si>
    <t>99c8c2f4-3e08-4c18-b3c3-9b6867d9c781</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</si>
  <si>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</si>
  <si>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e9fab013-6fc7-40f0-ad73-517879d2d25f</t>
  </si>
  <si>
    <t>31520d52-cb40-4625-b873-5f69a4afa491</t>
  </si>
  <si>
    <t>אספקת פריט ריהוט נייד מטיפוס {זיהוי}, בדגם ובגמר {מפרט}, לרבות {הובלה והרכבה}.</t>
  </si>
  <si>
    <t>32566ce5-5b0b-4b5f-ab9e-e404aa145c04</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</si>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</sst>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תאריך: &quot;@"/>
    <numFmt numFmtId="165" formatCode="&quot;פרק &quot;0"/>
    <numFmt numFmtId="166" formatCode="[=10]#,##0&quot;₪&quot;;#,##0.00&quot;₪&quot;"/>
    <numFmt numFmtId="167" formatCode="[=20]#,##0&quot;₪&quot;;#,##0.00&quot;₪&quot;"/>
    <numFmt numFmtId="168" formatCode="#,##0.00&quot;₪&quot;"/>
    <numFmt numFmtId="169" formatCode="#,##0&quot;₪&quot;"/>
    <numFmt numFmtId="170" formatCode="[=0]#,##0&quot;₪&quot;;#,##0.0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7">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0">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7" fontId="3" fillId="0" borderId="2" xfId="0" applyNumberFormat="1" applyFont="1" applyBorder="1" applyAlignment="1">
      <alignment horizontal="center" vertical="top" wrapText="1" readingOrder="2"/>
    </xf>
    <xf numFmtId="168" fontId="3" fillId="0" borderId="2" xfId="0" applyNumberFormat="1" applyFont="1" applyBorder="1" applyAlignment="1">
      <alignment horizontal="center" vertical="top" wrapText="1" readingOrder="2"/>
    </xf>
    <xf numFmtId="167" fontId="3" fillId="0" borderId="1" xfId="0" applyNumberFormat="1" applyFont="1" applyBorder="1" applyAlignment="1">
      <alignment horizontal="center" vertical="top" wrapText="1" readingOrder="2"/>
    </xf>
    <xf numFmtId="170" fontId="3" fillId="0" borderId="1" xfId="0" applyNumberFormat="1" applyFont="1" applyBorder="1" applyAlignment="1">
      <alignment horizontal="center" vertical="top" wrapText="1" readingOrder="2"/>
    </xf>
    <xf numFmtId="0" fontId="1" fillId="0" borderId="3" xfId="0" applyFont="1" applyBorder="1" applyAlignment="1">
      <alignment horizontal="center" vertical="top" wrapText="1" readingOrder="2"/>
    </xf>
    <xf numFmtId="0" fontId="1" fillId="0" borderId="3" xfId="0" applyFont="1" applyBorder="1" applyAlignment="1">
      <alignment horizontal="right" vertical="top" wrapText="1" readingOrder="2"/>
    </xf>
    <xf numFmtId="0" fontId="0" fillId="0" borderId="3" xfId="0" applyBorder="1"/>
    <xf numFmtId="0" fontId="3" fillId="0" borderId="4" xfId="0" applyFont="1" applyBorder="1" applyAlignment="1">
      <alignment horizontal="center" vertical="top" wrapText="1" readingOrder="2"/>
    </xf>
    <xf numFmtId="0" fontId="3" fillId="0" borderId="4" xfId="0" applyFont="1" applyBorder="1" applyAlignment="1">
      <alignment horizontal="right" vertical="top" wrapText="1" readingOrder="2"/>
    </xf>
    <xf numFmtId="0" fontId="0" fillId="0" borderId="4" xfId="0" applyBorder="1"/>
    <xf numFmtId="170" fontId="3" fillId="0" borderId="4" xfId="0" applyNumberFormat="1" applyFont="1" applyBorder="1" applyAlignment="1">
      <alignment horizontal="center" vertical="top" wrapText="1" readingOrder="2"/>
    </xf>
    <xf numFmtId="170" fontId="0" fillId="0" borderId="4" xfId="0" applyNumberFormat="1" applyBorder="1"/>
    <xf numFmtId="0" fontId="6" fillId="0" borderId="0" xfId="0" applyFont="1" applyAlignment="1">
      <alignment horizontal="right" vertical="top" wrapText="1" readingOrder="2"/>
    </xf>
    <xf numFmtId="0" fontId="6" fillId="0" borderId="0" xfId="0" applyFont="1"/>
    <xf numFmtId="0" fontId="1" fillId="2" borderId="5" xfId="0" applyFont="1" applyFill="1" applyBorder="1" applyAlignment="1">
      <alignment horizontal="right" vertical="top" wrapText="1" readingOrder="2"/>
    </xf>
    <xf numFmtId="0" fontId="1" fillId="2" borderId="5" xfId="0" applyFont="1" applyFill="1" applyBorder="1"/>
    <xf numFmtId="170" fontId="1" fillId="2" borderId="5" xfId="0" applyNumberFormat="1" applyFont="1" applyFill="1" applyBorder="1" applyAlignment="1">
      <alignment horizontal="center" vertical="top" wrapText="1" readingOrder="2"/>
    </xf>
    <xf numFmtId="170" fontId="1" fillId="2" borderId="5" xfId="0" applyNumberFormat="1" applyFont="1" applyFill="1" applyBorder="1"/>
    <xf numFmtId="0" fontId="1" fillId="2" borderId="6" xfId="0" applyFont="1" applyFill="1" applyBorder="1" applyAlignment="1">
      <alignment horizontal="right" vertical="top" wrapText="1" readingOrder="2"/>
    </xf>
    <xf numFmtId="0" fontId="1" fillId="2" borderId="6" xfId="0" applyFont="1" applyFill="1" applyBorder="1"/>
    <xf numFmtId="170" fontId="1" fillId="2" borderId="6" xfId="0" applyNumberFormat="1" applyFont="1" applyFill="1" applyBorder="1" applyAlignment="1">
      <alignment horizontal="center" vertical="top" wrapText="1" readingOrder="2"/>
    </xf>
    <xf numFmtId="170" fontId="1" fillId="2" borderId="6" xfId="0" applyNumberFormat="1" applyFont="1" applyFill="1" applyBorder="1"/>
    <xf numFmtId="0" fontId="1" fillId="3" borderId="6" xfId="0" applyFont="1" applyFill="1" applyBorder="1" applyAlignment="1">
      <alignment horizontal="right" vertical="top" wrapText="1" readingOrder="2"/>
    </xf>
    <xf numFmtId="0" fontId="1" fillId="3" borderId="6" xfId="0" applyFont="1" applyFill="1" applyBorder="1"/>
    <xf numFmtId="170" fontId="1" fillId="3" borderId="6" xfId="0" applyNumberFormat="1" applyFont="1" applyFill="1" applyBorder="1" applyAlignment="1">
      <alignment horizontal="center" vertical="top" wrapText="1" readingOrder="2"/>
    </xf>
    <xf numFmtId="170" fontId="1" fillId="3" borderId="6" xfId="0" applyNumberFormat="1" applyFont="1" applyFill="1" applyBorder="1"/>
  </cellXfs>
  <cellStyles count="1">
    <cellStyle name="Normal" xfId="0" builtinId="0"/>
  </cellStyles>
  <dxfs count="326">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116.39999999999999" customHeight="1" spans="1:6" x14ac:dyDescent="0.25">
      <c r="A4" s="4"/>
      <c r="B4" s="5" t="s">
        <v>1</v>
      </c>
      <c r="C4" s="6"/>
      <c r="D4" s="6"/>
      <c r="E4" s="6"/>
      <c r="F4" s="6"/>
    </row>
    <row r="5" ht="41" customHeight="1" spans="1:6" x14ac:dyDescent="0.25">
      <c r="A5" s="4"/>
      <c r="B5" s="7" t="s">
        <v>2</v>
      </c>
      <c r="C5" s="8"/>
      <c r="D5" s="8"/>
      <c r="E5" s="8"/>
      <c r="F5" s="8"/>
    </row>
    <row r="6" ht="32" customHeight="1" spans="1:6" x14ac:dyDescent="0.25">
      <c r="A6" s="4"/>
      <c r="B6" s="2" t="s">
        <v>2</v>
      </c>
      <c r="C6" s="3"/>
      <c r="D6" s="3"/>
      <c r="E6" s="3"/>
      <c r="F6" s="3"/>
    </row>
    <row r="7" ht="35" customHeight="1" x14ac:dyDescent="0.25"/>
    <row r="8" ht="28" customHeight="1" spans="1:6" x14ac:dyDescent="0.25">
      <c r="A8" s="4"/>
      <c r="B8" s="9" t="s">
        <v>3</v>
      </c>
      <c r="C8" s="10"/>
      <c r="D8" s="10"/>
      <c r="E8" s="10"/>
      <c r="F8" s="10"/>
    </row>
    <row r="10" ht="70" customHeight="1" x14ac:dyDescent="0.25"/>
    <row r="11" ht="90" customHeight="1" spans="1:6" x14ac:dyDescent="0.25">
      <c r="A11" s="4"/>
      <c r="B11" s="2" t="s">
        <v>4</v>
      </c>
      <c r="C11" s="3"/>
      <c r="D11" s="3"/>
      <c r="E11" s="3"/>
      <c r="F11" s="3"/>
    </row>
    <row r="12" ht="38" customHeight="1" spans="1:6" x14ac:dyDescent="0.25">
      <c r="A12" s="4"/>
      <c r="B12" s="4" t="s">
        <v>5</v>
      </c>
      <c r="C12" s="11"/>
      <c r="D12" s="11"/>
      <c r="E12" s="11"/>
      <c r="F12" s="11"/>
    </row>
    <row r="13" ht="98.60000000000002" customHeight="1" spans="1:8" x14ac:dyDescent="0.25">
      <c r="A13" s="4"/>
      <c r="B13" s="4"/>
      <c r="C13" s="4"/>
      <c r="D13" s="4"/>
      <c r="E13" s="4"/>
      <c r="F13" s="4"/>
      <c r="G13" s="4"/>
      <c r="H13" s="4" t="s">
        <v>6</v>
      </c>
    </row>
    <row r="14" hidden="1" spans="1:6" x14ac:dyDescent="0.25">
      <c r="A14" s="4"/>
      <c r="B14" s="4" t="s">
        <v>2</v>
      </c>
      <c r="C14" s="4"/>
      <c r="D14" s="4" t="s">
        <v>2</v>
      </c>
      <c r="E14" s="4"/>
      <c r="F14" s="4">
        <v>18</v>
      </c>
    </row>
  </sheetData>
  <mergeCells count="7">
    <mergeCell ref="B2:F2"/>
    <mergeCell ref="B4:F4"/>
    <mergeCell ref="B5:F5"/>
    <mergeCell ref="B6:F6"/>
    <mergeCell ref="B8:F8"/>
    <mergeCell ref="B11:F11"/>
    <mergeCell ref="B12:F12"/>
  </mergeCells>
  <pageMargins left="0.25" right="0.25" top="0.75" bottom="0.75" header="0" footer="0.25"/>
  <pageSetup paperSize="9" orientation="portrait"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7</v>
      </c>
      <c r="C1" s="3"/>
      <c r="D1" s="3"/>
      <c r="E1" s="3"/>
      <c r="F1" s="3"/>
    </row>
    <row r="2" ht="28" customHeight="1" spans="1:6" x14ac:dyDescent="0.25">
      <c r="A2" s="1" t="s">
        <v>8</v>
      </c>
      <c r="B2" s="13" t="s">
        <v>9</v>
      </c>
      <c r="C2"/>
      <c r="D2"/>
      <c r="E2"/>
      <c r="F2" s="1" t="s">
        <v>10</v>
      </c>
    </row>
    <row r="3" ht="30" customHeight="1" spans="1:6" x14ac:dyDescent="0.25">
      <c r="A3" s="14">
        <v>1</v>
      </c>
      <c r="B3" s="15" t="s">
        <v>11</v>
      </c>
      <c r="C3" s="16"/>
      <c r="D3" s="16"/>
      <c r="E3" s="16"/>
      <c r="F3" s="14">
        <v>3</v>
      </c>
    </row>
    <row r="4" ht="30" customHeight="1" spans="1:6" x14ac:dyDescent="0.25">
      <c r="A4" s="14">
        <v>2</v>
      </c>
      <c r="B4" s="15" t="s">
        <v>12</v>
      </c>
      <c r="C4" s="16"/>
      <c r="D4" s="16"/>
      <c r="E4" s="16"/>
      <c r="F4" s="14">
        <v>4</v>
      </c>
    </row>
    <row r="5" ht="30" customHeight="1" spans="1:6" x14ac:dyDescent="0.25">
      <c r="A5" s="14">
        <v>3</v>
      </c>
      <c r="B5" s="15" t="s">
        <v>13</v>
      </c>
      <c r="C5" s="16"/>
      <c r="D5" s="16"/>
      <c r="E5" s="16"/>
      <c r="F5" s="14">
        <v>5</v>
      </c>
    </row>
    <row r="6" ht="30" customHeight="1" spans="1:6" x14ac:dyDescent="0.25">
      <c r="A6" s="14">
        <v>4</v>
      </c>
      <c r="B6" s="15" t="s">
        <v>14</v>
      </c>
      <c r="C6" s="16"/>
      <c r="D6" s="16"/>
      <c r="E6" s="16"/>
      <c r="F6" s="14">
        <v>6</v>
      </c>
    </row>
    <row r="7" ht="30" customHeight="1" spans="1:6" x14ac:dyDescent="0.25">
      <c r="A7" s="14">
        <v>5</v>
      </c>
      <c r="B7" s="15" t="s">
        <v>15</v>
      </c>
      <c r="C7" s="16"/>
      <c r="D7" s="16"/>
      <c r="E7" s="16"/>
      <c r="F7" s="14">
        <v>7</v>
      </c>
    </row>
    <row r="8" ht="30" customHeight="1" spans="1:6" x14ac:dyDescent="0.25">
      <c r="A8" s="14">
        <v>6</v>
      </c>
      <c r="B8" s="15" t="s">
        <v>16</v>
      </c>
      <c r="C8" s="16"/>
      <c r="D8" s="16"/>
      <c r="E8" s="16"/>
      <c r="F8" s="14">
        <v>8</v>
      </c>
    </row>
    <row r="9" ht="30" customHeight="1" spans="1:6" x14ac:dyDescent="0.25">
      <c r="A9" s="14">
        <v>7</v>
      </c>
      <c r="B9" s="15" t="s">
        <v>17</v>
      </c>
      <c r="C9" s="16"/>
      <c r="D9" s="16"/>
      <c r="E9" s="16"/>
      <c r="F9" s="14">
        <v>9</v>
      </c>
    </row>
    <row r="10" ht="24" customHeight="1" spans="1:8" x14ac:dyDescent="0.25">
      <c r="A10" s="4"/>
      <c r="B10" s="17"/>
      <c r="C10" s="4"/>
      <c r="D10" s="4"/>
      <c r="E10" s="4"/>
      <c r="F10" s="4"/>
      <c r="G10" s="4"/>
      <c r="H10" s="4" t="s">
        <v>6</v>
      </c>
    </row>
    <row r="11" ht="24" customHeight="1" spans="1:8" x14ac:dyDescent="0.25">
      <c r="A11" s="4"/>
      <c r="B11" s="17"/>
      <c r="C11" s="4"/>
      <c r="D11" s="4"/>
      <c r="E11" s="4"/>
      <c r="F11" s="4"/>
      <c r="G11" s="4"/>
      <c r="H11" s="4" t="s">
        <v>6</v>
      </c>
    </row>
    <row r="12" ht="32" customHeight="1" spans="1:6" x14ac:dyDescent="0.25">
      <c r="A12" s="4"/>
      <c r="B12" s="12" t="s">
        <v>18</v>
      </c>
      <c r="C12" s="3"/>
      <c r="D12" s="3"/>
      <c r="E12" s="3"/>
      <c r="F12" s="3"/>
    </row>
    <row r="13" ht="34.8" customHeight="1" spans="1:6" x14ac:dyDescent="0.25">
      <c r="A13" s="17" t="s">
        <v>19</v>
      </c>
      <c r="B13"/>
      <c r="C13"/>
      <c r="D13"/>
      <c r="E13"/>
      <c r="F13"/>
    </row>
    <row r="14" ht="34.8" customHeight="1" spans="1:6" x14ac:dyDescent="0.25">
      <c r="A14" s="17" t="s">
        <v>20</v>
      </c>
      <c r="B14"/>
      <c r="C14"/>
      <c r="D14"/>
      <c r="E14"/>
      <c r="F14"/>
    </row>
    <row r="15" ht="34.8" customHeight="1" spans="1:6" x14ac:dyDescent="0.25">
      <c r="A15" s="17" t="s">
        <v>21</v>
      </c>
      <c r="B15"/>
      <c r="C15"/>
      <c r="D15"/>
      <c r="E15"/>
      <c r="F15"/>
    </row>
    <row r="16" ht="34.8" customHeight="1" spans="1:6" x14ac:dyDescent="0.25">
      <c r="A16" s="17" t="s">
        <v>22</v>
      </c>
      <c r="B16"/>
      <c r="C16"/>
      <c r="D16"/>
      <c r="E16"/>
      <c r="F16"/>
    </row>
    <row r="17" ht="34.8" customHeight="1" spans="1:6" x14ac:dyDescent="0.25">
      <c r="A17" s="17" t="s">
        <v>23</v>
      </c>
      <c r="B17"/>
      <c r="C17"/>
      <c r="D17"/>
      <c r="E17"/>
      <c r="F17"/>
    </row>
    <row r="18" ht="192" customHeight="1" spans="1:8" x14ac:dyDescent="0.25">
      <c r="A18" s="4"/>
      <c r="B18" s="17"/>
      <c r="C18" s="4"/>
      <c r="D18" s="4"/>
      <c r="E18" s="4"/>
      <c r="F18" s="4"/>
      <c r="G18" s="4"/>
      <c r="H18" s="4" t="s">
        <v>6</v>
      </c>
    </row>
  </sheetData>
  <mergeCells count="15">
    <mergeCell ref="B1:F1"/>
    <mergeCell ref="B2:E2"/>
    <mergeCell ref="B3:E3"/>
    <mergeCell ref="B4:E4"/>
    <mergeCell ref="B5:E5"/>
    <mergeCell ref="B6:E6"/>
    <mergeCell ref="B7:E7"/>
    <mergeCell ref="B8:E8"/>
    <mergeCell ref="B9:E9"/>
    <mergeCell ref="B12:F12"/>
    <mergeCell ref="A13:F13"/>
    <mergeCell ref="A14:F14"/>
    <mergeCell ref="A15:F15"/>
    <mergeCell ref="A16:F16"/>
    <mergeCell ref="A17:F17"/>
  </mergeCells>
  <pageMargins left="0.25" right="0.25" top="0.75" bottom="0.75" header="0" footer="0.25"/>
  <pageSetup paperSize="9" orientation="portrait" fitToWidth="1" fitToHeight="0" firstPageNumber="2" useFirstPageNumber="1"/>
  <headerFooter>
    <oddFooter>&amp;Cעמוד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FormatPr defaultRowHeight="15" outlineLevelRow="0" outlineLevelCol="0" x14ac:dyDescent="55"/>
  <sheetData>
    <row r="1" spans="1:7" x14ac:dyDescent="0.25">
      <c r="A1" t="s">
        <v>24</v>
      </c>
      <c r="B1">
        <v>4</v>
      </c>
      <c r="C1" t="s">
        <v>25</v>
      </c>
      <c r="D1" t="s">
        <v>26</v>
      </c>
      <c r="E1" t="s">
        <v>27</v>
      </c>
      <c r="F1" t="s">
        <v>28</v>
      </c>
      <c r="G1" t="s">
        <v>29</v>
      </c>
    </row>
    <row r="2" spans="1:4" x14ac:dyDescent="0.25">
      <c r="A2" t="s">
        <v>30</v>
      </c>
      <c r="B2" t="s">
        <v>31</v>
      </c>
      <c r="C2" t="s">
        <v>32</v>
      </c>
    </row>
    <row r="3" spans="1:4" x14ac:dyDescent="0.25">
      <c r="A3" t="s">
        <v>33</v>
      </c>
      <c r="B3" t="s">
        <v>34</v>
      </c>
      <c r="C3" t="s">
        <v>35</v>
      </c>
      <c r="D3" t="s">
        <v>36</v>
      </c>
    </row>
    <row r="4" spans="1:4" x14ac:dyDescent="0.25">
      <c r="A4" t="s">
        <v>37</v>
      </c>
      <c r="B4" t="s">
        <v>38</v>
      </c>
      <c r="C4">
        <v>0</v>
      </c>
      <c r="D4" t="s">
        <v>39</v>
      </c>
    </row>
    <row r="5" spans="1:4" x14ac:dyDescent="0.25">
      <c r="A5" t="s">
        <v>40</v>
      </c>
      <c r="B5" t="s">
        <v>41</v>
      </c>
      <c r="C5">
        <v>0</v>
      </c>
      <c r="D5" t="s">
        <v>42</v>
      </c>
    </row>
    <row r="6" spans="1:4" x14ac:dyDescent="0.25">
      <c r="A6" t="s">
        <v>43</v>
      </c>
      <c r="B6" t="s">
        <v>11</v>
      </c>
      <c r="C6">
        <v>1</v>
      </c>
      <c r="D6" t="s">
        <v>44</v>
      </c>
    </row>
    <row r="7" spans="1:4" x14ac:dyDescent="0.25">
      <c r="A7" t="s">
        <v>45</v>
      </c>
      <c r="B7" t="s">
        <v>12</v>
      </c>
      <c r="C7">
        <v>1</v>
      </c>
      <c r="D7" t="s">
        <v>46</v>
      </c>
    </row>
    <row r="8" spans="1:4" x14ac:dyDescent="0.25">
      <c r="A8" t="s">
        <v>47</v>
      </c>
      <c r="B8" t="s">
        <v>48</v>
      </c>
      <c r="C8">
        <v>0</v>
      </c>
      <c r="D8" t="s">
        <v>49</v>
      </c>
    </row>
    <row r="9" spans="1:4" x14ac:dyDescent="0.25">
      <c r="A9" t="s">
        <v>50</v>
      </c>
      <c r="B9" t="s">
        <v>51</v>
      </c>
      <c r="C9">
        <v>0</v>
      </c>
      <c r="D9" t="s">
        <v>52</v>
      </c>
    </row>
    <row r="10" spans="1:4" x14ac:dyDescent="0.25">
      <c r="A10" t="s">
        <v>53</v>
      </c>
      <c r="B10" t="s">
        <v>54</v>
      </c>
      <c r="C10">
        <v>0</v>
      </c>
      <c r="D10" t="s">
        <v>55</v>
      </c>
    </row>
    <row r="11" spans="1:4" x14ac:dyDescent="0.25">
      <c r="A11" t="s">
        <v>56</v>
      </c>
      <c r="B11" t="s">
        <v>13</v>
      </c>
      <c r="C11">
        <v>1</v>
      </c>
      <c r="D11" t="s">
        <v>57</v>
      </c>
    </row>
    <row r="12" spans="1:4" x14ac:dyDescent="0.25">
      <c r="A12" t="s">
        <v>58</v>
      </c>
      <c r="B12" t="s">
        <v>59</v>
      </c>
      <c r="C12">
        <v>0</v>
      </c>
      <c r="D12" t="s">
        <v>60</v>
      </c>
    </row>
    <row r="13" spans="1:4" x14ac:dyDescent="0.25">
      <c r="A13" t="s">
        <v>61</v>
      </c>
      <c r="B13" t="s">
        <v>62</v>
      </c>
      <c r="C13">
        <v>0</v>
      </c>
      <c r="D13" t="s">
        <v>63</v>
      </c>
    </row>
    <row r="14" spans="1:4" x14ac:dyDescent="0.25">
      <c r="A14" t="s">
        <v>64</v>
      </c>
      <c r="B14" t="s">
        <v>14</v>
      </c>
      <c r="C14">
        <v>1</v>
      </c>
      <c r="D14" t="s">
        <v>65</v>
      </c>
    </row>
    <row r="15" spans="1:4" x14ac:dyDescent="0.25">
      <c r="A15" t="s">
        <v>66</v>
      </c>
      <c r="B15" t="s">
        <v>15</v>
      </c>
      <c r="C15">
        <v>1</v>
      </c>
      <c r="D15" t="s">
        <v>67</v>
      </c>
    </row>
    <row r="16" spans="1:4" x14ac:dyDescent="0.25">
      <c r="A16" t="s">
        <v>68</v>
      </c>
      <c r="B16" t="s">
        <v>16</v>
      </c>
      <c r="C16">
        <v>1</v>
      </c>
      <c r="D16" t="s">
        <v>69</v>
      </c>
    </row>
    <row r="17" spans="1:4" x14ac:dyDescent="0.25">
      <c r="A17" t="s">
        <v>70</v>
      </c>
      <c r="B17" t="s">
        <v>17</v>
      </c>
      <c r="C17">
        <v>1</v>
      </c>
      <c r="D17" t="s">
        <v>71</v>
      </c>
    </row>
    <row r="18" spans="1:4" x14ac:dyDescent="0.25">
      <c r="A18" t="s">
        <v>72</v>
      </c>
      <c r="B18" t="s">
        <v>73</v>
      </c>
      <c r="C18">
        <v>0</v>
      </c>
      <c r="D18" t="s">
        <v>74</v>
      </c>
    </row>
    <row r="19" spans="1:4" x14ac:dyDescent="0.25">
      <c r="A19" t="s">
        <v>75</v>
      </c>
      <c r="B19" t="s">
        <v>76</v>
      </c>
      <c r="C19">
        <v>0</v>
      </c>
      <c r="D19" t="s">
        <v>77</v>
      </c>
    </row>
    <row r="20" spans="1:4" x14ac:dyDescent="0.25">
      <c r="A20" t="s">
        <v>78</v>
      </c>
      <c r="B20" t="s">
        <v>79</v>
      </c>
      <c r="C20">
        <v>0</v>
      </c>
      <c r="D20" t="s">
        <v>80</v>
      </c>
    </row>
    <row r="21" spans="1:4" x14ac:dyDescent="0.25">
      <c r="A21" t="s">
        <v>81</v>
      </c>
      <c r="B21" t="s">
        <v>82</v>
      </c>
      <c r="C21">
        <v>0</v>
      </c>
      <c r="D21" t="s">
        <v>83</v>
      </c>
    </row>
    <row r="22" spans="1:4" x14ac:dyDescent="0.25">
      <c r="A22" t="s">
        <v>84</v>
      </c>
      <c r="B22" t="s">
        <v>85</v>
      </c>
      <c r="C22">
        <v>0</v>
      </c>
      <c r="D22" t="s">
        <v>86</v>
      </c>
    </row>
    <row r="23" spans="1:4" x14ac:dyDescent="0.25">
      <c r="A23" t="s">
        <v>87</v>
      </c>
      <c r="B23" t="s">
        <v>88</v>
      </c>
      <c r="C23">
        <v>0</v>
      </c>
      <c r="D23" t="s">
        <v>89</v>
      </c>
    </row>
    <row r="24" spans="1:4" x14ac:dyDescent="0.25">
      <c r="A24" t="s">
        <v>90</v>
      </c>
      <c r="B24" t="s">
        <v>91</v>
      </c>
      <c r="C24">
        <v>0</v>
      </c>
      <c r="D24" t="s">
        <v>92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38</v>
      </c>
      <c r="C1" s="3"/>
      <c r="D1" s="3"/>
      <c r="E1" s="3"/>
      <c r="F1" s="3"/>
      <c r="G1" s="1" t="s">
        <v>37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101</v>
      </c>
      <c r="C3" s="21"/>
      <c r="D3" s="21"/>
      <c r="E3" s="21"/>
      <c r="F3" s="21"/>
      <c r="G3" s="4" t="s">
        <v>102</v>
      </c>
      <c r="H3" s="4" t="s">
        <v>103</v>
      </c>
    </row>
    <row r="4" ht="46.8" customHeight="1" spans="1:8" x14ac:dyDescent="0.25">
      <c r="A4" s="21"/>
      <c r="B4" s="22" t="s">
        <v>104</v>
      </c>
      <c r="C4" s="21" t="s">
        <v>105</v>
      </c>
      <c r="D4" s="21">
        <v>2</v>
      </c>
      <c r="E4" s="23">
        <v>10</v>
      </c>
      <c r="F4" s="24">
        <f>IF(ISBLANK(D4),"",IF(NOT(ISNUMBER(D4)),"קלט לא תקין",IF(D4&lt;0,"קלט לא תקין",IF(ISBLANK(E4),"",IF(OR(E4="כלול",E4="לא רלוונטי"),0,IF(NOT(ISNUMBER(E4)),"קלט לא תקין",IF(E4&lt;0,"קלט לא תקין",ROUND(D4*E4,2))))))))</f>
        <v>20</v>
      </c>
      <c r="G4" s="4" t="s">
        <v>106</v>
      </c>
      <c r="H4" s="4" t="s">
        <v>107</v>
      </c>
    </row>
    <row r="5" ht="46.8" customHeight="1" spans="1:8" x14ac:dyDescent="0.25">
      <c r="A5" s="21"/>
      <c r="B5" s="22" t="s">
        <v>108</v>
      </c>
      <c r="C5" s="21" t="s">
        <v>105</v>
      </c>
      <c r="D5" s="21"/>
      <c r="E5" s="25"/>
      <c r="F5" s="25" t="str">
        <f>IF(ISBLANK(D5),"",IF(NOT(ISNUMBER(D5)),"קלט לא תקין",IF(D5&lt;0,"קלט לא תקין",IF(ISBLANK(E5),"",IF(OR(E5="כלול",E5="לא רלוונטי"),0,IF(NOT(ISNUMBER(E5)),"קלט לא תקין",IF(E5&lt;0,"קלט לא תקין",ROUND(D5*E5,2))))))))</f>
        <v/>
      </c>
      <c r="G5" s="4" t="s">
        <v>109</v>
      </c>
      <c r="H5" s="4" t="s">
        <v>107</v>
      </c>
    </row>
    <row r="6" ht="46.8" customHeight="1" spans="1:8" x14ac:dyDescent="0.25">
      <c r="A6" s="21"/>
      <c r="B6" s="22" t="s">
        <v>110</v>
      </c>
      <c r="C6" s="21" t="s">
        <v>111</v>
      </c>
      <c r="D6" s="21"/>
      <c r="E6" s="25"/>
      <c r="F6" s="25" t="str">
        <f>IF(ISBLANK(D6),"",IF(NOT(ISNUMBER(D6)),"קלט לא תקין",IF(D6&lt;0,"קלט לא תקין",IF(ISBLANK(E6),"",IF(OR(E6="כלול",E6="לא רלוונטי"),0,IF(NOT(ISNUMBER(E6)),"קלט לא תקין",IF(E6&lt;0,"קלט לא תקין",ROUND(D6*E6,2))))))))</f>
        <v/>
      </c>
      <c r="G6" s="4" t="s">
        <v>112</v>
      </c>
      <c r="H6" s="4" t="s">
        <v>107</v>
      </c>
    </row>
    <row r="7" ht="46.8" customHeight="1" spans="1:8" x14ac:dyDescent="0.25">
      <c r="A7" s="21"/>
      <c r="B7" s="22" t="s">
        <v>113</v>
      </c>
      <c r="C7" s="21" t="s">
        <v>111</v>
      </c>
      <c r="D7" s="21"/>
      <c r="E7" s="25"/>
      <c r="F7" s="25" t="str">
        <f>IF(ISBLANK(D7),"",IF(NOT(ISNUMBER(D7)),"קלט לא תקין",IF(D7&lt;0,"קלט לא תקין",IF(ISBLANK(E7),"",IF(OR(E7="כלול",E7="לא רלוונטי"),0,IF(NOT(ISNUMBER(E7)),"קלט לא תקין",IF(E7&lt;0,"קלט לא תקין",ROUND(D7*E7,2))))))))</f>
        <v/>
      </c>
      <c r="G7" s="4" t="s">
        <v>114</v>
      </c>
      <c r="H7" s="4" t="s">
        <v>107</v>
      </c>
    </row>
    <row r="8" ht="46.8" customHeight="1" spans="1:8" x14ac:dyDescent="0.25">
      <c r="A8" s="21"/>
      <c r="B8" s="22" t="s">
        <v>115</v>
      </c>
      <c r="C8" s="21" t="s">
        <v>105</v>
      </c>
      <c r="D8" s="21"/>
      <c r="E8" s="25"/>
      <c r="F8" s="25" t="str">
        <f>IF(ISBLANK(D8),"",IF(NOT(ISNUMBER(D8)),"קלט לא תקין",IF(D8&lt;0,"קלט לא תקין",IF(ISBLANK(E8),"",IF(OR(E8="כלול",E8="לא רלוונטי"),0,IF(NOT(ISNUMBER(E8)),"קלט לא תקין",IF(E8&lt;0,"קלט לא תקין",ROUND(D8*E8,2))))))))</f>
        <v/>
      </c>
      <c r="G8" s="4" t="s">
        <v>116</v>
      </c>
      <c r="H8" s="4" t="s">
        <v>107</v>
      </c>
    </row>
    <row r="9" ht="46.8" customHeight="1" spans="1:8" x14ac:dyDescent="0.25">
      <c r="A9" s="21"/>
      <c r="B9" s="22" t="s">
        <v>117</v>
      </c>
      <c r="C9" s="21" t="s">
        <v>105</v>
      </c>
      <c r="D9" s="21"/>
      <c r="E9" s="25"/>
      <c r="F9" s="25" t="str">
        <f>IF(ISBLANK(D9),"",IF(NOT(ISNUMBER(D9)),"קלט לא תקין",IF(D9&lt;0,"קלט לא תקין",IF(ISBLANK(E9),"",IF(OR(E9="כלול",E9="לא רלוונטי"),0,IF(NOT(ISNUMBER(E9)),"קלט לא תקין",IF(E9&lt;0,"קלט לא תקין",ROUND(D9*E9,2))))))))</f>
        <v/>
      </c>
      <c r="G9" s="4" t="s">
        <v>118</v>
      </c>
      <c r="H9" s="4" t="s">
        <v>107</v>
      </c>
    </row>
    <row r="10" ht="46.8" customHeight="1" spans="1:8" x14ac:dyDescent="0.25">
      <c r="A10" s="21"/>
      <c r="B10" s="22" t="s">
        <v>119</v>
      </c>
      <c r="C10" s="21" t="s">
        <v>105</v>
      </c>
      <c r="D10" s="21"/>
      <c r="E10" s="25"/>
      <c r="F10" s="25" t="str">
        <f>IF(ISBLANK(D10),"",IF(NOT(ISNUMBER(D10)),"קלט לא תקין",IF(D10&lt;0,"קלט לא תקין",IF(ISBLANK(E10),"",IF(OR(E10="כלול",E10="לא רלוונטי"),0,IF(NOT(ISNUMBER(E10)),"קלט לא תקין",IF(E10&lt;0,"קלט לא תקין",ROUND(D10*E10,2))))))))</f>
        <v/>
      </c>
      <c r="G10" s="4" t="s">
        <v>120</v>
      </c>
      <c r="H10" s="4" t="s">
        <v>107</v>
      </c>
    </row>
    <row r="11" ht="232.2" customHeight="1" spans="1:8" x14ac:dyDescent="0.25">
      <c r="A11" s="21"/>
      <c r="B11" s="22"/>
      <c r="C11" s="21"/>
      <c r="D11" s="21"/>
      <c r="E11" s="21"/>
      <c r="F11" s="21"/>
      <c r="G11" s="4"/>
      <c r="H11" s="4" t="s">
        <v>6</v>
      </c>
    </row>
    <row r="12" ht="32" customHeight="1" spans="1:8" x14ac:dyDescent="0.25">
      <c r="A12" s="14"/>
      <c r="B12" s="15" t="s">
        <v>121</v>
      </c>
      <c r="C12" s="16"/>
      <c r="D12" s="16"/>
      <c r="E12" s="16"/>
      <c r="F12" s="26">
        <f>SUM(F4,F5,F6,F7,F8,F9,F10)</f>
        <v>20</v>
      </c>
      <c r="G12" s="4"/>
      <c r="H12" s="4" t="s">
        <v>122</v>
      </c>
    </row>
  </sheetData>
  <mergeCells count="2">
    <mergeCell ref="B1:F1"/>
    <mergeCell ref="B12:E12"/>
  </mergeCells>
  <conditionalFormatting sqref="E4">
    <cfRule type="expression" dxfId="0" priority="1">
      <formula>AND(ISNUMBER(E4),ROUND(E4,2)=INT(ROUND(E4,2)))</formula>
    </cfRule>
    <cfRule type="expression" dxfId="1" priority="2">
      <formula>AND(ISNUMBER(E4),ROUND(E4,2)&lt;&gt;INT(ROUND(E4,2)))</formula>
    </cfRule>
  </conditionalFormatting>
  <conditionalFormatting sqref="F4">
    <cfRule type="expression" dxfId="2" priority="1">
      <formula>AND(ISNUMBER(F4),ROUND(F4,2)=INT(ROUND(F4,2)))</formula>
    </cfRule>
    <cfRule type="expression" dxfId="3" priority="2">
      <formula>AND(ISNUMBER(F4),ROUND(F4,2)&lt;&gt;INT(ROUND(F4,2)))</formula>
    </cfRule>
  </conditionalFormatting>
  <conditionalFormatting sqref="E5">
    <cfRule type="expression" dxfId="4" priority="1">
      <formula>AND(ISNUMBER(E5),ROUND(E5,2)=INT(ROUND(E5,2)))</formula>
    </cfRule>
    <cfRule type="expression" dxfId="5" priority="2">
      <formula>AND(ISNUMBER(E5),ROUND(E5,2)&lt;&gt;INT(ROUND(E5,2)))</formula>
    </cfRule>
  </conditionalFormatting>
  <conditionalFormatting sqref="F5">
    <cfRule type="expression" dxfId="6" priority="1">
      <formula>AND(ISNUMBER(F5),ROUND(F5,2)=INT(ROUND(F5,2)))</formula>
    </cfRule>
    <cfRule type="expression" dxfId="7" priority="2">
      <formula>AND(ISNUMBER(F5),ROUND(F5,2)&lt;&gt;INT(ROUND(F5,2)))</formula>
    </cfRule>
  </conditionalFormatting>
  <conditionalFormatting sqref="E6">
    <cfRule type="expression" dxfId="8" priority="1">
      <formula>AND(ISNUMBER(E6),ROUND(E6,2)=INT(ROUND(E6,2)))</formula>
    </cfRule>
    <cfRule type="expression" dxfId="9" priority="2">
      <formula>AND(ISNUMBER(E6),ROUND(E6,2)&lt;&gt;INT(ROUND(E6,2)))</formula>
    </cfRule>
  </conditionalFormatting>
  <conditionalFormatting sqref="F6">
    <cfRule type="expression" dxfId="10" priority="1">
      <formula>AND(ISNUMBER(F6),ROUND(F6,2)=INT(ROUND(F6,2)))</formula>
    </cfRule>
    <cfRule type="expression" dxfId="11" priority="2">
      <formula>AND(ISNUMBER(F6),ROUND(F6,2)&lt;&gt;INT(ROUND(F6,2)))</formula>
    </cfRule>
  </conditionalFormatting>
  <conditionalFormatting sqref="E7">
    <cfRule type="expression" dxfId="12" priority="1">
      <formula>AND(ISNUMBER(E7),ROUND(E7,2)=INT(ROUND(E7,2)))</formula>
    </cfRule>
    <cfRule type="expression" dxfId="13" priority="2">
      <formula>AND(ISNUMBER(E7),ROUND(E7,2)&lt;&gt;INT(ROUND(E7,2)))</formula>
    </cfRule>
  </conditionalFormatting>
  <conditionalFormatting sqref="F7">
    <cfRule type="expression" dxfId="14" priority="1">
      <formula>AND(ISNUMBER(F7),ROUND(F7,2)=INT(ROUND(F7,2)))</formula>
    </cfRule>
    <cfRule type="expression" dxfId="15" priority="2">
      <formula>AND(ISNUMBER(F7),ROUND(F7,2)&lt;&gt;INT(ROUND(F7,2)))</formula>
    </cfRule>
  </conditionalFormatting>
  <conditionalFormatting sqref="E8">
    <cfRule type="expression" dxfId="16" priority="1">
      <formula>AND(ISNUMBER(E8),ROUND(E8,2)=INT(ROUND(E8,2)))</formula>
    </cfRule>
    <cfRule type="expression" dxfId="17" priority="2">
      <formula>AND(ISNUMBER(E8),ROUND(E8,2)&lt;&gt;INT(ROUND(E8,2)))</formula>
    </cfRule>
  </conditionalFormatting>
  <conditionalFormatting sqref="F8">
    <cfRule type="expression" dxfId="18" priority="1">
      <formula>AND(ISNUMBER(F8),ROUND(F8,2)=INT(ROUND(F8,2)))</formula>
    </cfRule>
    <cfRule type="expression" dxfId="19" priority="2">
      <formula>AND(ISNUMBER(F8),ROUND(F8,2)&lt;&gt;INT(ROUND(F8,2)))</formula>
    </cfRule>
  </conditionalFormatting>
  <conditionalFormatting sqref="E9">
    <cfRule type="expression" dxfId="20" priority="1">
      <formula>AND(ISNUMBER(E9),ROUND(E9,2)=INT(ROUND(E9,2)))</formula>
    </cfRule>
    <cfRule type="expression" dxfId="21" priority="2">
      <formula>AND(ISNUMBER(E9),ROUND(E9,2)&lt;&gt;INT(ROUND(E9,2)))</formula>
    </cfRule>
  </conditionalFormatting>
  <conditionalFormatting sqref="F9">
    <cfRule type="expression" dxfId="22" priority="1">
      <formula>AND(ISNUMBER(F9),ROUND(F9,2)=INT(ROUND(F9,2)))</formula>
    </cfRule>
    <cfRule type="expression" dxfId="23" priority="2">
      <formula>AND(ISNUMBER(F9),ROUND(F9,2)&lt;&gt;INT(ROUND(F9,2)))</formula>
    </cfRule>
  </conditionalFormatting>
  <conditionalFormatting sqref="E10">
    <cfRule type="expression" dxfId="24" priority="1">
      <formula>AND(ISNUMBER(E10),ROUND(E10,2)=INT(ROUND(E10,2)))</formula>
    </cfRule>
    <cfRule type="expression" dxfId="25" priority="2">
      <formula>AND(ISNUMBER(E10),ROUND(E10,2)&lt;&gt;INT(ROUND(E10,2)))</formula>
    </cfRule>
  </conditionalFormatting>
  <conditionalFormatting sqref="F10">
    <cfRule type="expression" dxfId="26" priority="1">
      <formula>AND(ISNUMBER(F10),ROUND(F10,2)=INT(ROUND(F10,2)))</formula>
    </cfRule>
    <cfRule type="expression" dxfId="27" priority="2">
      <formula>AND(ISNUMBER(F10),ROUND(F10,2)&lt;&gt;INT(ROUND(F10,2)))</formula>
    </cfRule>
  </conditionalFormatting>
  <conditionalFormatting sqref="F12">
    <cfRule type="expression" dxfId="28" priority="1">
      <formula>AND(ISNUMBER(F12),ROUND(F12,2)=INT(ROUND(F12,2)))</formula>
    </cfRule>
    <cfRule type="expression" dxfId="29" priority="2">
      <formula>AND(ISNUMBER(F12),ROUND(F12,2)&lt;&gt;INT(ROUND(F12,2)))</formula>
    </cfRule>
  </conditionalFormatting>
  <dataValidations count="9">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41</v>
      </c>
      <c r="C1" s="3"/>
      <c r="D1" s="3"/>
      <c r="E1" s="3"/>
      <c r="F1" s="3"/>
      <c r="G1" s="1" t="s">
        <v>40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123</v>
      </c>
      <c r="C3" s="21"/>
      <c r="D3" s="21"/>
      <c r="E3" s="21"/>
      <c r="F3" s="21"/>
      <c r="G3" s="4" t="s">
        <v>124</v>
      </c>
      <c r="H3" s="4" t="s">
        <v>103</v>
      </c>
    </row>
    <row r="4" ht="46.8" customHeight="1" spans="1:8" x14ac:dyDescent="0.25">
      <c r="A4" s="21"/>
      <c r="B4" s="22" t="s">
        <v>125</v>
      </c>
      <c r="C4" s="21" t="s">
        <v>126</v>
      </c>
      <c r="D4" s="21"/>
      <c r="E4" s="25"/>
      <c r="F4" s="25" t="str">
        <f>IF(ISBLANK(D4),"",IF(NOT(ISNUMBER(D4)),"קלט לא תקין",IF(D4&lt;0,"קלט לא תקין",IF(ISBLANK(E4),"",IF(OR(E4="כלול",E4="לא רלוונטי"),0,IF(NOT(ISNUMBER(E4)),"קלט לא תקין",IF(E4&lt;0,"קלט לא תקין",ROUND(D4*E4,2))))))))</f>
        <v/>
      </c>
      <c r="G4" s="4" t="s">
        <v>127</v>
      </c>
      <c r="H4" s="4" t="s">
        <v>107</v>
      </c>
    </row>
    <row r="5" ht="46.8" customHeight="1" spans="1:8" x14ac:dyDescent="0.25">
      <c r="A5" s="21"/>
      <c r="B5" s="22" t="s">
        <v>128</v>
      </c>
      <c r="C5" s="21" t="s">
        <v>111</v>
      </c>
      <c r="D5" s="21"/>
      <c r="E5" s="25"/>
      <c r="F5" s="25" t="str">
        <f>IF(ISBLANK(D5),"",IF(NOT(ISNUMBER(D5)),"קלט לא תקין",IF(D5&lt;0,"קלט לא תקין",IF(ISBLANK(E5),"",IF(OR(E5="כלול",E5="לא רלוונטי"),0,IF(NOT(ISNUMBER(E5)),"קלט לא תקין",IF(E5&lt;0,"קלט לא תקין",ROUND(D5*E5,2))))))))</f>
        <v/>
      </c>
      <c r="G5" s="4" t="s">
        <v>129</v>
      </c>
      <c r="H5" s="4" t="s">
        <v>107</v>
      </c>
    </row>
    <row r="6" ht="46.8" customHeight="1" spans="1:8" x14ac:dyDescent="0.25">
      <c r="A6" s="21"/>
      <c r="B6" s="22" t="s">
        <v>130</v>
      </c>
      <c r="C6" s="21" t="s">
        <v>131</v>
      </c>
      <c r="D6" s="21"/>
      <c r="E6" s="25"/>
      <c r="F6" s="25" t="str">
        <f>IF(ISBLANK(D6),"",IF(NOT(ISNUMBER(D6)),"קלט לא תקין",IF(D6&lt;0,"קלט לא תקין",IF(ISBLANK(E6),"",IF(OR(E6="כלול",E6="לא רלוונטי"),0,IF(NOT(ISNUMBER(E6)),"קלט לא תקין",IF(E6&lt;0,"קלט לא תקין",ROUND(D6*E6,2))))))))</f>
        <v/>
      </c>
      <c r="G6" s="4" t="s">
        <v>132</v>
      </c>
      <c r="H6" s="4" t="s">
        <v>107</v>
      </c>
    </row>
    <row r="7" ht="46.8" customHeight="1" spans="1:8" x14ac:dyDescent="0.25">
      <c r="A7" s="21"/>
      <c r="B7" s="22" t="s">
        <v>133</v>
      </c>
      <c r="C7" s="21" t="s">
        <v>131</v>
      </c>
      <c r="D7" s="21"/>
      <c r="E7" s="25"/>
      <c r="F7" s="25" t="str">
        <f>IF(ISBLANK(D7),"",IF(NOT(ISNUMBER(D7)),"קלט לא תקין",IF(D7&lt;0,"קלט לא תקין",IF(ISBLANK(E7),"",IF(OR(E7="כלול",E7="לא רלוונטי"),0,IF(NOT(ISNUMBER(E7)),"קלט לא תקין",IF(E7&lt;0,"קלט לא תקין",ROUND(D7*E7,2))))))))</f>
        <v/>
      </c>
      <c r="G7" s="4" t="s">
        <v>134</v>
      </c>
      <c r="H7" s="4" t="s">
        <v>107</v>
      </c>
    </row>
    <row r="8" ht="46.8" customHeight="1" spans="1:8" x14ac:dyDescent="0.25">
      <c r="A8" s="21"/>
      <c r="B8" s="22" t="s">
        <v>135</v>
      </c>
      <c r="C8" s="21" t="s">
        <v>131</v>
      </c>
      <c r="D8" s="21"/>
      <c r="E8" s="25"/>
      <c r="F8" s="25" t="str">
        <f>IF(ISBLANK(D8),"",IF(NOT(ISNUMBER(D8)),"קלט לא תקין",IF(D8&lt;0,"קלט לא תקין",IF(ISBLANK(E8),"",IF(OR(E8="כלול",E8="לא רלוונטי"),0,IF(NOT(ISNUMBER(E8)),"קלט לא תקין",IF(E8&lt;0,"קלט לא תקין",ROUND(D8*E8,2))))))))</f>
        <v/>
      </c>
      <c r="G8" s="4" t="s">
        <v>136</v>
      </c>
      <c r="H8" s="4" t="s">
        <v>107</v>
      </c>
    </row>
    <row r="9" ht="308.4" customHeight="1" spans="1:8" x14ac:dyDescent="0.25">
      <c r="A9" s="21"/>
      <c r="B9" s="22"/>
      <c r="C9" s="21"/>
      <c r="D9" s="21"/>
      <c r="E9" s="21"/>
      <c r="F9" s="21"/>
      <c r="G9" s="4"/>
      <c r="H9" s="4" t="s">
        <v>6</v>
      </c>
    </row>
    <row r="10" ht="32" customHeight="1" spans="1:8" x14ac:dyDescent="0.25">
      <c r="A10" s="14"/>
      <c r="B10" s="15" t="s">
        <v>121</v>
      </c>
      <c r="C10" s="16"/>
      <c r="D10" s="16"/>
      <c r="E10" s="16"/>
      <c r="F10" s="27">
        <f>SUM(F4,F5,F6,F7,F8)</f>
        <v>0</v>
      </c>
      <c r="G10" s="4"/>
      <c r="H10" s="4" t="s">
        <v>122</v>
      </c>
    </row>
  </sheetData>
  <mergeCells count="2">
    <mergeCell ref="B1:F1"/>
    <mergeCell ref="B10:E10"/>
  </mergeCells>
  <conditionalFormatting sqref="E4">
    <cfRule type="expression" dxfId="30" priority="1">
      <formula>AND(ISNUMBER(E4),ROUND(E4,2)=INT(ROUND(E4,2)))</formula>
    </cfRule>
    <cfRule type="expression" dxfId="31" priority="2">
      <formula>AND(ISNUMBER(E4),ROUND(E4,2)&lt;&gt;INT(ROUND(E4,2)))</formula>
    </cfRule>
  </conditionalFormatting>
  <conditionalFormatting sqref="F4">
    <cfRule type="expression" dxfId="32" priority="1">
      <formula>AND(ISNUMBER(F4),ROUND(F4,2)=INT(ROUND(F4,2)))</formula>
    </cfRule>
    <cfRule type="expression" dxfId="33" priority="2">
      <formula>AND(ISNUMBER(F4),ROUND(F4,2)&lt;&gt;INT(ROUND(F4,2)))</formula>
    </cfRule>
  </conditionalFormatting>
  <conditionalFormatting sqref="E5">
    <cfRule type="expression" dxfId="34" priority="1">
      <formula>AND(ISNUMBER(E5),ROUND(E5,2)=INT(ROUND(E5,2)))</formula>
    </cfRule>
    <cfRule type="expression" dxfId="35" priority="2">
      <formula>AND(ISNUMBER(E5),ROUND(E5,2)&lt;&gt;INT(ROUND(E5,2)))</formula>
    </cfRule>
  </conditionalFormatting>
  <conditionalFormatting sqref="F5">
    <cfRule type="expression" dxfId="36" priority="1">
      <formula>AND(ISNUMBER(F5),ROUND(F5,2)=INT(ROUND(F5,2)))</formula>
    </cfRule>
    <cfRule type="expression" dxfId="37" priority="2">
      <formula>AND(ISNUMBER(F5),ROUND(F5,2)&lt;&gt;INT(ROUND(F5,2)))</formula>
    </cfRule>
  </conditionalFormatting>
  <conditionalFormatting sqref="E6">
    <cfRule type="expression" dxfId="38" priority="1">
      <formula>AND(ISNUMBER(E6),ROUND(E6,2)=INT(ROUND(E6,2)))</formula>
    </cfRule>
    <cfRule type="expression" dxfId="39" priority="2">
      <formula>AND(ISNUMBER(E6),ROUND(E6,2)&lt;&gt;INT(ROUND(E6,2)))</formula>
    </cfRule>
  </conditionalFormatting>
  <conditionalFormatting sqref="F6">
    <cfRule type="expression" dxfId="40" priority="1">
      <formula>AND(ISNUMBER(F6),ROUND(F6,2)=INT(ROUND(F6,2)))</formula>
    </cfRule>
    <cfRule type="expression" dxfId="41" priority="2">
      <formula>AND(ISNUMBER(F6),ROUND(F6,2)&lt;&gt;INT(ROUND(F6,2)))</formula>
    </cfRule>
  </conditionalFormatting>
  <conditionalFormatting sqref="E7">
    <cfRule type="expression" dxfId="42" priority="1">
      <formula>AND(ISNUMBER(E7),ROUND(E7,2)=INT(ROUND(E7,2)))</formula>
    </cfRule>
    <cfRule type="expression" dxfId="43" priority="2">
      <formula>AND(ISNUMBER(E7),ROUND(E7,2)&lt;&gt;INT(ROUND(E7,2)))</formula>
    </cfRule>
  </conditionalFormatting>
  <conditionalFormatting sqref="F7">
    <cfRule type="expression" dxfId="44" priority="1">
      <formula>AND(ISNUMBER(F7),ROUND(F7,2)=INT(ROUND(F7,2)))</formula>
    </cfRule>
    <cfRule type="expression" dxfId="45" priority="2">
      <formula>AND(ISNUMBER(F7),ROUND(F7,2)&lt;&gt;INT(ROUND(F7,2)))</formula>
    </cfRule>
  </conditionalFormatting>
  <conditionalFormatting sqref="E8">
    <cfRule type="expression" dxfId="46" priority="1">
      <formula>AND(ISNUMBER(E8),ROUND(E8,2)=INT(ROUND(E8,2)))</formula>
    </cfRule>
    <cfRule type="expression" dxfId="47" priority="2">
      <formula>AND(ISNUMBER(E8),ROUND(E8,2)&lt;&gt;INT(ROUND(E8,2)))</formula>
    </cfRule>
  </conditionalFormatting>
  <conditionalFormatting sqref="F8">
    <cfRule type="expression" dxfId="48" priority="1">
      <formula>AND(ISNUMBER(F8),ROUND(F8,2)=INT(ROUND(F8,2)))</formula>
    </cfRule>
    <cfRule type="expression" dxfId="49" priority="2">
      <formula>AND(ISNUMBER(F8),ROUND(F8,2)&lt;&gt;INT(ROUND(F8,2)))</formula>
    </cfRule>
  </conditionalFormatting>
  <conditionalFormatting sqref="F10">
    <cfRule type="expression" dxfId="50" priority="1">
      <formula>AND(ISNUMBER(F10),ROUND(F10,2)=INT(ROUND(F10,2)))</formula>
    </cfRule>
    <cfRule type="expression" dxfId="51" priority="2">
      <formula>AND(ISNUMBER(F10),ROUND(F10,2)&lt;&gt;INT(ROUND(F10,2)))</formula>
    </cfRule>
  </conditionalFormatting>
  <dataValidations count="6">
    <dataValidation type="decimal" operator="greaterThanOrEqual" allowBlank="1" showErrorMessage="1" error="יש להזין מספר לא שלילי" sqref="D4:D8">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11</v>
      </c>
      <c r="C1" s="3"/>
      <c r="D1" s="3"/>
      <c r="E1" s="3"/>
      <c r="F1" s="3"/>
      <c r="G1" s="1" t="s">
        <v>43</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137</v>
      </c>
      <c r="C3" s="21"/>
      <c r="D3" s="21"/>
      <c r="E3" s="21"/>
      <c r="F3" s="21"/>
      <c r="G3" s="4" t="s">
        <v>138</v>
      </c>
      <c r="H3" s="4" t="s">
        <v>103</v>
      </c>
    </row>
    <row r="4" ht="64.19999999999999" customHeight="1" spans="1:8" x14ac:dyDescent="0.25">
      <c r="A4" s="21" t="s">
        <v>139</v>
      </c>
      <c r="B4" s="22" t="s">
        <v>140</v>
      </c>
      <c r="C4" s="21" t="s">
        <v>105</v>
      </c>
      <c r="D4" s="21"/>
      <c r="E4" s="25"/>
      <c r="F4" s="25" t="str">
        <f>IF(ISBLANK(D4),"",IF(NOT(ISNUMBER(D4)),"קלט לא תקין",IF(D4&lt;0,"קלט לא תקין",IF(ISBLANK(E4),"",IF(OR(E4="כלול",E4="לא רלוונטי"),0,IF(NOT(ISNUMBER(E4)),"קלט לא תקין",IF(E4&lt;0,"קלט לא תקין",ROUND(D4*E4,2))))))))</f>
        <v/>
      </c>
      <c r="G4" s="4" t="s">
        <v>141</v>
      </c>
      <c r="H4" s="4" t="s">
        <v>107</v>
      </c>
    </row>
    <row r="5" ht="64.19999999999999" customHeight="1" spans="1:8" x14ac:dyDescent="0.25">
      <c r="A5" s="21" t="s">
        <v>142</v>
      </c>
      <c r="B5" s="22" t="s">
        <v>143</v>
      </c>
      <c r="C5" s="21" t="s">
        <v>144</v>
      </c>
      <c r="D5" s="21"/>
      <c r="E5" s="25"/>
      <c r="F5" s="25" t="str">
        <f>IF(ISBLANK(D5),"",IF(NOT(ISNUMBER(D5)),"קלט לא תקין",IF(D5&lt;0,"קלט לא תקין",IF(ISBLANK(E5),"",IF(OR(E5="כלול",E5="לא רלוונטי"),0,IF(NOT(ISNUMBER(E5)),"קלט לא תקין",IF(E5&lt;0,"קלט לא תקין",ROUND(D5*E5,2))))))))</f>
        <v/>
      </c>
      <c r="G5" s="4" t="s">
        <v>145</v>
      </c>
      <c r="H5" s="4" t="s">
        <v>107</v>
      </c>
    </row>
    <row r="6" ht="46.8" customHeight="1" spans="1:8" x14ac:dyDescent="0.25">
      <c r="A6" s="21" t="s">
        <v>146</v>
      </c>
      <c r="B6" s="22" t="s">
        <v>147</v>
      </c>
      <c r="C6" s="21" t="s">
        <v>144</v>
      </c>
      <c r="D6" s="21"/>
      <c r="E6" s="25"/>
      <c r="F6" s="25" t="str">
        <f>IF(ISBLANK(D6),"",IF(NOT(ISNUMBER(D6)),"קלט לא תקין",IF(D6&lt;0,"קלט לא תקין",IF(ISBLANK(E6),"",IF(OR(E6="כלול",E6="לא רלוונטי"),0,IF(NOT(ISNUMBER(E6)),"קלט לא תקין",IF(E6&lt;0,"קלט לא תקין",ROUND(D6*E6,2))))))))</f>
        <v/>
      </c>
      <c r="G6" s="4" t="s">
        <v>148</v>
      </c>
      <c r="H6" s="4" t="s">
        <v>107</v>
      </c>
    </row>
    <row r="7" ht="46.8" customHeight="1" spans="1:8" x14ac:dyDescent="0.25">
      <c r="A7" s="21" t="s">
        <v>149</v>
      </c>
      <c r="B7" s="22" t="s">
        <v>150</v>
      </c>
      <c r="C7" s="21" t="s">
        <v>144</v>
      </c>
      <c r="D7" s="21"/>
      <c r="E7" s="25"/>
      <c r="F7" s="25" t="str">
        <f>IF(ISBLANK(D7),"",IF(NOT(ISNUMBER(D7)),"קלט לא תקין",IF(D7&lt;0,"קלט לא תקין",IF(ISBLANK(E7),"",IF(OR(E7="כלול",E7="לא רלוונטי"),0,IF(NOT(ISNUMBER(E7)),"קלט לא תקין",IF(E7&lt;0,"קלט לא תקין",ROUND(D7*E7,2))))))))</f>
        <v/>
      </c>
      <c r="G7" s="4" t="s">
        <v>151</v>
      </c>
      <c r="H7" s="4" t="s">
        <v>107</v>
      </c>
    </row>
    <row r="8" ht="46.8" customHeight="1" spans="1:8" x14ac:dyDescent="0.25">
      <c r="A8" s="21" t="s">
        <v>152</v>
      </c>
      <c r="B8" s="22" t="s">
        <v>153</v>
      </c>
      <c r="C8" s="21" t="s">
        <v>144</v>
      </c>
      <c r="D8" s="21"/>
      <c r="E8" s="25"/>
      <c r="F8" s="25" t="str">
        <f>IF(ISBLANK(D8),"",IF(NOT(ISNUMBER(D8)),"קלט לא תקין",IF(D8&lt;0,"קלט לא תקין",IF(ISBLANK(E8),"",IF(OR(E8="כלול",E8="לא רלוונטי"),0,IF(NOT(ISNUMBER(E8)),"קלט לא תקין",IF(E8&lt;0,"קלט לא תקין",ROUND(D8*E8,2))))))))</f>
        <v/>
      </c>
      <c r="G8" s="4" t="s">
        <v>154</v>
      </c>
      <c r="H8" s="4" t="s">
        <v>107</v>
      </c>
    </row>
    <row r="9" ht="64.19999999999999" customHeight="1" spans="1:8" x14ac:dyDescent="0.25">
      <c r="A9" s="21" t="s">
        <v>155</v>
      </c>
      <c r="B9" s="22" t="s">
        <v>156</v>
      </c>
      <c r="C9" s="21" t="s">
        <v>131</v>
      </c>
      <c r="D9" s="21"/>
      <c r="E9" s="25"/>
      <c r="F9" s="25" t="str">
        <f>IF(ISBLANK(D9),"",IF(NOT(ISNUMBER(D9)),"קלט לא תקין",IF(D9&lt;0,"קלט לא תקין",IF(ISBLANK(E9),"",IF(OR(E9="כלול",E9="לא רלוונטי"),0,IF(NOT(ISNUMBER(E9)),"קלט לא תקין",IF(E9&lt;0,"קלט לא תקין",ROUND(D9*E9,2))))))))</f>
        <v/>
      </c>
      <c r="G9" s="4" t="s">
        <v>157</v>
      </c>
      <c r="H9" s="4" t="s">
        <v>107</v>
      </c>
    </row>
    <row r="10" ht="64.19999999999999" customHeight="1" spans="1:8" x14ac:dyDescent="0.25">
      <c r="A10" s="21" t="s">
        <v>158</v>
      </c>
      <c r="B10" s="22" t="s">
        <v>159</v>
      </c>
      <c r="C10" s="21" t="s">
        <v>131</v>
      </c>
      <c r="D10" s="21"/>
      <c r="E10" s="25"/>
      <c r="F10" s="25" t="str">
        <f>IF(ISBLANK(D10),"",IF(NOT(ISNUMBER(D10)),"קלט לא תקין",IF(D10&lt;0,"קלט לא תקין",IF(ISBLANK(E10),"",IF(OR(E10="כלול",E10="לא רלוונטי"),0,IF(NOT(ISNUMBER(E10)),"קלט לא תקין",IF(E10&lt;0,"קלט לא תקין",ROUND(D10*E10,2))))))))</f>
        <v/>
      </c>
      <c r="G10" s="4" t="s">
        <v>160</v>
      </c>
      <c r="H10" s="4" t="s">
        <v>107</v>
      </c>
    </row>
    <row r="11" ht="145.20000000000005" customHeight="1" spans="1:8" x14ac:dyDescent="0.25">
      <c r="A11" s="21"/>
      <c r="B11" s="22"/>
      <c r="C11" s="21"/>
      <c r="D11" s="21"/>
      <c r="E11" s="21"/>
      <c r="F11" s="21"/>
      <c r="G11" s="4"/>
      <c r="H11" s="4" t="s">
        <v>6</v>
      </c>
    </row>
    <row r="12" ht="32" customHeight="1" spans="1:8" x14ac:dyDescent="0.25">
      <c r="A12" s="14"/>
      <c r="B12" s="15" t="s">
        <v>161</v>
      </c>
      <c r="C12" s="16"/>
      <c r="D12" s="16"/>
      <c r="E12" s="16"/>
      <c r="F12" s="27">
        <f>SUM(F4,F5,F6,F7,F8,F9,F10)</f>
        <v>0</v>
      </c>
      <c r="G12" s="4"/>
      <c r="H12" s="4" t="s">
        <v>122</v>
      </c>
    </row>
  </sheetData>
  <mergeCells count="2">
    <mergeCell ref="B1:F1"/>
    <mergeCell ref="B12:E12"/>
  </mergeCells>
  <conditionalFormatting sqref="E4">
    <cfRule type="expression" dxfId="52" priority="1">
      <formula>AND(ISNUMBER(E4),ROUND(E4,2)=INT(ROUND(E4,2)))</formula>
    </cfRule>
    <cfRule type="expression" dxfId="53" priority="2">
      <formula>AND(ISNUMBER(E4),ROUND(E4,2)&lt;&gt;INT(ROUND(E4,2)))</formula>
    </cfRule>
  </conditionalFormatting>
  <conditionalFormatting sqref="F4">
    <cfRule type="expression" dxfId="54" priority="1">
      <formula>AND(ISNUMBER(F4),ROUND(F4,2)=INT(ROUND(F4,2)))</formula>
    </cfRule>
    <cfRule type="expression" dxfId="55" priority="2">
      <formula>AND(ISNUMBER(F4),ROUND(F4,2)&lt;&gt;INT(ROUND(F4,2)))</formula>
    </cfRule>
  </conditionalFormatting>
  <conditionalFormatting sqref="E5">
    <cfRule type="expression" dxfId="56" priority="1">
      <formula>AND(ISNUMBER(E5),ROUND(E5,2)=INT(ROUND(E5,2)))</formula>
    </cfRule>
    <cfRule type="expression" dxfId="57" priority="2">
      <formula>AND(ISNUMBER(E5),ROUND(E5,2)&lt;&gt;INT(ROUND(E5,2)))</formula>
    </cfRule>
  </conditionalFormatting>
  <conditionalFormatting sqref="F5">
    <cfRule type="expression" dxfId="58" priority="1">
      <formula>AND(ISNUMBER(F5),ROUND(F5,2)=INT(ROUND(F5,2)))</formula>
    </cfRule>
    <cfRule type="expression" dxfId="59" priority="2">
      <formula>AND(ISNUMBER(F5),ROUND(F5,2)&lt;&gt;INT(ROUND(F5,2)))</formula>
    </cfRule>
  </conditionalFormatting>
  <conditionalFormatting sqref="E6">
    <cfRule type="expression" dxfId="60" priority="1">
      <formula>AND(ISNUMBER(E6),ROUND(E6,2)=INT(ROUND(E6,2)))</formula>
    </cfRule>
    <cfRule type="expression" dxfId="61" priority="2">
      <formula>AND(ISNUMBER(E6),ROUND(E6,2)&lt;&gt;INT(ROUND(E6,2)))</formula>
    </cfRule>
  </conditionalFormatting>
  <conditionalFormatting sqref="F6">
    <cfRule type="expression" dxfId="62" priority="1">
      <formula>AND(ISNUMBER(F6),ROUND(F6,2)=INT(ROUND(F6,2)))</formula>
    </cfRule>
    <cfRule type="expression" dxfId="63" priority="2">
      <formula>AND(ISNUMBER(F6),ROUND(F6,2)&lt;&gt;INT(ROUND(F6,2)))</formula>
    </cfRule>
  </conditionalFormatting>
  <conditionalFormatting sqref="E7">
    <cfRule type="expression" dxfId="64" priority="1">
      <formula>AND(ISNUMBER(E7),ROUND(E7,2)=INT(ROUND(E7,2)))</formula>
    </cfRule>
    <cfRule type="expression" dxfId="65" priority="2">
      <formula>AND(ISNUMBER(E7),ROUND(E7,2)&lt;&gt;INT(ROUND(E7,2)))</formula>
    </cfRule>
  </conditionalFormatting>
  <conditionalFormatting sqref="F7">
    <cfRule type="expression" dxfId="66" priority="1">
      <formula>AND(ISNUMBER(F7),ROUND(F7,2)=INT(ROUND(F7,2)))</formula>
    </cfRule>
    <cfRule type="expression" dxfId="67" priority="2">
      <formula>AND(ISNUMBER(F7),ROUND(F7,2)&lt;&gt;INT(ROUND(F7,2)))</formula>
    </cfRule>
  </conditionalFormatting>
  <conditionalFormatting sqref="E8">
    <cfRule type="expression" dxfId="68" priority="1">
      <formula>AND(ISNUMBER(E8),ROUND(E8,2)=INT(ROUND(E8,2)))</formula>
    </cfRule>
    <cfRule type="expression" dxfId="69" priority="2">
      <formula>AND(ISNUMBER(E8),ROUND(E8,2)&lt;&gt;INT(ROUND(E8,2)))</formula>
    </cfRule>
  </conditionalFormatting>
  <conditionalFormatting sqref="F8">
    <cfRule type="expression" dxfId="70" priority="1">
      <formula>AND(ISNUMBER(F8),ROUND(F8,2)=INT(ROUND(F8,2)))</formula>
    </cfRule>
    <cfRule type="expression" dxfId="71" priority="2">
      <formula>AND(ISNUMBER(F8),ROUND(F8,2)&lt;&gt;INT(ROUND(F8,2)))</formula>
    </cfRule>
  </conditionalFormatting>
  <conditionalFormatting sqref="E9">
    <cfRule type="expression" dxfId="72" priority="1">
      <formula>AND(ISNUMBER(E9),ROUND(E9,2)=INT(ROUND(E9,2)))</formula>
    </cfRule>
    <cfRule type="expression" dxfId="73" priority="2">
      <formula>AND(ISNUMBER(E9),ROUND(E9,2)&lt;&gt;INT(ROUND(E9,2)))</formula>
    </cfRule>
  </conditionalFormatting>
  <conditionalFormatting sqref="F9">
    <cfRule type="expression" dxfId="74" priority="1">
      <formula>AND(ISNUMBER(F9),ROUND(F9,2)=INT(ROUND(F9,2)))</formula>
    </cfRule>
    <cfRule type="expression" dxfId="75" priority="2">
      <formula>AND(ISNUMBER(F9),ROUND(F9,2)&lt;&gt;INT(ROUND(F9,2)))</formula>
    </cfRule>
  </conditionalFormatting>
  <conditionalFormatting sqref="E10">
    <cfRule type="expression" dxfId="76" priority="1">
      <formula>AND(ISNUMBER(E10),ROUND(E10,2)=INT(ROUND(E10,2)))</formula>
    </cfRule>
    <cfRule type="expression" dxfId="77" priority="2">
      <formula>AND(ISNUMBER(E10),ROUND(E10,2)&lt;&gt;INT(ROUND(E10,2)))</formula>
    </cfRule>
  </conditionalFormatting>
  <conditionalFormatting sqref="F10">
    <cfRule type="expression" dxfId="78" priority="1">
      <formula>AND(ISNUMBER(F10),ROUND(F10,2)=INT(ROUND(F10,2)))</formula>
    </cfRule>
    <cfRule type="expression" dxfId="79" priority="2">
      <formula>AND(ISNUMBER(F10),ROUND(F10,2)&lt;&gt;INT(ROUND(F10,2)))</formula>
    </cfRule>
  </conditionalFormatting>
  <conditionalFormatting sqref="F12">
    <cfRule type="expression" dxfId="80" priority="1">
      <formula>AND(ISNUMBER(F12),ROUND(F12,2)=INT(ROUND(F12,2)))</formula>
    </cfRule>
    <cfRule type="expression" dxfId="81" priority="2">
      <formula>AND(ISNUMBER(F12),ROUND(F12,2)&lt;&gt;INT(ROUND(F12,2)))</formula>
    </cfRule>
  </conditionalFormatting>
  <dataValidations count="9">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3"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12</v>
      </c>
      <c r="C1" s="3"/>
      <c r="D1" s="3"/>
      <c r="E1" s="3"/>
      <c r="F1" s="3"/>
      <c r="G1" s="1" t="s">
        <v>45</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162</v>
      </c>
      <c r="C3" s="21"/>
      <c r="D3" s="21"/>
      <c r="E3" s="21"/>
      <c r="F3" s="21"/>
      <c r="G3" s="4" t="s">
        <v>163</v>
      </c>
      <c r="H3" s="4" t="s">
        <v>103</v>
      </c>
    </row>
    <row r="4" ht="64.19999999999999" customHeight="1" spans="1:8" x14ac:dyDescent="0.25">
      <c r="A4" s="21" t="s">
        <v>164</v>
      </c>
      <c r="B4" s="22" t="s">
        <v>165</v>
      </c>
      <c r="C4" s="21" t="s">
        <v>144</v>
      </c>
      <c r="D4" s="21"/>
      <c r="E4" s="25"/>
      <c r="F4" s="25" t="str">
        <f>IF(ISBLANK(D4),"",IF(NOT(ISNUMBER(D4)),"קלט לא תקין",IF(D4&lt;0,"קלט לא תקין",IF(ISBLANK(E4),"",IF(OR(E4="כלול",E4="לא רלוונטי"),0,IF(NOT(ISNUMBER(E4)),"קלט לא תקין",IF(E4&lt;0,"קלט לא תקין",ROUND(D4*E4,2))))))))</f>
        <v/>
      </c>
      <c r="G4" s="4" t="s">
        <v>166</v>
      </c>
      <c r="H4" s="4" t="s">
        <v>107</v>
      </c>
    </row>
    <row r="5" ht="46.8" customHeight="1" spans="1:8" x14ac:dyDescent="0.25">
      <c r="A5" s="21" t="s">
        <v>167</v>
      </c>
      <c r="B5" s="22" t="s">
        <v>168</v>
      </c>
      <c r="C5" s="21" t="s">
        <v>131</v>
      </c>
      <c r="D5" s="21"/>
      <c r="E5" s="25"/>
      <c r="F5" s="25" t="str">
        <f>IF(ISBLANK(D5),"",IF(NOT(ISNUMBER(D5)),"קלט לא תקין",IF(D5&lt;0,"קלט לא תקין",IF(ISBLANK(E5),"",IF(OR(E5="כלול",E5="לא רלוונטי"),0,IF(NOT(ISNUMBER(E5)),"קלט לא תקין",IF(E5&lt;0,"קלט לא תקין",ROUND(D5*E5,2))))))))</f>
        <v/>
      </c>
      <c r="G5" s="4" t="s">
        <v>169</v>
      </c>
      <c r="H5" s="4" t="s">
        <v>107</v>
      </c>
    </row>
    <row r="6" ht="46.8" customHeight="1" spans="1:8" x14ac:dyDescent="0.25">
      <c r="A6" s="21" t="s">
        <v>170</v>
      </c>
      <c r="B6" s="22" t="s">
        <v>171</v>
      </c>
      <c r="C6" s="21" t="s">
        <v>131</v>
      </c>
      <c r="D6" s="21"/>
      <c r="E6" s="25"/>
      <c r="F6" s="25" t="str">
        <f>IF(ISBLANK(D6),"",IF(NOT(ISNUMBER(D6)),"קלט לא תקין",IF(D6&lt;0,"קלט לא תקין",IF(ISBLANK(E6),"",IF(OR(E6="כלול",E6="לא רלוונטי"),0,IF(NOT(ISNUMBER(E6)),"קלט לא תקין",IF(E6&lt;0,"קלט לא תקין",ROUND(D6*E6,2))))))))</f>
        <v/>
      </c>
      <c r="G6" s="4" t="s">
        <v>172</v>
      </c>
      <c r="H6" s="4" t="s">
        <v>107</v>
      </c>
    </row>
    <row r="7" ht="46.8" customHeight="1" spans="1:8" x14ac:dyDescent="0.25">
      <c r="A7" s="21" t="s">
        <v>173</v>
      </c>
      <c r="B7" s="22" t="s">
        <v>174</v>
      </c>
      <c r="C7" s="21" t="s">
        <v>144</v>
      </c>
      <c r="D7" s="21"/>
      <c r="E7" s="25"/>
      <c r="F7" s="25" t="str">
        <f>IF(ISBLANK(D7),"",IF(NOT(ISNUMBER(D7)),"קלט לא תקין",IF(D7&lt;0,"קלט לא תקין",IF(ISBLANK(E7),"",IF(OR(E7="כלול",E7="לא רלוונטי"),0,IF(NOT(ISNUMBER(E7)),"קלט לא תקין",IF(E7&lt;0,"קלט לא תקין",ROUND(D7*E7,2))))))))</f>
        <v/>
      </c>
      <c r="G7" s="4" t="s">
        <v>175</v>
      </c>
      <c r="H7" s="4" t="s">
        <v>107</v>
      </c>
    </row>
    <row r="8" ht="46.8" customHeight="1" spans="1:8" x14ac:dyDescent="0.25">
      <c r="A8" s="21" t="s">
        <v>176</v>
      </c>
      <c r="B8" s="22" t="s">
        <v>177</v>
      </c>
      <c r="C8" s="21" t="s">
        <v>144</v>
      </c>
      <c r="D8" s="21"/>
      <c r="E8" s="25"/>
      <c r="F8" s="25" t="str">
        <f>IF(ISBLANK(D8),"",IF(NOT(ISNUMBER(D8)),"קלט לא תקין",IF(D8&lt;0,"קלט לא תקין",IF(ISBLANK(E8),"",IF(OR(E8="כלול",E8="לא רלוונטי"),0,IF(NOT(ISNUMBER(E8)),"קלט לא תקין",IF(E8&lt;0,"קלט לא תקין",ROUND(D8*E8,2))))))))</f>
        <v/>
      </c>
      <c r="G8" s="4" t="s">
        <v>178</v>
      </c>
      <c r="H8" s="4" t="s">
        <v>107</v>
      </c>
    </row>
    <row r="9" ht="46.8" customHeight="1" spans="1:8" x14ac:dyDescent="0.25">
      <c r="A9" s="21" t="s">
        <v>179</v>
      </c>
      <c r="B9" s="22" t="s">
        <v>180</v>
      </c>
      <c r="C9" s="21" t="s">
        <v>144</v>
      </c>
      <c r="D9" s="21"/>
      <c r="E9" s="25"/>
      <c r="F9" s="25" t="str">
        <f>IF(ISBLANK(D9),"",IF(NOT(ISNUMBER(D9)),"קלט לא תקין",IF(D9&lt;0,"קלט לא תקין",IF(ISBLANK(E9),"",IF(OR(E9="כלול",E9="לא רלוונטי"),0,IF(NOT(ISNUMBER(E9)),"קלט לא תקין",IF(E9&lt;0,"קלט לא תקין",ROUND(D9*E9,2))))))))</f>
        <v/>
      </c>
      <c r="G9" s="4" t="s">
        <v>181</v>
      </c>
      <c r="H9" s="4" t="s">
        <v>107</v>
      </c>
    </row>
    <row r="10" ht="46.8" customHeight="1" spans="1:8" x14ac:dyDescent="0.25">
      <c r="A10" s="21" t="s">
        <v>182</v>
      </c>
      <c r="B10" s="22" t="s">
        <v>183</v>
      </c>
      <c r="C10" s="21" t="s">
        <v>144</v>
      </c>
      <c r="D10" s="21"/>
      <c r="E10" s="25"/>
      <c r="F10" s="25" t="str">
        <f>IF(ISBLANK(D10),"",IF(NOT(ISNUMBER(D10)),"קלט לא תקין",IF(D10&lt;0,"קלט לא תקין",IF(ISBLANK(E10),"",IF(OR(E10="כלול",E10="לא רלוונטי"),0,IF(NOT(ISNUMBER(E10)),"קלט לא תקין",IF(E10&lt;0,"קלט לא תקין",ROUND(D10*E10,2))))))))</f>
        <v/>
      </c>
      <c r="G10" s="4" t="s">
        <v>184</v>
      </c>
      <c r="H10" s="4" t="s">
        <v>107</v>
      </c>
    </row>
    <row r="11" ht="64.19999999999999" customHeight="1" spans="1:8" x14ac:dyDescent="0.25">
      <c r="A11" s="21" t="s">
        <v>185</v>
      </c>
      <c r="B11" s="22" t="s">
        <v>186</v>
      </c>
      <c r="C11" s="21" t="s">
        <v>144</v>
      </c>
      <c r="D11" s="21"/>
      <c r="E11" s="25"/>
      <c r="F11" s="25" t="str">
        <f>IF(ISBLANK(D11),"",IF(NOT(ISNUMBER(D11)),"קלט לא תקין",IF(D11&lt;0,"קלט לא תקין",IF(ISBLANK(E11),"",IF(OR(E11="כלול",E11="לא רלוונטי"),0,IF(NOT(ISNUMBER(E11)),"קלט לא תקין",IF(E11&lt;0,"קלט לא תקין",ROUND(D11*E11,2))))))))</f>
        <v/>
      </c>
      <c r="G11" s="4" t="s">
        <v>187</v>
      </c>
      <c r="H11" s="4" t="s">
        <v>107</v>
      </c>
    </row>
    <row r="12" ht="46.8" customHeight="1" spans="1:8" x14ac:dyDescent="0.25">
      <c r="A12" s="21" t="s">
        <v>188</v>
      </c>
      <c r="B12" s="22" t="s">
        <v>189</v>
      </c>
      <c r="C12" s="21" t="s">
        <v>105</v>
      </c>
      <c r="D12" s="21"/>
      <c r="E12" s="25"/>
      <c r="F12" s="25" t="str">
        <f>IF(ISBLANK(D12),"",IF(NOT(ISNUMBER(D12)),"קלט לא תקין",IF(D12&lt;0,"קלט לא תקין",IF(ISBLANK(E12),"",IF(OR(E12="כלול",E12="לא רלוונטי"),0,IF(NOT(ISNUMBER(E12)),"קלט לא תקין",IF(E12&lt;0,"קלט לא תקין",ROUND(D12*E12,2))))))))</f>
        <v/>
      </c>
      <c r="G12" s="4" t="s">
        <v>190</v>
      </c>
      <c r="H12" s="4" t="s">
        <v>107</v>
      </c>
    </row>
    <row r="13" ht="64.19999999999999" customHeight="1" spans="1:8" x14ac:dyDescent="0.25">
      <c r="A13" s="21" t="s">
        <v>191</v>
      </c>
      <c r="B13" s="22" t="s">
        <v>192</v>
      </c>
      <c r="C13" s="21" t="s">
        <v>144</v>
      </c>
      <c r="D13" s="21"/>
      <c r="E13" s="25"/>
      <c r="F13" s="25" t="str">
        <f>IF(ISBLANK(D13),"",IF(NOT(ISNUMBER(D13)),"קלט לא תקין",IF(D13&lt;0,"קלט לא תקין",IF(ISBLANK(E13),"",IF(OR(E13="כלול",E13="לא רלוונטי"),0,IF(NOT(ISNUMBER(E13)),"קלט לא תקין",IF(E13&lt;0,"קלט לא תקין",ROUND(D13*E13,2))))))))</f>
        <v/>
      </c>
      <c r="G13" s="4" t="s">
        <v>193</v>
      </c>
      <c r="H13" s="4" t="s">
        <v>107</v>
      </c>
    </row>
    <row r="14" ht="22.200000000000045" customHeight="1" spans="1:8" x14ac:dyDescent="0.25">
      <c r="A14" s="21"/>
      <c r="B14" s="22"/>
      <c r="C14" s="21"/>
      <c r="D14" s="21"/>
      <c r="E14" s="21"/>
      <c r="F14" s="21"/>
      <c r="G14" s="4"/>
      <c r="H14" s="4" t="s">
        <v>6</v>
      </c>
    </row>
    <row r="15" ht="32" customHeight="1" spans="1:8" x14ac:dyDescent="0.25">
      <c r="A15" s="14"/>
      <c r="B15" s="15" t="s">
        <v>194</v>
      </c>
      <c r="C15" s="16"/>
      <c r="D15" s="16"/>
      <c r="E15" s="16"/>
      <c r="F15" s="27">
        <f>SUM(F4,F5,F6,F7,F8,F9,F10,F11,F12,F13)</f>
        <v>0</v>
      </c>
      <c r="G15" s="4"/>
      <c r="H15" s="4" t="s">
        <v>122</v>
      </c>
    </row>
  </sheetData>
  <mergeCells count="2">
    <mergeCell ref="B1:F1"/>
    <mergeCell ref="B15:E15"/>
  </mergeCells>
  <conditionalFormatting sqref="E4">
    <cfRule type="expression" dxfId="82" priority="1">
      <formula>AND(ISNUMBER(E4),ROUND(E4,2)=INT(ROUND(E4,2)))</formula>
    </cfRule>
    <cfRule type="expression" dxfId="83" priority="2">
      <formula>AND(ISNUMBER(E4),ROUND(E4,2)&lt;&gt;INT(ROUND(E4,2)))</formula>
    </cfRule>
  </conditionalFormatting>
  <conditionalFormatting sqref="F4">
    <cfRule type="expression" dxfId="84" priority="1">
      <formula>AND(ISNUMBER(F4),ROUND(F4,2)=INT(ROUND(F4,2)))</formula>
    </cfRule>
    <cfRule type="expression" dxfId="85" priority="2">
      <formula>AND(ISNUMBER(F4),ROUND(F4,2)&lt;&gt;INT(ROUND(F4,2)))</formula>
    </cfRule>
  </conditionalFormatting>
  <conditionalFormatting sqref="E5">
    <cfRule type="expression" dxfId="86" priority="1">
      <formula>AND(ISNUMBER(E5),ROUND(E5,2)=INT(ROUND(E5,2)))</formula>
    </cfRule>
    <cfRule type="expression" dxfId="87" priority="2">
      <formula>AND(ISNUMBER(E5),ROUND(E5,2)&lt;&gt;INT(ROUND(E5,2)))</formula>
    </cfRule>
  </conditionalFormatting>
  <conditionalFormatting sqref="F5">
    <cfRule type="expression" dxfId="88" priority="1">
      <formula>AND(ISNUMBER(F5),ROUND(F5,2)=INT(ROUND(F5,2)))</formula>
    </cfRule>
    <cfRule type="expression" dxfId="89" priority="2">
      <formula>AND(ISNUMBER(F5),ROUND(F5,2)&lt;&gt;INT(ROUND(F5,2)))</formula>
    </cfRule>
  </conditionalFormatting>
  <conditionalFormatting sqref="E6">
    <cfRule type="expression" dxfId="90" priority="1">
      <formula>AND(ISNUMBER(E6),ROUND(E6,2)=INT(ROUND(E6,2)))</formula>
    </cfRule>
    <cfRule type="expression" dxfId="91" priority="2">
      <formula>AND(ISNUMBER(E6),ROUND(E6,2)&lt;&gt;INT(ROUND(E6,2)))</formula>
    </cfRule>
  </conditionalFormatting>
  <conditionalFormatting sqref="F6">
    <cfRule type="expression" dxfId="92" priority="1">
      <formula>AND(ISNUMBER(F6),ROUND(F6,2)=INT(ROUND(F6,2)))</formula>
    </cfRule>
    <cfRule type="expression" dxfId="93" priority="2">
      <formula>AND(ISNUMBER(F6),ROUND(F6,2)&lt;&gt;INT(ROUND(F6,2)))</formula>
    </cfRule>
  </conditionalFormatting>
  <conditionalFormatting sqref="E7">
    <cfRule type="expression" dxfId="94" priority="1">
      <formula>AND(ISNUMBER(E7),ROUND(E7,2)=INT(ROUND(E7,2)))</formula>
    </cfRule>
    <cfRule type="expression" dxfId="95" priority="2">
      <formula>AND(ISNUMBER(E7),ROUND(E7,2)&lt;&gt;INT(ROUND(E7,2)))</formula>
    </cfRule>
  </conditionalFormatting>
  <conditionalFormatting sqref="F7">
    <cfRule type="expression" dxfId="96" priority="1">
      <formula>AND(ISNUMBER(F7),ROUND(F7,2)=INT(ROUND(F7,2)))</formula>
    </cfRule>
    <cfRule type="expression" dxfId="97" priority="2">
      <formula>AND(ISNUMBER(F7),ROUND(F7,2)&lt;&gt;INT(ROUND(F7,2)))</formula>
    </cfRule>
  </conditionalFormatting>
  <conditionalFormatting sqref="E8">
    <cfRule type="expression" dxfId="98" priority="1">
      <formula>AND(ISNUMBER(E8),ROUND(E8,2)=INT(ROUND(E8,2)))</formula>
    </cfRule>
    <cfRule type="expression" dxfId="99" priority="2">
      <formula>AND(ISNUMBER(E8),ROUND(E8,2)&lt;&gt;INT(ROUND(E8,2)))</formula>
    </cfRule>
  </conditionalFormatting>
  <conditionalFormatting sqref="F8">
    <cfRule type="expression" dxfId="100" priority="1">
      <formula>AND(ISNUMBER(F8),ROUND(F8,2)=INT(ROUND(F8,2)))</formula>
    </cfRule>
    <cfRule type="expression" dxfId="101" priority="2">
      <formula>AND(ISNUMBER(F8),ROUND(F8,2)&lt;&gt;INT(ROUND(F8,2)))</formula>
    </cfRule>
  </conditionalFormatting>
  <conditionalFormatting sqref="E9">
    <cfRule type="expression" dxfId="102" priority="1">
      <formula>AND(ISNUMBER(E9),ROUND(E9,2)=INT(ROUND(E9,2)))</formula>
    </cfRule>
    <cfRule type="expression" dxfId="103" priority="2">
      <formula>AND(ISNUMBER(E9),ROUND(E9,2)&lt;&gt;INT(ROUND(E9,2)))</formula>
    </cfRule>
  </conditionalFormatting>
  <conditionalFormatting sqref="F9">
    <cfRule type="expression" dxfId="104" priority="1">
      <formula>AND(ISNUMBER(F9),ROUND(F9,2)=INT(ROUND(F9,2)))</formula>
    </cfRule>
    <cfRule type="expression" dxfId="105" priority="2">
      <formula>AND(ISNUMBER(F9),ROUND(F9,2)&lt;&gt;INT(ROUND(F9,2)))</formula>
    </cfRule>
  </conditionalFormatting>
  <conditionalFormatting sqref="E10">
    <cfRule type="expression" dxfId="106" priority="1">
      <formula>AND(ISNUMBER(E10),ROUND(E10,2)=INT(ROUND(E10,2)))</formula>
    </cfRule>
    <cfRule type="expression" dxfId="107" priority="2">
      <formula>AND(ISNUMBER(E10),ROUND(E10,2)&lt;&gt;INT(ROUND(E10,2)))</formula>
    </cfRule>
  </conditionalFormatting>
  <conditionalFormatting sqref="F10">
    <cfRule type="expression" dxfId="108" priority="1">
      <formula>AND(ISNUMBER(F10),ROUND(F10,2)=INT(ROUND(F10,2)))</formula>
    </cfRule>
    <cfRule type="expression" dxfId="109" priority="2">
      <formula>AND(ISNUMBER(F10),ROUND(F10,2)&lt;&gt;INT(ROUND(F10,2)))</formula>
    </cfRule>
  </conditionalFormatting>
  <conditionalFormatting sqref="E11">
    <cfRule type="expression" dxfId="110" priority="1">
      <formula>AND(ISNUMBER(E11),ROUND(E11,2)=INT(ROUND(E11,2)))</formula>
    </cfRule>
    <cfRule type="expression" dxfId="111" priority="2">
      <formula>AND(ISNUMBER(E11),ROUND(E11,2)&lt;&gt;INT(ROUND(E11,2)))</formula>
    </cfRule>
  </conditionalFormatting>
  <conditionalFormatting sqref="F11">
    <cfRule type="expression" dxfId="112" priority="1">
      <formula>AND(ISNUMBER(F11),ROUND(F11,2)=INT(ROUND(F11,2)))</formula>
    </cfRule>
    <cfRule type="expression" dxfId="113" priority="2">
      <formula>AND(ISNUMBER(F11),ROUND(F11,2)&lt;&gt;INT(ROUND(F11,2)))</formula>
    </cfRule>
  </conditionalFormatting>
  <conditionalFormatting sqref="E12">
    <cfRule type="expression" dxfId="114" priority="1">
      <formula>AND(ISNUMBER(E12),ROUND(E12,2)=INT(ROUND(E12,2)))</formula>
    </cfRule>
    <cfRule type="expression" dxfId="115" priority="2">
      <formula>AND(ISNUMBER(E12),ROUND(E12,2)&lt;&gt;INT(ROUND(E12,2)))</formula>
    </cfRule>
  </conditionalFormatting>
  <conditionalFormatting sqref="F12">
    <cfRule type="expression" dxfId="116" priority="1">
      <formula>AND(ISNUMBER(F12),ROUND(F12,2)=INT(ROUND(F12,2)))</formula>
    </cfRule>
    <cfRule type="expression" dxfId="117" priority="2">
      <formula>AND(ISNUMBER(F12),ROUND(F12,2)&lt;&gt;INT(ROUND(F12,2)))</formula>
    </cfRule>
  </conditionalFormatting>
  <conditionalFormatting sqref="E13">
    <cfRule type="expression" dxfId="118" priority="1">
      <formula>AND(ISNUMBER(E13),ROUND(E13,2)=INT(ROUND(E13,2)))</formula>
    </cfRule>
    <cfRule type="expression" dxfId="119" priority="2">
      <formula>AND(ISNUMBER(E13),ROUND(E13,2)&lt;&gt;INT(ROUND(E13,2)))</formula>
    </cfRule>
  </conditionalFormatting>
  <conditionalFormatting sqref="F13">
    <cfRule type="expression" dxfId="120" priority="1">
      <formula>AND(ISNUMBER(F13),ROUND(F13,2)=INT(ROUND(F13,2)))</formula>
    </cfRule>
    <cfRule type="expression" dxfId="121" priority="2">
      <formula>AND(ISNUMBER(F13),ROUND(F13,2)&lt;&gt;INT(ROUND(F13,2)))</formula>
    </cfRule>
  </conditionalFormatting>
  <conditionalFormatting sqref="F15">
    <cfRule type="expression" dxfId="122" priority="1">
      <formula>AND(ISNUMBER(F15),ROUND(F15,2)=INT(ROUND(F15,2)))</formula>
    </cfRule>
    <cfRule type="expression" dxfId="123" priority="2">
      <formula>AND(ISNUMBER(F15),ROUND(F15,2)&lt;&gt;INT(ROUND(F15,2)))</formula>
    </cfRule>
  </conditionalFormatting>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4"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48</v>
      </c>
      <c r="C1" s="3"/>
      <c r="D1" s="3"/>
      <c r="E1" s="3"/>
      <c r="F1" s="3"/>
      <c r="G1" s="1" t="s">
        <v>47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195</v>
      </c>
      <c r="C3" s="21"/>
      <c r="D3" s="21"/>
      <c r="E3" s="21"/>
      <c r="F3" s="21"/>
      <c r="G3" s="4" t="s">
        <v>196</v>
      </c>
      <c r="H3" s="4" t="s">
        <v>103</v>
      </c>
    </row>
    <row r="4" ht="64.19999999999999" customHeight="1" spans="1:8" x14ac:dyDescent="0.25">
      <c r="A4" s="21"/>
      <c r="B4" s="22" t="s">
        <v>197</v>
      </c>
      <c r="C4" s="21" t="s">
        <v>111</v>
      </c>
      <c r="D4" s="21"/>
      <c r="E4" s="25"/>
      <c r="F4" s="25" t="str">
        <f>IF(ISBLANK(D4),"",IF(NOT(ISNUMBER(D4)),"קלט לא תקין",IF(D4&lt;0,"קלט לא תקין",IF(ISBLANK(E4),"",IF(OR(E4="כלול",E4="לא רלוונטי"),0,IF(NOT(ISNUMBER(E4)),"קלט לא תקין",IF(E4&lt;0,"קלט לא תקין",ROUND(D4*E4,2))))))))</f>
        <v/>
      </c>
      <c r="G4" s="4" t="s">
        <v>198</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124" priority="1">
      <formula>AND(ISNUMBER(E4),ROUND(E4,2)=INT(ROUND(E4,2)))</formula>
    </cfRule>
    <cfRule type="expression" dxfId="125" priority="2">
      <formula>AND(ISNUMBER(E4),ROUND(E4,2)&lt;&gt;INT(ROUND(E4,2)))</formula>
    </cfRule>
  </conditionalFormatting>
  <conditionalFormatting sqref="F4">
    <cfRule type="expression" dxfId="126" priority="1">
      <formula>AND(ISNUMBER(F4),ROUND(F4,2)=INT(ROUND(F4,2)))</formula>
    </cfRule>
    <cfRule type="expression" dxfId="127" priority="2">
      <formula>AND(ISNUMBER(F4),ROUND(F4,2)&lt;&gt;INT(ROUND(F4,2)))</formula>
    </cfRule>
  </conditionalFormatting>
  <conditionalFormatting sqref="F7">
    <cfRule type="expression" dxfId="128" priority="1">
      <formula>AND(ISNUMBER(F7),ROUND(F7,2)=INT(ROUND(F7,2)))</formula>
    </cfRule>
    <cfRule type="expression" dxfId="129"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51</v>
      </c>
      <c r="C1" s="3"/>
      <c r="D1" s="3"/>
      <c r="E1" s="3"/>
      <c r="F1" s="3"/>
      <c r="G1" s="1" t="s">
        <v>50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199</v>
      </c>
      <c r="C3" s="21"/>
      <c r="D3" s="21"/>
      <c r="E3" s="21"/>
      <c r="F3" s="21"/>
      <c r="G3" s="4" t="s">
        <v>200</v>
      </c>
      <c r="H3" s="4" t="s">
        <v>103</v>
      </c>
    </row>
    <row r="4" ht="64.19999999999999" customHeight="1" spans="1:8" x14ac:dyDescent="0.25">
      <c r="A4" s="21"/>
      <c r="B4" s="22" t="s">
        <v>201</v>
      </c>
      <c r="C4" s="21" t="s">
        <v>111</v>
      </c>
      <c r="D4" s="21"/>
      <c r="E4" s="25"/>
      <c r="F4" s="25" t="str">
        <f>IF(ISBLANK(D4),"",IF(NOT(ISNUMBER(D4)),"קלט לא תקין",IF(D4&lt;0,"קלט לא תקין",IF(ISBLANK(E4),"",IF(OR(E4="כלול",E4="לא רלוונטי"),0,IF(NOT(ISNUMBER(E4)),"קלט לא תקין",IF(E4&lt;0,"קלט לא תקין",ROUND(D4*E4,2))))))))</f>
        <v/>
      </c>
      <c r="G4" s="4" t="s">
        <v>202</v>
      </c>
      <c r="H4" s="4" t="s">
        <v>107</v>
      </c>
    </row>
    <row r="5" ht="400" customHeight="1" spans="1:8" x14ac:dyDescent="0.25">
      <c r="A5" s="21"/>
      <c r="B5" s="22"/>
      <c r="C5" s="21"/>
      <c r="D5" s="21"/>
      <c r="E5" s="21"/>
      <c r="F5" s="21"/>
      <c r="G5" s="4"/>
      <c r="H5" s="4" t="s">
        <v>6</v>
      </c>
    </row>
    <row r="6" ht="78.20000000000005"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130" priority="1">
      <formula>AND(ISNUMBER(E4),ROUND(E4,2)=INT(ROUND(E4,2)))</formula>
    </cfRule>
    <cfRule type="expression" dxfId="131" priority="2">
      <formula>AND(ISNUMBER(E4),ROUND(E4,2)&lt;&gt;INT(ROUND(E4,2)))</formula>
    </cfRule>
  </conditionalFormatting>
  <conditionalFormatting sqref="F4">
    <cfRule type="expression" dxfId="132" priority="1">
      <formula>AND(ISNUMBER(F4),ROUND(F4,2)=INT(ROUND(F4,2)))</formula>
    </cfRule>
    <cfRule type="expression" dxfId="133" priority="2">
      <formula>AND(ISNUMBER(F4),ROUND(F4,2)&lt;&gt;INT(ROUND(F4,2)))</formula>
    </cfRule>
  </conditionalFormatting>
  <conditionalFormatting sqref="F7">
    <cfRule type="expression" dxfId="134" priority="1">
      <formula>AND(ISNUMBER(F7),ROUND(F7,2)=INT(ROUND(F7,2)))</formula>
    </cfRule>
    <cfRule type="expression" dxfId="135"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54</v>
      </c>
      <c r="C1" s="3"/>
      <c r="D1" s="3"/>
      <c r="E1" s="3"/>
      <c r="F1" s="3"/>
      <c r="G1" s="1" t="s">
        <v>53</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203</v>
      </c>
      <c r="C3" s="21"/>
      <c r="D3" s="21"/>
      <c r="E3" s="21"/>
      <c r="F3" s="21"/>
      <c r="G3" s="4" t="s">
        <v>204</v>
      </c>
      <c r="H3" s="4" t="s">
        <v>103</v>
      </c>
    </row>
    <row r="4" ht="64.19999999999999" customHeight="1" spans="1:8" x14ac:dyDescent="0.25">
      <c r="A4" s="21"/>
      <c r="B4" s="22" t="s">
        <v>205</v>
      </c>
      <c r="C4" s="21" t="s">
        <v>131</v>
      </c>
      <c r="D4" s="21"/>
      <c r="E4" s="25"/>
      <c r="F4" s="25" t="str">
        <f>IF(ISBLANK(D4),"",IF(NOT(ISNUMBER(D4)),"קלט לא תקין",IF(D4&lt;0,"קלט לא תקין",IF(ISBLANK(E4),"",IF(OR(E4="כלול",E4="לא רלוונטי"),0,IF(NOT(ISNUMBER(E4)),"קלט לא תקין",IF(E4&lt;0,"קלט לא תקין",ROUND(D4*E4,2))))))))</f>
        <v/>
      </c>
      <c r="G4" s="4" t="s">
        <v>206</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136" priority="1">
      <formula>AND(ISNUMBER(E4),ROUND(E4,2)=INT(ROUND(E4,2)))</formula>
    </cfRule>
    <cfRule type="expression" dxfId="137" priority="2">
      <formula>AND(ISNUMBER(E4),ROUND(E4,2)&lt;&gt;INT(ROUND(E4,2)))</formula>
    </cfRule>
  </conditionalFormatting>
  <conditionalFormatting sqref="F4">
    <cfRule type="expression" dxfId="138" priority="1">
      <formula>AND(ISNUMBER(F4),ROUND(F4,2)=INT(ROUND(F4,2)))</formula>
    </cfRule>
    <cfRule type="expression" dxfId="139" priority="2">
      <formula>AND(ISNUMBER(F4),ROUND(F4,2)&lt;&gt;INT(ROUND(F4,2)))</formula>
    </cfRule>
  </conditionalFormatting>
  <conditionalFormatting sqref="F7">
    <cfRule type="expression" dxfId="140" priority="1">
      <formula>AND(ISNUMBER(F7),ROUND(F7,2)=INT(ROUND(F7,2)))</formula>
    </cfRule>
    <cfRule type="expression" dxfId="14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13</v>
      </c>
      <c r="C1" s="3"/>
      <c r="D1" s="3"/>
      <c r="E1" s="3"/>
      <c r="F1" s="3"/>
      <c r="G1" s="1" t="s">
        <v>56</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207</v>
      </c>
      <c r="C3" s="21"/>
      <c r="D3" s="21"/>
      <c r="E3" s="21"/>
      <c r="F3" s="21"/>
      <c r="G3" s="4" t="s">
        <v>208</v>
      </c>
      <c r="H3" s="4" t="s">
        <v>103</v>
      </c>
    </row>
    <row r="4" ht="64.19999999999999" customHeight="1" spans="1:8" x14ac:dyDescent="0.25">
      <c r="A4" s="21" t="s">
        <v>209</v>
      </c>
      <c r="B4" s="22" t="s">
        <v>210</v>
      </c>
      <c r="C4" s="21" t="s">
        <v>111</v>
      </c>
      <c r="D4" s="21"/>
      <c r="E4" s="25"/>
      <c r="F4" s="25" t="str">
        <f>IF(ISBLANK(D4),"",IF(NOT(ISNUMBER(D4)),"קלט לא תקין",IF(D4&lt;0,"קלט לא תקין",IF(ISBLANK(E4),"",IF(OR(E4="כלול",E4="לא רלוונטי"),0,IF(NOT(ISNUMBER(E4)),"קלט לא תקין",IF(E4&lt;0,"קלט לא תקין",ROUND(D4*E4,2))))))))</f>
        <v/>
      </c>
      <c r="G4" s="4" t="s">
        <v>211</v>
      </c>
      <c r="H4" s="4" t="s">
        <v>107</v>
      </c>
    </row>
    <row r="5" ht="64.19999999999999" customHeight="1" spans="1:8" x14ac:dyDescent="0.25">
      <c r="A5" s="21" t="s">
        <v>212</v>
      </c>
      <c r="B5" s="22" t="s">
        <v>213</v>
      </c>
      <c r="C5" s="21" t="s">
        <v>111</v>
      </c>
      <c r="D5" s="21"/>
      <c r="E5" s="25"/>
      <c r="F5" s="25" t="str">
        <f>IF(ISBLANK(D5),"",IF(NOT(ISNUMBER(D5)),"קלט לא תקין",IF(D5&lt;0,"קלט לא תקין",IF(ISBLANK(E5),"",IF(OR(E5="כלול",E5="לא רלוונטי"),0,IF(NOT(ISNUMBER(E5)),"קלט לא תקין",IF(E5&lt;0,"קלט לא תקין",ROUND(D5*E5,2))))))))</f>
        <v/>
      </c>
      <c r="G5" s="4" t="s">
        <v>214</v>
      </c>
      <c r="H5" s="4" t="s">
        <v>107</v>
      </c>
    </row>
    <row r="6" ht="46.8" customHeight="1" spans="1:8" x14ac:dyDescent="0.25">
      <c r="A6" s="21" t="s">
        <v>215</v>
      </c>
      <c r="B6" s="22" t="s">
        <v>216</v>
      </c>
      <c r="C6" s="21" t="s">
        <v>111</v>
      </c>
      <c r="D6" s="21"/>
      <c r="E6" s="25"/>
      <c r="F6" s="25" t="str">
        <f>IF(ISBLANK(D6),"",IF(NOT(ISNUMBER(D6)),"קלט לא תקין",IF(D6&lt;0,"קלט לא תקין",IF(ISBLANK(E6),"",IF(OR(E6="כלול",E6="לא רלוונטי"),0,IF(NOT(ISNUMBER(E6)),"קלט לא תקין",IF(E6&lt;0,"קלט לא תקין",ROUND(D6*E6,2))))))))</f>
        <v/>
      </c>
      <c r="G6" s="4" t="s">
        <v>217</v>
      </c>
      <c r="H6" s="4" t="s">
        <v>107</v>
      </c>
    </row>
    <row r="7" ht="46.8" customHeight="1" spans="1:8" x14ac:dyDescent="0.25">
      <c r="A7" s="21" t="s">
        <v>218</v>
      </c>
      <c r="B7" s="22" t="s">
        <v>219</v>
      </c>
      <c r="C7" s="21" t="s">
        <v>126</v>
      </c>
      <c r="D7" s="21"/>
      <c r="E7" s="25"/>
      <c r="F7" s="25" t="str">
        <f>IF(ISBLANK(D7),"",IF(NOT(ISNUMBER(D7)),"קלט לא תקין",IF(D7&lt;0,"קלט לא תקין",IF(ISBLANK(E7),"",IF(OR(E7="כלול",E7="לא רלוונטי"),0,IF(NOT(ISNUMBER(E7)),"קלט לא תקין",IF(E7&lt;0,"קלט לא תקין",ROUND(D7*E7,2))))))))</f>
        <v/>
      </c>
      <c r="G7" s="4" t="s">
        <v>220</v>
      </c>
      <c r="H7" s="4" t="s">
        <v>107</v>
      </c>
    </row>
    <row r="8" ht="320.40000000000003" customHeight="1" spans="1:8" x14ac:dyDescent="0.25">
      <c r="A8" s="21"/>
      <c r="B8" s="22"/>
      <c r="C8" s="21"/>
      <c r="D8" s="21"/>
      <c r="E8" s="21"/>
      <c r="F8" s="21"/>
      <c r="G8" s="4"/>
      <c r="H8" s="4" t="s">
        <v>6</v>
      </c>
    </row>
    <row r="9" ht="32" customHeight="1" spans="1:8" x14ac:dyDescent="0.25">
      <c r="A9" s="14"/>
      <c r="B9" s="15" t="s">
        <v>221</v>
      </c>
      <c r="C9" s="16"/>
      <c r="D9" s="16"/>
      <c r="E9" s="16"/>
      <c r="F9" s="27">
        <f>SUM(F4,F5,F6,F7)</f>
        <v>0</v>
      </c>
      <c r="G9" s="4"/>
      <c r="H9" s="4" t="s">
        <v>122</v>
      </c>
    </row>
  </sheetData>
  <mergeCells count="2">
    <mergeCell ref="B1:F1"/>
    <mergeCell ref="B9:E9"/>
  </mergeCells>
  <conditionalFormatting sqref="E4">
    <cfRule type="expression" dxfId="142" priority="1">
      <formula>AND(ISNUMBER(E4),ROUND(E4,2)=INT(ROUND(E4,2)))</formula>
    </cfRule>
    <cfRule type="expression" dxfId="143" priority="2">
      <formula>AND(ISNUMBER(E4),ROUND(E4,2)&lt;&gt;INT(ROUND(E4,2)))</formula>
    </cfRule>
  </conditionalFormatting>
  <conditionalFormatting sqref="F4">
    <cfRule type="expression" dxfId="144" priority="1">
      <formula>AND(ISNUMBER(F4),ROUND(F4,2)=INT(ROUND(F4,2)))</formula>
    </cfRule>
    <cfRule type="expression" dxfId="145" priority="2">
      <formula>AND(ISNUMBER(F4),ROUND(F4,2)&lt;&gt;INT(ROUND(F4,2)))</formula>
    </cfRule>
  </conditionalFormatting>
  <conditionalFormatting sqref="E5">
    <cfRule type="expression" dxfId="146" priority="1">
      <formula>AND(ISNUMBER(E5),ROUND(E5,2)=INT(ROUND(E5,2)))</formula>
    </cfRule>
    <cfRule type="expression" dxfId="147" priority="2">
      <formula>AND(ISNUMBER(E5),ROUND(E5,2)&lt;&gt;INT(ROUND(E5,2)))</formula>
    </cfRule>
  </conditionalFormatting>
  <conditionalFormatting sqref="F5">
    <cfRule type="expression" dxfId="148" priority="1">
      <formula>AND(ISNUMBER(F5),ROUND(F5,2)=INT(ROUND(F5,2)))</formula>
    </cfRule>
    <cfRule type="expression" dxfId="149" priority="2">
      <formula>AND(ISNUMBER(F5),ROUND(F5,2)&lt;&gt;INT(ROUND(F5,2)))</formula>
    </cfRule>
  </conditionalFormatting>
  <conditionalFormatting sqref="E6">
    <cfRule type="expression" dxfId="150" priority="1">
      <formula>AND(ISNUMBER(E6),ROUND(E6,2)=INT(ROUND(E6,2)))</formula>
    </cfRule>
    <cfRule type="expression" dxfId="151" priority="2">
      <formula>AND(ISNUMBER(E6),ROUND(E6,2)&lt;&gt;INT(ROUND(E6,2)))</formula>
    </cfRule>
  </conditionalFormatting>
  <conditionalFormatting sqref="F6">
    <cfRule type="expression" dxfId="152" priority="1">
      <formula>AND(ISNUMBER(F6),ROUND(F6,2)=INT(ROUND(F6,2)))</formula>
    </cfRule>
    <cfRule type="expression" dxfId="153" priority="2">
      <formula>AND(ISNUMBER(F6),ROUND(F6,2)&lt;&gt;INT(ROUND(F6,2)))</formula>
    </cfRule>
  </conditionalFormatting>
  <conditionalFormatting sqref="E7">
    <cfRule type="expression" dxfId="154" priority="1">
      <formula>AND(ISNUMBER(E7),ROUND(E7,2)=INT(ROUND(E7,2)))</formula>
    </cfRule>
    <cfRule type="expression" dxfId="155" priority="2">
      <formula>AND(ISNUMBER(E7),ROUND(E7,2)&lt;&gt;INT(ROUND(E7,2)))</formula>
    </cfRule>
  </conditionalFormatting>
  <conditionalFormatting sqref="F7">
    <cfRule type="expression" dxfId="156" priority="1">
      <formula>AND(ISNUMBER(F7),ROUND(F7,2)=INT(ROUND(F7,2)))</formula>
    </cfRule>
    <cfRule type="expression" dxfId="157" priority="2">
      <formula>AND(ISNUMBER(F7),ROUND(F7,2)&lt;&gt;INT(ROUND(F7,2)))</formula>
    </cfRule>
  </conditionalFormatting>
  <conditionalFormatting sqref="F9">
    <cfRule type="expression" dxfId="158" priority="1">
      <formula>AND(ISNUMBER(F9),ROUND(F9,2)=INT(ROUND(F9,2)))</formula>
    </cfRule>
    <cfRule type="expression" dxfId="159"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5" useFirstPageNumber="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59</v>
      </c>
      <c r="C1" s="3"/>
      <c r="D1" s="3"/>
      <c r="E1" s="3"/>
      <c r="F1" s="3"/>
      <c r="G1" s="1" t="s">
        <v>58</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222</v>
      </c>
      <c r="C3" s="21"/>
      <c r="D3" s="21"/>
      <c r="E3" s="21"/>
      <c r="F3" s="21"/>
      <c r="G3" s="4" t="s">
        <v>223</v>
      </c>
      <c r="H3" s="4" t="s">
        <v>103</v>
      </c>
    </row>
    <row r="4" ht="46.8" customHeight="1" spans="1:8" x14ac:dyDescent="0.25">
      <c r="A4" s="21"/>
      <c r="B4" s="22" t="s">
        <v>224</v>
      </c>
      <c r="C4" s="21" t="s">
        <v>126</v>
      </c>
      <c r="D4" s="21"/>
      <c r="E4" s="25"/>
      <c r="F4" s="25" t="str">
        <f>IF(ISBLANK(D4),"",IF(NOT(ISNUMBER(D4)),"קלט לא תקין",IF(D4&lt;0,"קלט לא תקין",IF(ISBLANK(E4),"",IF(OR(E4="כלול",E4="לא רלוונטי"),0,IF(NOT(ISNUMBER(E4)),"קלט לא תקין",IF(E4&lt;0,"קלט לא תקין",ROUND(D4*E4,2))))))))</f>
        <v/>
      </c>
      <c r="G4" s="4" t="s">
        <v>225</v>
      </c>
      <c r="H4" s="4" t="s">
        <v>107</v>
      </c>
    </row>
    <row r="5" ht="46.8" customHeight="1" spans="1:8" x14ac:dyDescent="0.25">
      <c r="A5" s="21"/>
      <c r="B5" s="22" t="s">
        <v>226</v>
      </c>
      <c r="C5" s="21" t="s">
        <v>111</v>
      </c>
      <c r="D5" s="21"/>
      <c r="E5" s="25"/>
      <c r="F5" s="25" t="str">
        <f>IF(ISBLANK(D5),"",IF(NOT(ISNUMBER(D5)),"קלט לא תקין",IF(D5&lt;0,"קלט לא תקין",IF(ISBLANK(E5),"",IF(OR(E5="כלול",E5="לא רלוונטי"),0,IF(NOT(ISNUMBER(E5)),"קלט לא תקין",IF(E5&lt;0,"קלט לא תקין",ROUND(D5*E5,2))))))))</f>
        <v/>
      </c>
      <c r="G5" s="4" t="s">
        <v>227</v>
      </c>
      <c r="H5" s="4" t="s">
        <v>107</v>
      </c>
    </row>
    <row r="6" ht="400" customHeight="1" spans="1:8" x14ac:dyDescent="0.25">
      <c r="A6" s="21"/>
      <c r="B6" s="22"/>
      <c r="C6" s="21"/>
      <c r="D6" s="21"/>
      <c r="E6" s="21"/>
      <c r="F6" s="21"/>
      <c r="G6" s="4"/>
      <c r="H6" s="4" t="s">
        <v>6</v>
      </c>
    </row>
    <row r="7" ht="66.20000000000005" customHeight="1" spans="1:8" x14ac:dyDescent="0.25">
      <c r="A7" s="21"/>
      <c r="B7" s="22"/>
      <c r="C7" s="21"/>
      <c r="D7" s="21"/>
      <c r="E7" s="21"/>
      <c r="F7" s="21"/>
      <c r="G7" s="4"/>
      <c r="H7" s="4" t="s">
        <v>6</v>
      </c>
    </row>
    <row r="8" ht="32" customHeight="1" spans="1:8" x14ac:dyDescent="0.25">
      <c r="A8" s="14"/>
      <c r="B8" s="15" t="s">
        <v>121</v>
      </c>
      <c r="C8" s="16"/>
      <c r="D8" s="16"/>
      <c r="E8" s="16"/>
      <c r="F8" s="27">
        <f>SUM(F4,F5)</f>
        <v>0</v>
      </c>
      <c r="G8" s="4"/>
      <c r="H8" s="4" t="s">
        <v>122</v>
      </c>
    </row>
  </sheetData>
  <mergeCells count="2">
    <mergeCell ref="B1:F1"/>
    <mergeCell ref="B8:E8"/>
  </mergeCells>
  <conditionalFormatting sqref="E4">
    <cfRule type="expression" dxfId="160" priority="1">
      <formula>AND(ISNUMBER(E4),ROUND(E4,2)=INT(ROUND(E4,2)))</formula>
    </cfRule>
    <cfRule type="expression" dxfId="161" priority="2">
      <formula>AND(ISNUMBER(E4),ROUND(E4,2)&lt;&gt;INT(ROUND(E4,2)))</formula>
    </cfRule>
  </conditionalFormatting>
  <conditionalFormatting sqref="F4">
    <cfRule type="expression" dxfId="162" priority="1">
      <formula>AND(ISNUMBER(F4),ROUND(F4,2)=INT(ROUND(F4,2)))</formula>
    </cfRule>
    <cfRule type="expression" dxfId="163" priority="2">
      <formula>AND(ISNUMBER(F4),ROUND(F4,2)&lt;&gt;INT(ROUND(F4,2)))</formula>
    </cfRule>
  </conditionalFormatting>
  <conditionalFormatting sqref="E5">
    <cfRule type="expression" dxfId="164" priority="1">
      <formula>AND(ISNUMBER(E5),ROUND(E5,2)=INT(ROUND(E5,2)))</formula>
    </cfRule>
    <cfRule type="expression" dxfId="165" priority="2">
      <formula>AND(ISNUMBER(E5),ROUND(E5,2)&lt;&gt;INT(ROUND(E5,2)))</formula>
    </cfRule>
  </conditionalFormatting>
  <conditionalFormatting sqref="F5">
    <cfRule type="expression" dxfId="166" priority="1">
      <formula>AND(ISNUMBER(F5),ROUND(F5,2)=INT(ROUND(F5,2)))</formula>
    </cfRule>
    <cfRule type="expression" dxfId="167" priority="2">
      <formula>AND(ISNUMBER(F5),ROUND(F5,2)&lt;&gt;INT(ROUND(F5,2)))</formula>
    </cfRule>
  </conditionalFormatting>
  <conditionalFormatting sqref="F8">
    <cfRule type="expression" dxfId="168" priority="1">
      <formula>AND(ISNUMBER(F8),ROUND(F8,2)=INT(ROUND(F8,2)))</formula>
    </cfRule>
    <cfRule type="expression" dxfId="169"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62</v>
      </c>
      <c r="C1" s="3"/>
      <c r="D1" s="3"/>
      <c r="E1" s="3"/>
      <c r="F1" s="3"/>
      <c r="G1" s="1" t="s">
        <v>61</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228</v>
      </c>
      <c r="C3" s="21"/>
      <c r="D3" s="21"/>
      <c r="E3" s="21"/>
      <c r="F3" s="21"/>
      <c r="G3" s="4" t="s">
        <v>229</v>
      </c>
      <c r="H3" s="4" t="s">
        <v>103</v>
      </c>
    </row>
    <row r="4" ht="46.8" customHeight="1" spans="1:8" x14ac:dyDescent="0.25">
      <c r="A4" s="21"/>
      <c r="B4" s="22" t="s">
        <v>230</v>
      </c>
      <c r="C4" s="21" t="s">
        <v>111</v>
      </c>
      <c r="D4" s="21"/>
      <c r="E4" s="25"/>
      <c r="F4" s="25" t="str">
        <f>IF(ISBLANK(D4),"",IF(NOT(ISNUMBER(D4)),"קלט לא תקין",IF(D4&lt;0,"קלט לא תקין",IF(ISBLANK(E4),"",IF(OR(E4="כלול",E4="לא רלוונטי"),0,IF(NOT(ISNUMBER(E4)),"קלט לא תקין",IF(E4&lt;0,"קלט לא תקין",ROUND(D4*E4,2))))))))</f>
        <v/>
      </c>
      <c r="G4" s="4" t="s">
        <v>231</v>
      </c>
      <c r="H4" s="4" t="s">
        <v>107</v>
      </c>
    </row>
    <row r="5" ht="46.8" customHeight="1" spans="1:8" x14ac:dyDescent="0.25">
      <c r="A5" s="21"/>
      <c r="B5" s="22" t="s">
        <v>232</v>
      </c>
      <c r="C5" s="21" t="s">
        <v>111</v>
      </c>
      <c r="D5" s="21"/>
      <c r="E5" s="25"/>
      <c r="F5" s="25" t="str">
        <f>IF(ISBLANK(D5),"",IF(NOT(ISNUMBER(D5)),"קלט לא תקין",IF(D5&lt;0,"קלט לא תקין",IF(ISBLANK(E5),"",IF(OR(E5="כלול",E5="לא רלוונטי"),0,IF(NOT(ISNUMBER(E5)),"קלט לא תקין",IF(E5&lt;0,"קלט לא תקין",ROUND(D5*E5,2))))))))</f>
        <v/>
      </c>
      <c r="G5" s="4" t="s">
        <v>233</v>
      </c>
      <c r="H5" s="4" t="s">
        <v>107</v>
      </c>
    </row>
    <row r="6" ht="400" customHeight="1" spans="1:8" x14ac:dyDescent="0.25">
      <c r="A6" s="21"/>
      <c r="B6" s="22"/>
      <c r="C6" s="21"/>
      <c r="D6" s="21"/>
      <c r="E6" s="21"/>
      <c r="F6" s="21"/>
      <c r="G6" s="4"/>
      <c r="H6" s="4" t="s">
        <v>6</v>
      </c>
    </row>
    <row r="7" ht="66.20000000000005" customHeight="1" spans="1:8" x14ac:dyDescent="0.25">
      <c r="A7" s="21"/>
      <c r="B7" s="22"/>
      <c r="C7" s="21"/>
      <c r="D7" s="21"/>
      <c r="E7" s="21"/>
      <c r="F7" s="21"/>
      <c r="G7" s="4"/>
      <c r="H7" s="4" t="s">
        <v>6</v>
      </c>
    </row>
    <row r="8" ht="32" customHeight="1" spans="1:8" x14ac:dyDescent="0.25">
      <c r="A8" s="14"/>
      <c r="B8" s="15" t="s">
        <v>121</v>
      </c>
      <c r="C8" s="16"/>
      <c r="D8" s="16"/>
      <c r="E8" s="16"/>
      <c r="F8" s="27">
        <f>SUM(F4,F5)</f>
        <v>0</v>
      </c>
      <c r="G8" s="4"/>
      <c r="H8" s="4" t="s">
        <v>122</v>
      </c>
    </row>
  </sheetData>
  <mergeCells count="2">
    <mergeCell ref="B1:F1"/>
    <mergeCell ref="B8:E8"/>
  </mergeCells>
  <conditionalFormatting sqref="E4">
    <cfRule type="expression" dxfId="170" priority="1">
      <formula>AND(ISNUMBER(E4),ROUND(E4,2)=INT(ROUND(E4,2)))</formula>
    </cfRule>
    <cfRule type="expression" dxfId="171" priority="2">
      <formula>AND(ISNUMBER(E4),ROUND(E4,2)&lt;&gt;INT(ROUND(E4,2)))</formula>
    </cfRule>
  </conditionalFormatting>
  <conditionalFormatting sqref="F4">
    <cfRule type="expression" dxfId="172" priority="1">
      <formula>AND(ISNUMBER(F4),ROUND(F4,2)=INT(ROUND(F4,2)))</formula>
    </cfRule>
    <cfRule type="expression" dxfId="173" priority="2">
      <formula>AND(ISNUMBER(F4),ROUND(F4,2)&lt;&gt;INT(ROUND(F4,2)))</formula>
    </cfRule>
  </conditionalFormatting>
  <conditionalFormatting sqref="E5">
    <cfRule type="expression" dxfId="174" priority="1">
      <formula>AND(ISNUMBER(E5),ROUND(E5,2)=INT(ROUND(E5,2)))</formula>
    </cfRule>
    <cfRule type="expression" dxfId="175" priority="2">
      <formula>AND(ISNUMBER(E5),ROUND(E5,2)&lt;&gt;INT(ROUND(E5,2)))</formula>
    </cfRule>
  </conditionalFormatting>
  <conditionalFormatting sqref="F5">
    <cfRule type="expression" dxfId="176" priority="1">
      <formula>AND(ISNUMBER(F5),ROUND(F5,2)=INT(ROUND(F5,2)))</formula>
    </cfRule>
    <cfRule type="expression" dxfId="177" priority="2">
      <formula>AND(ISNUMBER(F5),ROUND(F5,2)&lt;&gt;INT(ROUND(F5,2)))</formula>
    </cfRule>
  </conditionalFormatting>
  <conditionalFormatting sqref="F8">
    <cfRule type="expression" dxfId="178" priority="1">
      <formula>AND(ISNUMBER(F8),ROUND(F8,2)=INT(ROUND(F8,2)))</formula>
    </cfRule>
    <cfRule type="expression" dxfId="179"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14</v>
      </c>
      <c r="C1" s="3"/>
      <c r="D1" s="3"/>
      <c r="E1" s="3"/>
      <c r="F1" s="3"/>
      <c r="G1" s="1" t="s">
        <v>64</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234</v>
      </c>
      <c r="C3" s="21"/>
      <c r="D3" s="21"/>
      <c r="E3" s="21"/>
      <c r="F3" s="21"/>
      <c r="G3" s="4" t="s">
        <v>235</v>
      </c>
      <c r="H3" s="4" t="s">
        <v>103</v>
      </c>
    </row>
    <row r="4" ht="64.19999999999999" customHeight="1" spans="1:8" x14ac:dyDescent="0.25">
      <c r="A4" s="21" t="s">
        <v>236</v>
      </c>
      <c r="B4" s="22" t="s">
        <v>237</v>
      </c>
      <c r="C4" s="21" t="s">
        <v>126</v>
      </c>
      <c r="D4" s="21"/>
      <c r="E4" s="25"/>
      <c r="F4" s="25" t="str">
        <f>IF(ISBLANK(D4),"",IF(NOT(ISNUMBER(D4)),"קלט לא תקין",IF(D4&lt;0,"קלט לא תקין",IF(ISBLANK(E4),"",IF(OR(E4="כלול",E4="לא רלוונטי"),0,IF(NOT(ISNUMBER(E4)),"קלט לא תקין",IF(E4&lt;0,"קלט לא תקין",ROUND(D4*E4,2))))))))</f>
        <v/>
      </c>
      <c r="G4" s="4" t="s">
        <v>238</v>
      </c>
      <c r="H4" s="4" t="s">
        <v>107</v>
      </c>
    </row>
    <row r="5" ht="64.19999999999999" customHeight="1" spans="1:8" x14ac:dyDescent="0.25">
      <c r="A5" s="21" t="s">
        <v>239</v>
      </c>
      <c r="B5" s="22" t="s">
        <v>240</v>
      </c>
      <c r="C5" s="21" t="s">
        <v>126</v>
      </c>
      <c r="D5" s="21"/>
      <c r="E5" s="25"/>
      <c r="F5" s="25" t="str">
        <f>IF(ISBLANK(D5),"",IF(NOT(ISNUMBER(D5)),"קלט לא תקין",IF(D5&lt;0,"קלט לא תקין",IF(ISBLANK(E5),"",IF(OR(E5="כלול",E5="לא רלוונטי"),0,IF(NOT(ISNUMBER(E5)),"קלט לא תקין",IF(E5&lt;0,"קלט לא תקין",ROUND(D5*E5,2))))))))</f>
        <v/>
      </c>
      <c r="G5" s="4" t="s">
        <v>241</v>
      </c>
      <c r="H5" s="4" t="s">
        <v>107</v>
      </c>
    </row>
    <row r="6" ht="64.19999999999999" customHeight="1" spans="1:8" x14ac:dyDescent="0.25">
      <c r="A6" s="21" t="s">
        <v>242</v>
      </c>
      <c r="B6" s="22" t="s">
        <v>243</v>
      </c>
      <c r="C6" s="21" t="s">
        <v>126</v>
      </c>
      <c r="D6" s="21"/>
      <c r="E6" s="25"/>
      <c r="F6" s="25" t="str">
        <f>IF(ISBLANK(D6),"",IF(NOT(ISNUMBER(D6)),"קלט לא תקין",IF(D6&lt;0,"קלט לא תקין",IF(ISBLANK(E6),"",IF(OR(E6="כלול",E6="לא רלוונטי"),0,IF(NOT(ISNUMBER(E6)),"קלט לא תקין",IF(E6&lt;0,"קלט לא תקין",ROUND(D6*E6,2))))))))</f>
        <v/>
      </c>
      <c r="G6" s="4" t="s">
        <v>244</v>
      </c>
      <c r="H6" s="4" t="s">
        <v>107</v>
      </c>
    </row>
    <row r="7" ht="64.19999999999999" customHeight="1" spans="1:8" x14ac:dyDescent="0.25">
      <c r="A7" s="21" t="s">
        <v>245</v>
      </c>
      <c r="B7" s="22" t="s">
        <v>246</v>
      </c>
      <c r="C7" s="21" t="s">
        <v>131</v>
      </c>
      <c r="D7" s="21"/>
      <c r="E7" s="25"/>
      <c r="F7" s="25" t="str">
        <f>IF(ISBLANK(D7),"",IF(NOT(ISNUMBER(D7)),"קלט לא תקין",IF(D7&lt;0,"קלט לא תקין",IF(ISBLANK(E7),"",IF(OR(E7="כלול",E7="לא רלוונטי"),0,IF(NOT(ISNUMBER(E7)),"קלט לא תקין",IF(E7&lt;0,"קלט לא תקין",ROUND(D7*E7,2))))))))</f>
        <v/>
      </c>
      <c r="G7" s="4" t="s">
        <v>247</v>
      </c>
      <c r="H7" s="4" t="s">
        <v>107</v>
      </c>
    </row>
    <row r="8" ht="64.19999999999999" customHeight="1" spans="1:8" x14ac:dyDescent="0.25">
      <c r="A8" s="21" t="s">
        <v>248</v>
      </c>
      <c r="B8" s="22" t="s">
        <v>249</v>
      </c>
      <c r="C8" s="21" t="s">
        <v>111</v>
      </c>
      <c r="D8" s="21"/>
      <c r="E8" s="25"/>
      <c r="F8" s="25" t="str">
        <f>IF(ISBLANK(D8),"",IF(NOT(ISNUMBER(D8)),"קלט לא תקין",IF(D8&lt;0,"קלט לא תקין",IF(ISBLANK(E8),"",IF(OR(E8="כלול",E8="לא רלוונטי"),0,IF(NOT(ISNUMBER(E8)),"קלט לא תקין",IF(E8&lt;0,"קלט לא תקין",ROUND(D8*E8,2))))))))</f>
        <v/>
      </c>
      <c r="G8" s="4" t="s">
        <v>250</v>
      </c>
      <c r="H8" s="4" t="s">
        <v>107</v>
      </c>
    </row>
    <row r="9" ht="46.8" customHeight="1" spans="1:8" x14ac:dyDescent="0.25">
      <c r="A9" s="21" t="s">
        <v>251</v>
      </c>
      <c r="B9" s="22" t="s">
        <v>252</v>
      </c>
      <c r="C9" s="21" t="s">
        <v>111</v>
      </c>
      <c r="D9" s="21"/>
      <c r="E9" s="25"/>
      <c r="F9" s="25" t="str">
        <f>IF(ISBLANK(D9),"",IF(NOT(ISNUMBER(D9)),"קלט לא תקין",IF(D9&lt;0,"קלט לא תקין",IF(ISBLANK(E9),"",IF(OR(E9="כלול",E9="לא רלוונטי"),0,IF(NOT(ISNUMBER(E9)),"קלט לא תקין",IF(E9&lt;0,"קלט לא תקין",ROUND(D9*E9,2))))))))</f>
        <v/>
      </c>
      <c r="G9" s="4" t="s">
        <v>253</v>
      </c>
      <c r="H9" s="4" t="s">
        <v>107</v>
      </c>
    </row>
    <row r="10" ht="174.60000000000008" customHeight="1" spans="1:8" x14ac:dyDescent="0.25">
      <c r="A10" s="21"/>
      <c r="B10" s="22"/>
      <c r="C10" s="21"/>
      <c r="D10" s="21"/>
      <c r="E10" s="21"/>
      <c r="F10" s="21"/>
      <c r="G10" s="4"/>
      <c r="H10" s="4" t="s">
        <v>6</v>
      </c>
    </row>
    <row r="11" ht="32" customHeight="1" spans="1:8" x14ac:dyDescent="0.25">
      <c r="A11" s="14"/>
      <c r="B11" s="15" t="s">
        <v>254</v>
      </c>
      <c r="C11" s="16"/>
      <c r="D11" s="16"/>
      <c r="E11" s="16"/>
      <c r="F11" s="27">
        <f>SUM(F4,F5,F6,F7,F8,F9)</f>
        <v>0</v>
      </c>
      <c r="G11" s="4"/>
      <c r="H11" s="4" t="s">
        <v>122</v>
      </c>
    </row>
  </sheetData>
  <mergeCells count="2">
    <mergeCell ref="B1:F1"/>
    <mergeCell ref="B11:E11"/>
  </mergeCells>
  <conditionalFormatting sqref="E4">
    <cfRule type="expression" dxfId="180" priority="1">
      <formula>AND(ISNUMBER(E4),ROUND(E4,2)=INT(ROUND(E4,2)))</formula>
    </cfRule>
    <cfRule type="expression" dxfId="181" priority="2">
      <formula>AND(ISNUMBER(E4),ROUND(E4,2)&lt;&gt;INT(ROUND(E4,2)))</formula>
    </cfRule>
  </conditionalFormatting>
  <conditionalFormatting sqref="F4">
    <cfRule type="expression" dxfId="182" priority="1">
      <formula>AND(ISNUMBER(F4),ROUND(F4,2)=INT(ROUND(F4,2)))</formula>
    </cfRule>
    <cfRule type="expression" dxfId="183" priority="2">
      <formula>AND(ISNUMBER(F4),ROUND(F4,2)&lt;&gt;INT(ROUND(F4,2)))</formula>
    </cfRule>
  </conditionalFormatting>
  <conditionalFormatting sqref="E5">
    <cfRule type="expression" dxfId="184" priority="1">
      <formula>AND(ISNUMBER(E5),ROUND(E5,2)=INT(ROUND(E5,2)))</formula>
    </cfRule>
    <cfRule type="expression" dxfId="185" priority="2">
      <formula>AND(ISNUMBER(E5),ROUND(E5,2)&lt;&gt;INT(ROUND(E5,2)))</formula>
    </cfRule>
  </conditionalFormatting>
  <conditionalFormatting sqref="F5">
    <cfRule type="expression" dxfId="186" priority="1">
      <formula>AND(ISNUMBER(F5),ROUND(F5,2)=INT(ROUND(F5,2)))</formula>
    </cfRule>
    <cfRule type="expression" dxfId="187" priority="2">
      <formula>AND(ISNUMBER(F5),ROUND(F5,2)&lt;&gt;INT(ROUND(F5,2)))</formula>
    </cfRule>
  </conditionalFormatting>
  <conditionalFormatting sqref="E6">
    <cfRule type="expression" dxfId="188" priority="1">
      <formula>AND(ISNUMBER(E6),ROUND(E6,2)=INT(ROUND(E6,2)))</formula>
    </cfRule>
    <cfRule type="expression" dxfId="189" priority="2">
      <formula>AND(ISNUMBER(E6),ROUND(E6,2)&lt;&gt;INT(ROUND(E6,2)))</formula>
    </cfRule>
  </conditionalFormatting>
  <conditionalFormatting sqref="F6">
    <cfRule type="expression" dxfId="190" priority="1">
      <formula>AND(ISNUMBER(F6),ROUND(F6,2)=INT(ROUND(F6,2)))</formula>
    </cfRule>
    <cfRule type="expression" dxfId="191" priority="2">
      <formula>AND(ISNUMBER(F6),ROUND(F6,2)&lt;&gt;INT(ROUND(F6,2)))</formula>
    </cfRule>
  </conditionalFormatting>
  <conditionalFormatting sqref="E7">
    <cfRule type="expression" dxfId="192" priority="1">
      <formula>AND(ISNUMBER(E7),ROUND(E7,2)=INT(ROUND(E7,2)))</formula>
    </cfRule>
    <cfRule type="expression" dxfId="193" priority="2">
      <formula>AND(ISNUMBER(E7),ROUND(E7,2)&lt;&gt;INT(ROUND(E7,2)))</formula>
    </cfRule>
  </conditionalFormatting>
  <conditionalFormatting sqref="F7">
    <cfRule type="expression" dxfId="194" priority="1">
      <formula>AND(ISNUMBER(F7),ROUND(F7,2)=INT(ROUND(F7,2)))</formula>
    </cfRule>
    <cfRule type="expression" dxfId="195" priority="2">
      <formula>AND(ISNUMBER(F7),ROUND(F7,2)&lt;&gt;INT(ROUND(F7,2)))</formula>
    </cfRule>
  </conditionalFormatting>
  <conditionalFormatting sqref="E8">
    <cfRule type="expression" dxfId="196" priority="1">
      <formula>AND(ISNUMBER(E8),ROUND(E8,2)=INT(ROUND(E8,2)))</formula>
    </cfRule>
    <cfRule type="expression" dxfId="197" priority="2">
      <formula>AND(ISNUMBER(E8),ROUND(E8,2)&lt;&gt;INT(ROUND(E8,2)))</formula>
    </cfRule>
  </conditionalFormatting>
  <conditionalFormatting sqref="F8">
    <cfRule type="expression" dxfId="198" priority="1">
      <formula>AND(ISNUMBER(F8),ROUND(F8,2)=INT(ROUND(F8,2)))</formula>
    </cfRule>
    <cfRule type="expression" dxfId="199" priority="2">
      <formula>AND(ISNUMBER(F8),ROUND(F8,2)&lt;&gt;INT(ROUND(F8,2)))</formula>
    </cfRule>
  </conditionalFormatting>
  <conditionalFormatting sqref="E9">
    <cfRule type="expression" dxfId="200" priority="1">
      <formula>AND(ISNUMBER(E9),ROUND(E9,2)=INT(ROUND(E9,2)))</formula>
    </cfRule>
    <cfRule type="expression" dxfId="201" priority="2">
      <formula>AND(ISNUMBER(E9),ROUND(E9,2)&lt;&gt;INT(ROUND(E9,2)))</formula>
    </cfRule>
  </conditionalFormatting>
  <conditionalFormatting sqref="F9">
    <cfRule type="expression" dxfId="202" priority="1">
      <formula>AND(ISNUMBER(F9),ROUND(F9,2)=INT(ROUND(F9,2)))</formula>
    </cfRule>
    <cfRule type="expression" dxfId="203" priority="2">
      <formula>AND(ISNUMBER(F9),ROUND(F9,2)&lt;&gt;INT(ROUND(F9,2)))</formula>
    </cfRule>
  </conditionalFormatting>
  <conditionalFormatting sqref="F11">
    <cfRule type="expression" dxfId="204" priority="1">
      <formula>AND(ISNUMBER(F11),ROUND(F11,2)=INT(ROUND(F11,2)))</formula>
    </cfRule>
    <cfRule type="expression" dxfId="205"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6" useFirstPageNumber="1"/>
  <headerFooter>
    <oddFooter>&amp;Cעמוד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15</v>
      </c>
      <c r="C1" s="3"/>
      <c r="D1" s="3"/>
      <c r="E1" s="3"/>
      <c r="F1" s="3"/>
      <c r="G1" s="1" t="s">
        <v>66</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255</v>
      </c>
      <c r="C3" s="21"/>
      <c r="D3" s="21"/>
      <c r="E3" s="21"/>
      <c r="F3" s="21"/>
      <c r="G3" s="4" t="s">
        <v>256</v>
      </c>
      <c r="H3" s="4" t="s">
        <v>103</v>
      </c>
    </row>
    <row r="4" ht="64.19999999999999" customHeight="1" spans="1:8" x14ac:dyDescent="0.25">
      <c r="A4" s="21" t="s">
        <v>257</v>
      </c>
      <c r="B4" s="22" t="s">
        <v>258</v>
      </c>
      <c r="C4" s="21" t="s">
        <v>126</v>
      </c>
      <c r="D4" s="21"/>
      <c r="E4" s="25"/>
      <c r="F4" s="25" t="str">
        <f>IF(ISBLANK(D4),"",IF(NOT(ISNUMBER(D4)),"קלט לא תקין",IF(D4&lt;0,"קלט לא תקין",IF(ISBLANK(E4),"",IF(OR(E4="כלול",E4="לא רלוונטי"),0,IF(NOT(ISNUMBER(E4)),"קלט לא תקין",IF(E4&lt;0,"קלט לא תקין",ROUND(D4*E4,2))))))))</f>
        <v/>
      </c>
      <c r="G4" s="4" t="s">
        <v>259</v>
      </c>
      <c r="H4" s="4" t="s">
        <v>107</v>
      </c>
    </row>
    <row r="5" ht="64.19999999999999" customHeight="1" spans="1:8" x14ac:dyDescent="0.25">
      <c r="A5" s="21" t="s">
        <v>260</v>
      </c>
      <c r="B5" s="22" t="s">
        <v>261</v>
      </c>
      <c r="C5" s="21" t="s">
        <v>131</v>
      </c>
      <c r="D5" s="21"/>
      <c r="E5" s="25"/>
      <c r="F5" s="25" t="str">
        <f>IF(ISBLANK(D5),"",IF(NOT(ISNUMBER(D5)),"קלט לא תקין",IF(D5&lt;0,"קלט לא תקין",IF(ISBLANK(E5),"",IF(OR(E5="כלול",E5="לא רלוונטי"),0,IF(NOT(ISNUMBER(E5)),"קלט לא תקין",IF(E5&lt;0,"קלט לא תקין",ROUND(D5*E5,2))))))))</f>
        <v/>
      </c>
      <c r="G5" s="4" t="s">
        <v>262</v>
      </c>
      <c r="H5" s="4" t="s">
        <v>107</v>
      </c>
    </row>
    <row r="6" ht="64.19999999999999" customHeight="1" spans="1:8" x14ac:dyDescent="0.25">
      <c r="A6" s="21" t="s">
        <v>263</v>
      </c>
      <c r="B6" s="22" t="s">
        <v>264</v>
      </c>
      <c r="C6" s="21" t="s">
        <v>131</v>
      </c>
      <c r="D6" s="21"/>
      <c r="E6" s="25"/>
      <c r="F6" s="25" t="str">
        <f>IF(ISBLANK(D6),"",IF(NOT(ISNUMBER(D6)),"קלט לא תקין",IF(D6&lt;0,"קלט לא תקין",IF(ISBLANK(E6),"",IF(OR(E6="כלול",E6="לא רלוונטי"),0,IF(NOT(ISNUMBER(E6)),"קלט לא תקין",IF(E6&lt;0,"קלט לא תקין",ROUND(D6*E6,2))))))))</f>
        <v/>
      </c>
      <c r="G6" s="4" t="s">
        <v>265</v>
      </c>
      <c r="H6" s="4" t="s">
        <v>107</v>
      </c>
    </row>
    <row r="7" ht="64.19999999999999" customHeight="1" spans="1:8" x14ac:dyDescent="0.25">
      <c r="A7" s="21" t="s">
        <v>266</v>
      </c>
      <c r="B7" s="22" t="s">
        <v>267</v>
      </c>
      <c r="C7" s="21" t="s">
        <v>126</v>
      </c>
      <c r="D7" s="21"/>
      <c r="E7" s="25"/>
      <c r="F7" s="25" t="str">
        <f>IF(ISBLANK(D7),"",IF(NOT(ISNUMBER(D7)),"קלט לא תקין",IF(D7&lt;0,"קלט לא תקין",IF(ISBLANK(E7),"",IF(OR(E7="כלול",E7="לא רלוונטי"),0,IF(NOT(ISNUMBER(E7)),"קלט לא תקין",IF(E7&lt;0,"קלט לא תקין",ROUND(D7*E7,2))))))))</f>
        <v/>
      </c>
      <c r="G7" s="4" t="s">
        <v>268</v>
      </c>
      <c r="H7" s="4" t="s">
        <v>107</v>
      </c>
    </row>
    <row r="8" ht="285.6000000000001" customHeight="1" spans="1:8" x14ac:dyDescent="0.25">
      <c r="A8" s="21"/>
      <c r="B8" s="22"/>
      <c r="C8" s="21"/>
      <c r="D8" s="21"/>
      <c r="E8" s="21"/>
      <c r="F8" s="21"/>
      <c r="G8" s="4"/>
      <c r="H8" s="4" t="s">
        <v>6</v>
      </c>
    </row>
    <row r="9" ht="32" customHeight="1" spans="1:8" x14ac:dyDescent="0.25">
      <c r="A9" s="14"/>
      <c r="B9" s="15" t="s">
        <v>269</v>
      </c>
      <c r="C9" s="16"/>
      <c r="D9" s="16"/>
      <c r="E9" s="16"/>
      <c r="F9" s="27">
        <f>SUM(F4,F5,F6,F7)</f>
        <v>0</v>
      </c>
      <c r="G9" s="4"/>
      <c r="H9" s="4" t="s">
        <v>122</v>
      </c>
    </row>
  </sheetData>
  <mergeCells count="2">
    <mergeCell ref="B1:F1"/>
    <mergeCell ref="B9:E9"/>
  </mergeCells>
  <conditionalFormatting sqref="E4">
    <cfRule type="expression" dxfId="206" priority="1">
      <formula>AND(ISNUMBER(E4),ROUND(E4,2)=INT(ROUND(E4,2)))</formula>
    </cfRule>
    <cfRule type="expression" dxfId="207" priority="2">
      <formula>AND(ISNUMBER(E4),ROUND(E4,2)&lt;&gt;INT(ROUND(E4,2)))</formula>
    </cfRule>
  </conditionalFormatting>
  <conditionalFormatting sqref="F4">
    <cfRule type="expression" dxfId="208" priority="1">
      <formula>AND(ISNUMBER(F4),ROUND(F4,2)=INT(ROUND(F4,2)))</formula>
    </cfRule>
    <cfRule type="expression" dxfId="209" priority="2">
      <formula>AND(ISNUMBER(F4),ROUND(F4,2)&lt;&gt;INT(ROUND(F4,2)))</formula>
    </cfRule>
  </conditionalFormatting>
  <conditionalFormatting sqref="E5">
    <cfRule type="expression" dxfId="210" priority="1">
      <formula>AND(ISNUMBER(E5),ROUND(E5,2)=INT(ROUND(E5,2)))</formula>
    </cfRule>
    <cfRule type="expression" dxfId="211" priority="2">
      <formula>AND(ISNUMBER(E5),ROUND(E5,2)&lt;&gt;INT(ROUND(E5,2)))</formula>
    </cfRule>
  </conditionalFormatting>
  <conditionalFormatting sqref="F5">
    <cfRule type="expression" dxfId="212" priority="1">
      <formula>AND(ISNUMBER(F5),ROUND(F5,2)=INT(ROUND(F5,2)))</formula>
    </cfRule>
    <cfRule type="expression" dxfId="213" priority="2">
      <formula>AND(ISNUMBER(F5),ROUND(F5,2)&lt;&gt;INT(ROUND(F5,2)))</formula>
    </cfRule>
  </conditionalFormatting>
  <conditionalFormatting sqref="E6">
    <cfRule type="expression" dxfId="214" priority="1">
      <formula>AND(ISNUMBER(E6),ROUND(E6,2)=INT(ROUND(E6,2)))</formula>
    </cfRule>
    <cfRule type="expression" dxfId="215" priority="2">
      <formula>AND(ISNUMBER(E6),ROUND(E6,2)&lt;&gt;INT(ROUND(E6,2)))</formula>
    </cfRule>
  </conditionalFormatting>
  <conditionalFormatting sqref="F6">
    <cfRule type="expression" dxfId="216" priority="1">
      <formula>AND(ISNUMBER(F6),ROUND(F6,2)=INT(ROUND(F6,2)))</formula>
    </cfRule>
    <cfRule type="expression" dxfId="217" priority="2">
      <formula>AND(ISNUMBER(F6),ROUND(F6,2)&lt;&gt;INT(ROUND(F6,2)))</formula>
    </cfRule>
  </conditionalFormatting>
  <conditionalFormatting sqref="E7">
    <cfRule type="expression" dxfId="218" priority="1">
      <formula>AND(ISNUMBER(E7),ROUND(E7,2)=INT(ROUND(E7,2)))</formula>
    </cfRule>
    <cfRule type="expression" dxfId="219" priority="2">
      <formula>AND(ISNUMBER(E7),ROUND(E7,2)&lt;&gt;INT(ROUND(E7,2)))</formula>
    </cfRule>
  </conditionalFormatting>
  <conditionalFormatting sqref="F7">
    <cfRule type="expression" dxfId="220" priority="1">
      <formula>AND(ISNUMBER(F7),ROUND(F7,2)=INT(ROUND(F7,2)))</formula>
    </cfRule>
    <cfRule type="expression" dxfId="221" priority="2">
      <formula>AND(ISNUMBER(F7),ROUND(F7,2)&lt;&gt;INT(ROUND(F7,2)))</formula>
    </cfRule>
  </conditionalFormatting>
  <conditionalFormatting sqref="F9">
    <cfRule type="expression" dxfId="222" priority="1">
      <formula>AND(ISNUMBER(F9),ROUND(F9,2)=INT(ROUND(F9,2)))</formula>
    </cfRule>
    <cfRule type="expression" dxfId="223"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7" useFirstPageNumber="1"/>
  <headerFooter>
    <oddFooter>&amp;Cעמוד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16</v>
      </c>
      <c r="C1" s="3"/>
      <c r="D1" s="3"/>
      <c r="E1" s="3"/>
      <c r="F1" s="3"/>
      <c r="G1" s="1" t="s">
        <v>68</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270</v>
      </c>
      <c r="C3" s="21"/>
      <c r="D3" s="21"/>
      <c r="E3" s="21"/>
      <c r="F3" s="21"/>
      <c r="G3" s="4" t="s">
        <v>271</v>
      </c>
      <c r="H3" s="4" t="s">
        <v>103</v>
      </c>
    </row>
    <row r="4" ht="64.19999999999999" customHeight="1" spans="1:8" x14ac:dyDescent="0.25">
      <c r="A4" s="21" t="s">
        <v>272</v>
      </c>
      <c r="B4" s="22" t="s">
        <v>273</v>
      </c>
      <c r="C4" s="21" t="s">
        <v>126</v>
      </c>
      <c r="D4" s="21"/>
      <c r="E4" s="25"/>
      <c r="F4" s="25" t="str">
        <f>IF(ISBLANK(D4),"",IF(NOT(ISNUMBER(D4)),"קלט לא תקין",IF(D4&lt;0,"קלט לא תקין",IF(ISBLANK(E4),"",IF(OR(E4="כלול",E4="לא רלוונטי"),0,IF(NOT(ISNUMBER(E4)),"קלט לא תקין",IF(E4&lt;0,"קלט לא תקין",ROUND(D4*E4,2))))))))</f>
        <v/>
      </c>
      <c r="G4" s="4" t="s">
        <v>274</v>
      </c>
      <c r="H4" s="4" t="s">
        <v>107</v>
      </c>
    </row>
    <row r="5" ht="46.8" customHeight="1" spans="1:8" x14ac:dyDescent="0.25">
      <c r="A5" s="21" t="s">
        <v>275</v>
      </c>
      <c r="B5" s="22" t="s">
        <v>276</v>
      </c>
      <c r="C5" s="21" t="s">
        <v>126</v>
      </c>
      <c r="D5" s="21"/>
      <c r="E5" s="25"/>
      <c r="F5" s="25" t="str">
        <f>IF(ISBLANK(D5),"",IF(NOT(ISNUMBER(D5)),"קלט לא תקין",IF(D5&lt;0,"קלט לא תקין",IF(ISBLANK(E5),"",IF(OR(E5="כלול",E5="לא רלוונטי"),0,IF(NOT(ISNUMBER(E5)),"קלט לא תקין",IF(E5&lt;0,"קלט לא תקין",ROUND(D5*E5,2))))))))</f>
        <v/>
      </c>
      <c r="G5" s="4" t="s">
        <v>277</v>
      </c>
      <c r="H5" s="4" t="s">
        <v>107</v>
      </c>
    </row>
    <row r="6" ht="64.19999999999999" customHeight="1" spans="1:8" x14ac:dyDescent="0.25">
      <c r="A6" s="21" t="s">
        <v>278</v>
      </c>
      <c r="B6" s="22" t="s">
        <v>279</v>
      </c>
      <c r="C6" s="21" t="s">
        <v>131</v>
      </c>
      <c r="D6" s="21"/>
      <c r="E6" s="25"/>
      <c r="F6" s="25" t="str">
        <f>IF(ISBLANK(D6),"",IF(NOT(ISNUMBER(D6)),"קלט לא תקין",IF(D6&lt;0,"קלט לא תקין",IF(ISBLANK(E6),"",IF(OR(E6="כלול",E6="לא רלוונטי"),0,IF(NOT(ISNUMBER(E6)),"קלט לא תקין",IF(E6&lt;0,"קלט לא תקין",ROUND(D6*E6,2))))))))</f>
        <v/>
      </c>
      <c r="G6" s="4" t="s">
        <v>280</v>
      </c>
      <c r="H6" s="4" t="s">
        <v>107</v>
      </c>
    </row>
    <row r="7" ht="384.6" customHeight="1" spans="1:8" x14ac:dyDescent="0.25">
      <c r="A7" s="21"/>
      <c r="B7" s="22"/>
      <c r="C7" s="21"/>
      <c r="D7" s="21"/>
      <c r="E7" s="21"/>
      <c r="F7" s="21"/>
      <c r="G7" s="4"/>
      <c r="H7" s="4" t="s">
        <v>6</v>
      </c>
    </row>
    <row r="8" ht="32" customHeight="1" spans="1:8" x14ac:dyDescent="0.25">
      <c r="A8" s="14"/>
      <c r="B8" s="15" t="s">
        <v>281</v>
      </c>
      <c r="C8" s="16"/>
      <c r="D8" s="16"/>
      <c r="E8" s="16"/>
      <c r="F8" s="27">
        <f>SUM(F4,F5,F6)</f>
        <v>0</v>
      </c>
      <c r="G8" s="4"/>
      <c r="H8" s="4" t="s">
        <v>122</v>
      </c>
    </row>
  </sheetData>
  <mergeCells count="2">
    <mergeCell ref="B1:F1"/>
    <mergeCell ref="B8:E8"/>
  </mergeCells>
  <conditionalFormatting sqref="E4">
    <cfRule type="expression" dxfId="224" priority="1">
      <formula>AND(ISNUMBER(E4),ROUND(E4,2)=INT(ROUND(E4,2)))</formula>
    </cfRule>
    <cfRule type="expression" dxfId="225" priority="2">
      <formula>AND(ISNUMBER(E4),ROUND(E4,2)&lt;&gt;INT(ROUND(E4,2)))</formula>
    </cfRule>
  </conditionalFormatting>
  <conditionalFormatting sqref="F4">
    <cfRule type="expression" dxfId="226" priority="1">
      <formula>AND(ISNUMBER(F4),ROUND(F4,2)=INT(ROUND(F4,2)))</formula>
    </cfRule>
    <cfRule type="expression" dxfId="227" priority="2">
      <formula>AND(ISNUMBER(F4),ROUND(F4,2)&lt;&gt;INT(ROUND(F4,2)))</formula>
    </cfRule>
  </conditionalFormatting>
  <conditionalFormatting sqref="E5">
    <cfRule type="expression" dxfId="228" priority="1">
      <formula>AND(ISNUMBER(E5),ROUND(E5,2)=INT(ROUND(E5,2)))</formula>
    </cfRule>
    <cfRule type="expression" dxfId="229" priority="2">
      <formula>AND(ISNUMBER(E5),ROUND(E5,2)&lt;&gt;INT(ROUND(E5,2)))</formula>
    </cfRule>
  </conditionalFormatting>
  <conditionalFormatting sqref="F5">
    <cfRule type="expression" dxfId="230" priority="1">
      <formula>AND(ISNUMBER(F5),ROUND(F5,2)=INT(ROUND(F5,2)))</formula>
    </cfRule>
    <cfRule type="expression" dxfId="231" priority="2">
      <formula>AND(ISNUMBER(F5),ROUND(F5,2)&lt;&gt;INT(ROUND(F5,2)))</formula>
    </cfRule>
  </conditionalFormatting>
  <conditionalFormatting sqref="E6">
    <cfRule type="expression" dxfId="232" priority="1">
      <formula>AND(ISNUMBER(E6),ROUND(E6,2)=INT(ROUND(E6,2)))</formula>
    </cfRule>
    <cfRule type="expression" dxfId="233" priority="2">
      <formula>AND(ISNUMBER(E6),ROUND(E6,2)&lt;&gt;INT(ROUND(E6,2)))</formula>
    </cfRule>
  </conditionalFormatting>
  <conditionalFormatting sqref="F6">
    <cfRule type="expression" dxfId="234" priority="1">
      <formula>AND(ISNUMBER(F6),ROUND(F6,2)=INT(ROUND(F6,2)))</formula>
    </cfRule>
    <cfRule type="expression" dxfId="235" priority="2">
      <formula>AND(ISNUMBER(F6),ROUND(F6,2)&lt;&gt;INT(ROUND(F6,2)))</formula>
    </cfRule>
  </conditionalFormatting>
  <conditionalFormatting sqref="F8">
    <cfRule type="expression" dxfId="236" priority="1">
      <formula>AND(ISNUMBER(F8),ROUND(F8,2)=INT(ROUND(F8,2)))</formula>
    </cfRule>
    <cfRule type="expression" dxfId="237" priority="2">
      <formula>AND(ISNUMBER(F8),ROUND(F8,2)&lt;&gt;INT(ROUND(F8,2)))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8" useFirstPageNumber="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17</v>
      </c>
      <c r="C1" s="3"/>
      <c r="D1" s="3"/>
      <c r="E1" s="3"/>
      <c r="F1" s="3"/>
      <c r="G1" s="1" t="s">
        <v>70</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282</v>
      </c>
      <c r="C3" s="21"/>
      <c r="D3" s="21"/>
      <c r="E3" s="21"/>
      <c r="F3" s="21"/>
      <c r="G3" s="4" t="s">
        <v>283</v>
      </c>
      <c r="H3" s="4" t="s">
        <v>103</v>
      </c>
    </row>
    <row r="4" ht="46.8" customHeight="1" spans="1:8" x14ac:dyDescent="0.25">
      <c r="A4" s="21" t="s">
        <v>284</v>
      </c>
      <c r="B4" s="22" t="s">
        <v>285</v>
      </c>
      <c r="C4" s="21" t="s">
        <v>126</v>
      </c>
      <c r="D4" s="21"/>
      <c r="E4" s="25"/>
      <c r="F4" s="25" t="str">
        <f>IF(ISBLANK(D4),"",IF(NOT(ISNUMBER(D4)),"קלט לא תקין",IF(D4&lt;0,"קלט לא תקין",IF(ISBLANK(E4),"",IF(OR(E4="כלול",E4="לא רלוונטי"),0,IF(NOT(ISNUMBER(E4)),"קלט לא תקין",IF(E4&lt;0,"קלט לא תקין",ROUND(D4*E4,2))))))))</f>
        <v/>
      </c>
      <c r="G4" s="4" t="s">
        <v>286</v>
      </c>
      <c r="H4" s="4" t="s">
        <v>107</v>
      </c>
    </row>
    <row r="5" ht="46.8" customHeight="1" spans="1:8" x14ac:dyDescent="0.25">
      <c r="A5" s="21" t="s">
        <v>287</v>
      </c>
      <c r="B5" s="22" t="s">
        <v>288</v>
      </c>
      <c r="C5" s="21" t="s">
        <v>126</v>
      </c>
      <c r="D5" s="21"/>
      <c r="E5" s="25"/>
      <c r="F5" s="25" t="str">
        <f>IF(ISBLANK(D5),"",IF(NOT(ISNUMBER(D5)),"קלט לא תקין",IF(D5&lt;0,"קלט לא תקין",IF(ISBLANK(E5),"",IF(OR(E5="כלול",E5="לא רלוונטי"),0,IF(NOT(ISNUMBER(E5)),"קלט לא תקין",IF(E5&lt;0,"קלט לא תקין",ROUND(D5*E5,2))))))))</f>
        <v/>
      </c>
      <c r="G5" s="4" t="s">
        <v>289</v>
      </c>
      <c r="H5" s="4" t="s">
        <v>107</v>
      </c>
    </row>
    <row r="6" ht="46.8" customHeight="1" spans="1:8" x14ac:dyDescent="0.25">
      <c r="A6" s="21" t="s">
        <v>290</v>
      </c>
      <c r="B6" s="22" t="s">
        <v>291</v>
      </c>
      <c r="C6" s="21" t="s">
        <v>126</v>
      </c>
      <c r="D6" s="21"/>
      <c r="E6" s="25"/>
      <c r="F6" s="25" t="str">
        <f>IF(ISBLANK(D6),"",IF(NOT(ISNUMBER(D6)),"קלט לא תקין",IF(D6&lt;0,"קלט לא תקין",IF(ISBLANK(E6),"",IF(OR(E6="כלול",E6="לא רלוונטי"),0,IF(NOT(ISNUMBER(E6)),"קלט לא תקין",IF(E6&lt;0,"קלט לא תקין",ROUND(D6*E6,2))))))))</f>
        <v/>
      </c>
      <c r="G6" s="4" t="s">
        <v>292</v>
      </c>
      <c r="H6" s="4" t="s">
        <v>107</v>
      </c>
    </row>
    <row r="7" ht="400" customHeight="1" spans="1:8" x14ac:dyDescent="0.25">
      <c r="A7" s="21"/>
      <c r="B7" s="22"/>
      <c r="C7" s="21"/>
      <c r="D7" s="21"/>
      <c r="E7" s="21"/>
      <c r="F7" s="21"/>
      <c r="G7" s="4"/>
      <c r="H7" s="4" t="s">
        <v>6</v>
      </c>
    </row>
    <row r="8" ht="19.400000000000034" customHeight="1" spans="1:8" x14ac:dyDescent="0.25">
      <c r="A8" s="21"/>
      <c r="B8" s="22"/>
      <c r="C8" s="21"/>
      <c r="D8" s="21"/>
      <c r="E8" s="21"/>
      <c r="F8" s="21"/>
      <c r="G8" s="4"/>
      <c r="H8" s="4" t="s">
        <v>6</v>
      </c>
    </row>
    <row r="9" ht="32" customHeight="1" spans="1:8" x14ac:dyDescent="0.25">
      <c r="A9" s="14"/>
      <c r="B9" s="15" t="s">
        <v>293</v>
      </c>
      <c r="C9" s="16"/>
      <c r="D9" s="16"/>
      <c r="E9" s="16"/>
      <c r="F9" s="27">
        <f>SUM(F4,F5,F6)</f>
        <v>0</v>
      </c>
      <c r="G9" s="4"/>
      <c r="H9" s="4" t="s">
        <v>122</v>
      </c>
    </row>
  </sheetData>
  <mergeCells count="2">
    <mergeCell ref="B1:F1"/>
    <mergeCell ref="B9:E9"/>
  </mergeCells>
  <conditionalFormatting sqref="E4">
    <cfRule type="expression" dxfId="238" priority="1">
      <formula>AND(ISNUMBER(E4),ROUND(E4,2)=INT(ROUND(E4,2)))</formula>
    </cfRule>
    <cfRule type="expression" dxfId="239" priority="2">
      <formula>AND(ISNUMBER(E4),ROUND(E4,2)&lt;&gt;INT(ROUND(E4,2)))</formula>
    </cfRule>
  </conditionalFormatting>
  <conditionalFormatting sqref="F4">
    <cfRule type="expression" dxfId="240" priority="1">
      <formula>AND(ISNUMBER(F4),ROUND(F4,2)=INT(ROUND(F4,2)))</formula>
    </cfRule>
    <cfRule type="expression" dxfId="241" priority="2">
      <formula>AND(ISNUMBER(F4),ROUND(F4,2)&lt;&gt;INT(ROUND(F4,2)))</formula>
    </cfRule>
  </conditionalFormatting>
  <conditionalFormatting sqref="E5">
    <cfRule type="expression" dxfId="242" priority="1">
      <formula>AND(ISNUMBER(E5),ROUND(E5,2)=INT(ROUND(E5,2)))</formula>
    </cfRule>
    <cfRule type="expression" dxfId="243" priority="2">
      <formula>AND(ISNUMBER(E5),ROUND(E5,2)&lt;&gt;INT(ROUND(E5,2)))</formula>
    </cfRule>
  </conditionalFormatting>
  <conditionalFormatting sqref="F5">
    <cfRule type="expression" dxfId="244" priority="1">
      <formula>AND(ISNUMBER(F5),ROUND(F5,2)=INT(ROUND(F5,2)))</formula>
    </cfRule>
    <cfRule type="expression" dxfId="245" priority="2">
      <formula>AND(ISNUMBER(F5),ROUND(F5,2)&lt;&gt;INT(ROUND(F5,2)))</formula>
    </cfRule>
  </conditionalFormatting>
  <conditionalFormatting sqref="E6">
    <cfRule type="expression" dxfId="246" priority="1">
      <formula>AND(ISNUMBER(E6),ROUND(E6,2)=INT(ROUND(E6,2)))</formula>
    </cfRule>
    <cfRule type="expression" dxfId="247" priority="2">
      <formula>AND(ISNUMBER(E6),ROUND(E6,2)&lt;&gt;INT(ROUND(E6,2)))</formula>
    </cfRule>
  </conditionalFormatting>
  <conditionalFormatting sqref="F6">
    <cfRule type="expression" dxfId="248" priority="1">
      <formula>AND(ISNUMBER(F6),ROUND(F6,2)=INT(ROUND(F6,2)))</formula>
    </cfRule>
    <cfRule type="expression" dxfId="249" priority="2">
      <formula>AND(ISNUMBER(F6),ROUND(F6,2)&lt;&gt;INT(ROUND(F6,2)))</formula>
    </cfRule>
  </conditionalFormatting>
  <conditionalFormatting sqref="F9">
    <cfRule type="expression" dxfId="250" priority="1">
      <formula>AND(ISNUMBER(F9),ROUND(F9,2)=INT(ROUND(F9,2)))</formula>
    </cfRule>
    <cfRule type="expression" dxfId="251"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9" useFirstPageNumber="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73</v>
      </c>
      <c r="C1" s="3"/>
      <c r="D1" s="3"/>
      <c r="E1" s="3"/>
      <c r="F1" s="3"/>
      <c r="G1" s="1" t="s">
        <v>72</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294</v>
      </c>
      <c r="C3" s="21"/>
      <c r="D3" s="21"/>
      <c r="E3" s="21"/>
      <c r="F3" s="21"/>
      <c r="G3" s="4" t="s">
        <v>295</v>
      </c>
      <c r="H3" s="4" t="s">
        <v>103</v>
      </c>
    </row>
    <row r="4" ht="46.8" customHeight="1" spans="1:8" x14ac:dyDescent="0.25">
      <c r="A4" s="21"/>
      <c r="B4" s="22" t="s">
        <v>296</v>
      </c>
      <c r="C4" s="21" t="s">
        <v>111</v>
      </c>
      <c r="D4" s="21"/>
      <c r="E4" s="25"/>
      <c r="F4" s="25" t="str">
        <f>IF(ISBLANK(D4),"",IF(NOT(ISNUMBER(D4)),"קלט לא תקין",IF(D4&lt;0,"קלט לא תקין",IF(ISBLANK(E4),"",IF(OR(E4="כלול",E4="לא רלוונטי"),0,IF(NOT(ISNUMBER(E4)),"קלט לא תקין",IF(E4&lt;0,"קלט לא תקין",ROUND(D4*E4,2))))))))</f>
        <v/>
      </c>
      <c r="G4" s="4" t="s">
        <v>297</v>
      </c>
      <c r="H4" s="4" t="s">
        <v>107</v>
      </c>
    </row>
    <row r="5" ht="46.8" customHeight="1" spans="1:8" x14ac:dyDescent="0.25">
      <c r="A5" s="21"/>
      <c r="B5" s="22" t="s">
        <v>298</v>
      </c>
      <c r="C5" s="21" t="s">
        <v>131</v>
      </c>
      <c r="D5" s="21"/>
      <c r="E5" s="25"/>
      <c r="F5" s="25" t="str">
        <f>IF(ISBLANK(D5),"",IF(NOT(ISNUMBER(D5)),"קלט לא תקין",IF(D5&lt;0,"קלט לא תקין",IF(ISBLANK(E5),"",IF(OR(E5="כלול",E5="לא רלוונטי"),0,IF(NOT(ISNUMBER(E5)),"קלט לא תקין",IF(E5&lt;0,"קלט לא תקין",ROUND(D5*E5,2))))))))</f>
        <v/>
      </c>
      <c r="G5" s="4" t="s">
        <v>299</v>
      </c>
      <c r="H5" s="4" t="s">
        <v>107</v>
      </c>
    </row>
    <row r="6" ht="64.19999999999999" customHeight="1" spans="1:8" x14ac:dyDescent="0.25">
      <c r="A6" s="21"/>
      <c r="B6" s="22" t="s">
        <v>300</v>
      </c>
      <c r="C6" s="21" t="s">
        <v>131</v>
      </c>
      <c r="D6" s="21"/>
      <c r="E6" s="25"/>
      <c r="F6" s="25" t="str">
        <f>IF(ISBLANK(D6),"",IF(NOT(ISNUMBER(D6)),"קלט לא תקין",IF(D6&lt;0,"קלט לא תקין",IF(ISBLANK(E6),"",IF(OR(E6="כלול",E6="לא רלוונטי"),0,IF(NOT(ISNUMBER(E6)),"קלט לא תקין",IF(E6&lt;0,"קלט לא תקין",ROUND(D6*E6,2))))))))</f>
        <v/>
      </c>
      <c r="G6" s="4" t="s">
        <v>301</v>
      </c>
      <c r="H6" s="4" t="s">
        <v>107</v>
      </c>
    </row>
    <row r="7" ht="400" customHeight="1" spans="1:8" x14ac:dyDescent="0.25">
      <c r="A7" s="21"/>
      <c r="B7" s="22"/>
      <c r="C7" s="21"/>
      <c r="D7" s="21"/>
      <c r="E7" s="21"/>
      <c r="F7" s="21"/>
      <c r="G7" s="4"/>
      <c r="H7" s="4" t="s">
        <v>6</v>
      </c>
    </row>
    <row r="8" ht="2" customHeight="1" spans="1:8" x14ac:dyDescent="0.25">
      <c r="A8" s="21"/>
      <c r="B8" s="22"/>
      <c r="C8" s="21"/>
      <c r="D8" s="21"/>
      <c r="E8" s="21"/>
      <c r="F8" s="21"/>
      <c r="G8" s="4"/>
      <c r="H8" s="4" t="s">
        <v>6</v>
      </c>
    </row>
    <row r="9" ht="32" customHeight="1" spans="1:8" x14ac:dyDescent="0.25">
      <c r="A9" s="14"/>
      <c r="B9" s="15" t="s">
        <v>121</v>
      </c>
      <c r="C9" s="16"/>
      <c r="D9" s="16"/>
      <c r="E9" s="16"/>
      <c r="F9" s="27">
        <f>SUM(F4,F5,F6)</f>
        <v>0</v>
      </c>
      <c r="G9" s="4"/>
      <c r="H9" s="4" t="s">
        <v>122</v>
      </c>
    </row>
  </sheetData>
  <mergeCells count="2">
    <mergeCell ref="B1:F1"/>
    <mergeCell ref="B9:E9"/>
  </mergeCells>
  <conditionalFormatting sqref="E4">
    <cfRule type="expression" dxfId="252" priority="1">
      <formula>AND(ISNUMBER(E4),ROUND(E4,2)=INT(ROUND(E4,2)))</formula>
    </cfRule>
    <cfRule type="expression" dxfId="253" priority="2">
      <formula>AND(ISNUMBER(E4),ROUND(E4,2)&lt;&gt;INT(ROUND(E4,2)))</formula>
    </cfRule>
  </conditionalFormatting>
  <conditionalFormatting sqref="F4">
    <cfRule type="expression" dxfId="254" priority="1">
      <formula>AND(ISNUMBER(F4),ROUND(F4,2)=INT(ROUND(F4,2)))</formula>
    </cfRule>
    <cfRule type="expression" dxfId="255" priority="2">
      <formula>AND(ISNUMBER(F4),ROUND(F4,2)&lt;&gt;INT(ROUND(F4,2)))</formula>
    </cfRule>
  </conditionalFormatting>
  <conditionalFormatting sqref="E5">
    <cfRule type="expression" dxfId="256" priority="1">
      <formula>AND(ISNUMBER(E5),ROUND(E5,2)=INT(ROUND(E5,2)))</formula>
    </cfRule>
    <cfRule type="expression" dxfId="257" priority="2">
      <formula>AND(ISNUMBER(E5),ROUND(E5,2)&lt;&gt;INT(ROUND(E5,2)))</formula>
    </cfRule>
  </conditionalFormatting>
  <conditionalFormatting sqref="F5">
    <cfRule type="expression" dxfId="258" priority="1">
      <formula>AND(ISNUMBER(F5),ROUND(F5,2)=INT(ROUND(F5,2)))</formula>
    </cfRule>
    <cfRule type="expression" dxfId="259" priority="2">
      <formula>AND(ISNUMBER(F5),ROUND(F5,2)&lt;&gt;INT(ROUND(F5,2)))</formula>
    </cfRule>
  </conditionalFormatting>
  <conditionalFormatting sqref="E6">
    <cfRule type="expression" dxfId="260" priority="1">
      <formula>AND(ISNUMBER(E6),ROUND(E6,2)=INT(ROUND(E6,2)))</formula>
    </cfRule>
    <cfRule type="expression" dxfId="261" priority="2">
      <formula>AND(ISNUMBER(E6),ROUND(E6,2)&lt;&gt;INT(ROUND(E6,2)))</formula>
    </cfRule>
  </conditionalFormatting>
  <conditionalFormatting sqref="F6">
    <cfRule type="expression" dxfId="262" priority="1">
      <formula>AND(ISNUMBER(F6),ROUND(F6,2)=INT(ROUND(F6,2)))</formula>
    </cfRule>
    <cfRule type="expression" dxfId="263" priority="2">
      <formula>AND(ISNUMBER(F6),ROUND(F6,2)&lt;&gt;INT(ROUND(F6,2)))</formula>
    </cfRule>
  </conditionalFormatting>
  <conditionalFormatting sqref="F9">
    <cfRule type="expression" dxfId="264" priority="1">
      <formula>AND(ISNUMBER(F9),ROUND(F9,2)=INT(ROUND(F9,2)))</formula>
    </cfRule>
    <cfRule type="expression" dxfId="265"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76</v>
      </c>
      <c r="C1" s="3"/>
      <c r="D1" s="3"/>
      <c r="E1" s="3"/>
      <c r="F1" s="3"/>
      <c r="G1" s="1" t="s">
        <v>75</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302</v>
      </c>
      <c r="C3" s="21"/>
      <c r="D3" s="21"/>
      <c r="E3" s="21"/>
      <c r="F3" s="21"/>
      <c r="G3" s="4" t="s">
        <v>303</v>
      </c>
      <c r="H3" s="4" t="s">
        <v>103</v>
      </c>
    </row>
    <row r="4" ht="64.19999999999999" customHeight="1" spans="1:8" x14ac:dyDescent="0.25">
      <c r="A4" s="21"/>
      <c r="B4" s="22" t="s">
        <v>304</v>
      </c>
      <c r="C4" s="21" t="s">
        <v>105</v>
      </c>
      <c r="D4" s="21"/>
      <c r="E4" s="25"/>
      <c r="F4" s="25" t="str">
        <f>IF(ISBLANK(D4),"",IF(NOT(ISNUMBER(D4)),"קלט לא תקין",IF(D4&lt;0,"קלט לא תקין",IF(ISBLANK(E4),"",IF(OR(E4="כלול",E4="לא רלוונטי"),0,IF(NOT(ISNUMBER(E4)),"קלט לא תקין",IF(E4&lt;0,"קלט לא תקין",ROUND(D4*E4,2))))))))</f>
        <v/>
      </c>
      <c r="G4" s="4" t="s">
        <v>305</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266" priority="1">
      <formula>AND(ISNUMBER(E4),ROUND(E4,2)=INT(ROUND(E4,2)))</formula>
    </cfRule>
    <cfRule type="expression" dxfId="267" priority="2">
      <formula>AND(ISNUMBER(E4),ROUND(E4,2)&lt;&gt;INT(ROUND(E4,2)))</formula>
    </cfRule>
  </conditionalFormatting>
  <conditionalFormatting sqref="F4">
    <cfRule type="expression" dxfId="268" priority="1">
      <formula>AND(ISNUMBER(F4),ROUND(F4,2)=INT(ROUND(F4,2)))</formula>
    </cfRule>
    <cfRule type="expression" dxfId="269" priority="2">
      <formula>AND(ISNUMBER(F4),ROUND(F4,2)&lt;&gt;INT(ROUND(F4,2)))</formula>
    </cfRule>
  </conditionalFormatting>
  <conditionalFormatting sqref="F7">
    <cfRule type="expression" dxfId="270" priority="1">
      <formula>AND(ISNUMBER(F7),ROUND(F7,2)=INT(ROUND(F7,2)))</formula>
    </cfRule>
    <cfRule type="expression" dxfId="27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79</v>
      </c>
      <c r="C1" s="3"/>
      <c r="D1" s="3"/>
      <c r="E1" s="3"/>
      <c r="F1" s="3"/>
      <c r="G1" s="1" t="s">
        <v>78</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302</v>
      </c>
      <c r="C3" s="21"/>
      <c r="D3" s="21"/>
      <c r="E3" s="21"/>
      <c r="F3" s="21"/>
      <c r="G3" s="4" t="s">
        <v>306</v>
      </c>
      <c r="H3" s="4" t="s">
        <v>103</v>
      </c>
    </row>
    <row r="4" ht="46.8" customHeight="1" spans="1:8" x14ac:dyDescent="0.25">
      <c r="A4" s="21"/>
      <c r="B4" s="22" t="s">
        <v>307</v>
      </c>
      <c r="C4" s="21" t="s">
        <v>131</v>
      </c>
      <c r="D4" s="21"/>
      <c r="E4" s="25"/>
      <c r="F4" s="25" t="str">
        <f>IF(ISBLANK(D4),"",IF(NOT(ISNUMBER(D4)),"קלט לא תקין",IF(D4&lt;0,"קלט לא תקין",IF(ISBLANK(E4),"",IF(OR(E4="כלול",E4="לא רלוונטי"),0,IF(NOT(ISNUMBER(E4)),"קלט לא תקין",IF(E4&lt;0,"קלט לא תקין",ROUND(D4*E4,2))))))))</f>
        <v/>
      </c>
      <c r="G4" s="4" t="s">
        <v>308</v>
      </c>
      <c r="H4" s="4" t="s">
        <v>107</v>
      </c>
    </row>
    <row r="5" ht="400" customHeight="1" spans="1:8" x14ac:dyDescent="0.25">
      <c r="A5" s="21"/>
      <c r="B5" s="22"/>
      <c r="C5" s="21"/>
      <c r="D5" s="21"/>
      <c r="E5" s="21"/>
      <c r="F5" s="21"/>
      <c r="G5" s="4"/>
      <c r="H5" s="4" t="s">
        <v>6</v>
      </c>
    </row>
    <row r="6" ht="113"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272" priority="1">
      <formula>AND(ISNUMBER(E4),ROUND(E4,2)=INT(ROUND(E4,2)))</formula>
    </cfRule>
    <cfRule type="expression" dxfId="273" priority="2">
      <formula>AND(ISNUMBER(E4),ROUND(E4,2)&lt;&gt;INT(ROUND(E4,2)))</formula>
    </cfRule>
  </conditionalFormatting>
  <conditionalFormatting sqref="F4">
    <cfRule type="expression" dxfId="274" priority="1">
      <formula>AND(ISNUMBER(F4),ROUND(F4,2)=INT(ROUND(F4,2)))</formula>
    </cfRule>
    <cfRule type="expression" dxfId="275" priority="2">
      <formula>AND(ISNUMBER(F4),ROUND(F4,2)&lt;&gt;INT(ROUND(F4,2)))</formula>
    </cfRule>
  </conditionalFormatting>
  <conditionalFormatting sqref="F7">
    <cfRule type="expression" dxfId="276" priority="1">
      <formula>AND(ISNUMBER(F7),ROUND(F7,2)=INT(ROUND(F7,2)))</formula>
    </cfRule>
    <cfRule type="expression" dxfId="27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82</v>
      </c>
      <c r="C1" s="3"/>
      <c r="D1" s="3"/>
      <c r="E1" s="3"/>
      <c r="F1" s="3"/>
      <c r="G1" s="1" t="s">
        <v>81</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309</v>
      </c>
      <c r="C3" s="21"/>
      <c r="D3" s="21"/>
      <c r="E3" s="21"/>
      <c r="F3" s="21"/>
      <c r="G3" s="4" t="s">
        <v>310</v>
      </c>
      <c r="H3" s="4" t="s">
        <v>103</v>
      </c>
    </row>
    <row r="4" ht="64.19999999999999" customHeight="1" spans="1:8" x14ac:dyDescent="0.25">
      <c r="A4" s="21"/>
      <c r="B4" s="22" t="s">
        <v>311</v>
      </c>
      <c r="C4" s="21" t="s">
        <v>144</v>
      </c>
      <c r="D4" s="21"/>
      <c r="E4" s="25"/>
      <c r="F4" s="25" t="str">
        <f>IF(ISBLANK(D4),"",IF(NOT(ISNUMBER(D4)),"קלט לא תקין",IF(D4&lt;0,"קלט לא תקין",IF(ISBLANK(E4),"",IF(OR(E4="כלול",E4="לא רלוונטי"),0,IF(NOT(ISNUMBER(E4)),"קלט לא תקין",IF(E4&lt;0,"קלט לא תקין",ROUND(D4*E4,2))))))))</f>
        <v/>
      </c>
      <c r="G4" s="4" t="s">
        <v>312</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278" priority="1">
      <formula>AND(ISNUMBER(E4),ROUND(E4,2)=INT(ROUND(E4,2)))</formula>
    </cfRule>
    <cfRule type="expression" dxfId="279" priority="2">
      <formula>AND(ISNUMBER(E4),ROUND(E4,2)&lt;&gt;INT(ROUND(E4,2)))</formula>
    </cfRule>
  </conditionalFormatting>
  <conditionalFormatting sqref="F4">
    <cfRule type="expression" dxfId="280" priority="1">
      <formula>AND(ISNUMBER(F4),ROUND(F4,2)=INT(ROUND(F4,2)))</formula>
    </cfRule>
    <cfRule type="expression" dxfId="281" priority="2">
      <formula>AND(ISNUMBER(F4),ROUND(F4,2)&lt;&gt;INT(ROUND(F4,2)))</formula>
    </cfRule>
  </conditionalFormatting>
  <conditionalFormatting sqref="F7">
    <cfRule type="expression" dxfId="282" priority="1">
      <formula>AND(ISNUMBER(F7),ROUND(F7,2)=INT(ROUND(F7,2)))</formula>
    </cfRule>
    <cfRule type="expression" dxfId="28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85</v>
      </c>
      <c r="C1" s="3"/>
      <c r="D1" s="3"/>
      <c r="E1" s="3"/>
      <c r="F1" s="3"/>
      <c r="G1" s="1" t="s">
        <v>84</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302</v>
      </c>
      <c r="C3" s="21"/>
      <c r="D3" s="21"/>
      <c r="E3" s="21"/>
      <c r="F3" s="21"/>
      <c r="G3" s="4" t="s">
        <v>313</v>
      </c>
      <c r="H3" s="4" t="s">
        <v>103</v>
      </c>
    </row>
    <row r="4" ht="46.8" customHeight="1" spans="1:8" x14ac:dyDescent="0.25">
      <c r="A4" s="21"/>
      <c r="B4" s="22" t="s">
        <v>314</v>
      </c>
      <c r="C4" s="21" t="s">
        <v>105</v>
      </c>
      <c r="D4" s="21"/>
      <c r="E4" s="25"/>
      <c r="F4" s="25" t="str">
        <f>IF(ISBLANK(D4),"",IF(NOT(ISNUMBER(D4)),"קלט לא תקין",IF(D4&lt;0,"קלט לא תקין",IF(ISBLANK(E4),"",IF(OR(E4="כלול",E4="לא רלוונטי"),0,IF(NOT(ISNUMBER(E4)),"קלט לא תקין",IF(E4&lt;0,"קלט לא תקין",ROUND(D4*E4,2))))))))</f>
        <v/>
      </c>
      <c r="G4" s="4" t="s">
        <v>315</v>
      </c>
      <c r="H4" s="4" t="s">
        <v>107</v>
      </c>
    </row>
    <row r="5" ht="46.8" customHeight="1" spans="1:8" x14ac:dyDescent="0.25">
      <c r="A5" s="21"/>
      <c r="B5" s="22" t="s">
        <v>316</v>
      </c>
      <c r="C5" s="21" t="s">
        <v>105</v>
      </c>
      <c r="D5" s="21"/>
      <c r="E5" s="25"/>
      <c r="F5" s="25" t="str">
        <f>IF(ISBLANK(D5),"",IF(NOT(ISNUMBER(D5)),"קלט לא תקין",IF(D5&lt;0,"קלט לא תקין",IF(ISBLANK(E5),"",IF(OR(E5="כלול",E5="לא רלוונטי"),0,IF(NOT(ISNUMBER(E5)),"קלט לא תקין",IF(E5&lt;0,"קלט לא תקין",ROUND(D5*E5,2))))))))</f>
        <v/>
      </c>
      <c r="G5" s="4" t="s">
        <v>317</v>
      </c>
      <c r="H5" s="4" t="s">
        <v>107</v>
      </c>
    </row>
    <row r="6" ht="400" customHeight="1" spans="1:8" x14ac:dyDescent="0.25">
      <c r="A6" s="21"/>
      <c r="B6" s="22"/>
      <c r="C6" s="21"/>
      <c r="D6" s="21"/>
      <c r="E6" s="21"/>
      <c r="F6" s="21"/>
      <c r="G6" s="4"/>
      <c r="H6" s="4" t="s">
        <v>6</v>
      </c>
    </row>
    <row r="7" ht="66.20000000000005" customHeight="1" spans="1:8" x14ac:dyDescent="0.25">
      <c r="A7" s="21"/>
      <c r="B7" s="22"/>
      <c r="C7" s="21"/>
      <c r="D7" s="21"/>
      <c r="E7" s="21"/>
      <c r="F7" s="21"/>
      <c r="G7" s="4"/>
      <c r="H7" s="4" t="s">
        <v>6</v>
      </c>
    </row>
    <row r="8" ht="32" customHeight="1" spans="1:8" x14ac:dyDescent="0.25">
      <c r="A8" s="14"/>
      <c r="B8" s="15" t="s">
        <v>121</v>
      </c>
      <c r="C8" s="16"/>
      <c r="D8" s="16"/>
      <c r="E8" s="16"/>
      <c r="F8" s="27">
        <f>SUM(F4,F5)</f>
        <v>0</v>
      </c>
      <c r="G8" s="4"/>
      <c r="H8" s="4" t="s">
        <v>122</v>
      </c>
    </row>
  </sheetData>
  <mergeCells count="2">
    <mergeCell ref="B1:F1"/>
    <mergeCell ref="B8:E8"/>
  </mergeCells>
  <conditionalFormatting sqref="E4">
    <cfRule type="expression" dxfId="284" priority="1">
      <formula>AND(ISNUMBER(E4),ROUND(E4,2)=INT(ROUND(E4,2)))</formula>
    </cfRule>
    <cfRule type="expression" dxfId="285" priority="2">
      <formula>AND(ISNUMBER(E4),ROUND(E4,2)&lt;&gt;INT(ROUND(E4,2)))</formula>
    </cfRule>
  </conditionalFormatting>
  <conditionalFormatting sqref="F4">
    <cfRule type="expression" dxfId="286" priority="1">
      <formula>AND(ISNUMBER(F4),ROUND(F4,2)=INT(ROUND(F4,2)))</formula>
    </cfRule>
    <cfRule type="expression" dxfId="287" priority="2">
      <formula>AND(ISNUMBER(F4),ROUND(F4,2)&lt;&gt;INT(ROUND(F4,2)))</formula>
    </cfRule>
  </conditionalFormatting>
  <conditionalFormatting sqref="E5">
    <cfRule type="expression" dxfId="288" priority="1">
      <formula>AND(ISNUMBER(E5),ROUND(E5,2)=INT(ROUND(E5,2)))</formula>
    </cfRule>
    <cfRule type="expression" dxfId="289" priority="2">
      <formula>AND(ISNUMBER(E5),ROUND(E5,2)&lt;&gt;INT(ROUND(E5,2)))</formula>
    </cfRule>
  </conditionalFormatting>
  <conditionalFormatting sqref="F5">
    <cfRule type="expression" dxfId="290" priority="1">
      <formula>AND(ISNUMBER(F5),ROUND(F5,2)=INT(ROUND(F5,2)))</formula>
    </cfRule>
    <cfRule type="expression" dxfId="291" priority="2">
      <formula>AND(ISNUMBER(F5),ROUND(F5,2)&lt;&gt;INT(ROUND(F5,2)))</formula>
    </cfRule>
  </conditionalFormatting>
  <conditionalFormatting sqref="F8">
    <cfRule type="expression" dxfId="292" priority="1">
      <formula>AND(ISNUMBER(F8),ROUND(F8,2)=INT(ROUND(F8,2)))</formula>
    </cfRule>
    <cfRule type="expression" dxfId="293"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88</v>
      </c>
      <c r="C1" s="3"/>
      <c r="D1" s="3"/>
      <c r="E1" s="3"/>
      <c r="F1" s="3"/>
      <c r="G1" s="1" t="s">
        <v>87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302</v>
      </c>
      <c r="C3" s="21"/>
      <c r="D3" s="21"/>
      <c r="E3" s="21"/>
      <c r="F3" s="21"/>
      <c r="G3" s="4" t="s">
        <v>318</v>
      </c>
      <c r="H3" s="4" t="s">
        <v>103</v>
      </c>
    </row>
    <row r="4" ht="64.19999999999999" customHeight="1" spans="1:8" x14ac:dyDescent="0.25">
      <c r="A4" s="21"/>
      <c r="B4" s="22" t="s">
        <v>319</v>
      </c>
      <c r="C4" s="21" t="s">
        <v>131</v>
      </c>
      <c r="D4" s="21"/>
      <c r="E4" s="25"/>
      <c r="F4" s="25" t="str">
        <f>IF(ISBLANK(D4),"",IF(NOT(ISNUMBER(D4)),"קלט לא תקין",IF(D4&lt;0,"קלט לא תקין",IF(ISBLANK(E4),"",IF(OR(E4="כלול",E4="לא רלוונטי"),0,IF(NOT(ISNUMBER(E4)),"קלט לא תקין",IF(E4&lt;0,"קלט לא תקין",ROUND(D4*E4,2))))))))</f>
        <v/>
      </c>
      <c r="G4" s="4" t="s">
        <v>320</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294" priority="1">
      <formula>AND(ISNUMBER(E4),ROUND(E4,2)=INT(ROUND(E4,2)))</formula>
    </cfRule>
    <cfRule type="expression" dxfId="295" priority="2">
      <formula>AND(ISNUMBER(E4),ROUND(E4,2)&lt;&gt;INT(ROUND(E4,2)))</formula>
    </cfRule>
  </conditionalFormatting>
  <conditionalFormatting sqref="F4">
    <cfRule type="expression" dxfId="296" priority="1">
      <formula>AND(ISNUMBER(F4),ROUND(F4,2)=INT(ROUND(F4,2)))</formula>
    </cfRule>
    <cfRule type="expression" dxfId="297" priority="2">
      <formula>AND(ISNUMBER(F4),ROUND(F4,2)&lt;&gt;INT(ROUND(F4,2)))</formula>
    </cfRule>
  </conditionalFormatting>
  <conditionalFormatting sqref="F7">
    <cfRule type="expression" dxfId="298" priority="1">
      <formula>AND(ISNUMBER(F7),ROUND(F7,2)=INT(ROUND(F7,2)))</formula>
    </cfRule>
    <cfRule type="expression" dxfId="299"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91</v>
      </c>
      <c r="C1" s="3"/>
      <c r="D1" s="3"/>
      <c r="E1" s="3"/>
      <c r="F1" s="3"/>
      <c r="G1" s="1" t="s">
        <v>90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234</v>
      </c>
      <c r="C3" s="21"/>
      <c r="D3" s="21"/>
      <c r="E3" s="21"/>
      <c r="F3" s="21"/>
      <c r="G3" s="4" t="s">
        <v>321</v>
      </c>
      <c r="H3" s="4" t="s">
        <v>103</v>
      </c>
    </row>
    <row r="4" ht="46.8" customHeight="1" spans="1:8" x14ac:dyDescent="0.25">
      <c r="A4" s="21"/>
      <c r="B4" s="22" t="s">
        <v>322</v>
      </c>
      <c r="C4" s="21" t="s">
        <v>131</v>
      </c>
      <c r="D4" s="21"/>
      <c r="E4" s="25"/>
      <c r="F4" s="25" t="str">
        <f>IF(ISBLANK(D4),"",IF(NOT(ISNUMBER(D4)),"קלט לא תקין",IF(D4&lt;0,"קלט לא תקין",IF(ISBLANK(E4),"",IF(OR(E4="כלול",E4="לא רלוונטי"),0,IF(NOT(ISNUMBER(E4)),"קלט לא תקין",IF(E4&lt;0,"קלט לא תקין",ROUND(D4*E4,2))))))))</f>
        <v/>
      </c>
      <c r="G4" s="4" t="s">
        <v>323</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7">
        <f>SUM(F4)</f>
        <v>0</v>
      </c>
      <c r="G7" s="4"/>
      <c r="H7" s="4" t="s">
        <v>122</v>
      </c>
    </row>
  </sheetData>
  <mergeCells count="2">
    <mergeCell ref="B1:F1"/>
    <mergeCell ref="B7:E7"/>
  </mergeCells>
  <conditionalFormatting sqref="E4">
    <cfRule type="expression" dxfId="300" priority="1">
      <formula>AND(ISNUMBER(E4),ROUND(E4,2)=INT(ROUND(E4,2)))</formula>
    </cfRule>
    <cfRule type="expression" dxfId="301" priority="2">
      <formula>AND(ISNUMBER(E4),ROUND(E4,2)&lt;&gt;INT(ROUND(E4,2)))</formula>
    </cfRule>
  </conditionalFormatting>
  <conditionalFormatting sqref="F4">
    <cfRule type="expression" dxfId="302" priority="1">
      <formula>AND(ISNUMBER(F4),ROUND(F4,2)=INT(ROUND(F4,2)))</formula>
    </cfRule>
    <cfRule type="expression" dxfId="303" priority="2">
      <formula>AND(ISNUMBER(F4),ROUND(F4,2)&lt;&gt;INT(ROUND(F4,2)))</formula>
    </cfRule>
  </conditionalFormatting>
  <conditionalFormatting sqref="F7">
    <cfRule type="expression" dxfId="304" priority="1">
      <formula>AND(ISNUMBER(F7),ROUND(F7,2)=INT(ROUND(F7,2)))</formula>
    </cfRule>
    <cfRule type="expression" dxfId="305"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324</v>
      </c>
      <c r="C1" s="3"/>
      <c r="D1" s="3"/>
      <c r="E1" s="3"/>
      <c r="F1" s="3"/>
    </row>
    <row r="2" ht="30" customHeight="1" spans="1:6" x14ac:dyDescent="0.25">
      <c r="A2" s="28" t="s">
        <v>8</v>
      </c>
      <c r="B2" s="29" t="s">
        <v>325</v>
      </c>
      <c r="C2" s="30"/>
      <c r="D2" s="30"/>
      <c r="E2" s="28" t="s">
        <v>99</v>
      </c>
      <c r="F2" s="30"/>
    </row>
    <row r="3" ht="24" customHeight="1" spans="1:6" x14ac:dyDescent="0.25">
      <c r="A3" s="31">
        <v>1</v>
      </c>
      <c r="B3" s="32" t="s">
        <v>11</v>
      </c>
      <c r="C3" s="33"/>
      <c r="D3" s="33"/>
      <c r="E3" s="34">
        <f>'אינסטלציה ותברואה'!F12</f>
        <v>0</v>
      </c>
      <c r="F3" s="35"/>
    </row>
    <row r="4" ht="24" customHeight="1" spans="1:6" x14ac:dyDescent="0.25">
      <c r="A4" s="31">
        <v>2</v>
      </c>
      <c r="B4" s="32" t="s">
        <v>12</v>
      </c>
      <c r="C4" s="33"/>
      <c r="D4" s="33"/>
      <c r="E4" s="34">
        <f>'חשמל והכנות תקשורת'!F15</f>
        <v>0</v>
      </c>
      <c r="F4" s="35"/>
    </row>
    <row r="5" ht="24" customHeight="1" spans="1:6" x14ac:dyDescent="0.25">
      <c r="A5" s="31">
        <v>3</v>
      </c>
      <c r="B5" s="32" t="s">
        <v>13</v>
      </c>
      <c r="C5" s="33"/>
      <c r="D5" s="33"/>
      <c r="E5" s="34">
        <f>'ריצוף וחיפוי הדלפק'!F9</f>
        <v>0</v>
      </c>
      <c r="F5" s="35"/>
    </row>
    <row r="6" ht="24" customHeight="1" spans="1:6" x14ac:dyDescent="0.25">
      <c r="A6" s="31">
        <v>4</v>
      </c>
      <c r="B6" s="32" t="s">
        <v>14</v>
      </c>
      <c r="C6" s="33"/>
      <c r="D6" s="33"/>
      <c r="E6" s="34">
        <f>'נגרות ביפרש'!F11</f>
        <v>0</v>
      </c>
      <c r="F6" s="35"/>
    </row>
    <row r="7" ht="24" customHeight="1" spans="1:6" x14ac:dyDescent="0.25">
      <c r="A7" s="31">
        <v>5</v>
      </c>
      <c r="B7" s="32" t="s">
        <v>15</v>
      </c>
      <c r="C7" s="33"/>
      <c r="D7" s="33"/>
      <c r="E7" s="34">
        <f>'מסגרות ביפרש'!F9</f>
        <v>0</v>
      </c>
      <c r="F7" s="35"/>
    </row>
    <row r="8" ht="24" customHeight="1" spans="1:6" x14ac:dyDescent="0.25">
      <c r="A8" s="31">
        <v>6</v>
      </c>
      <c r="B8" s="32" t="s">
        <v>16</v>
      </c>
      <c r="C8" s="33"/>
      <c r="D8" s="33"/>
      <c r="E8" s="34">
        <f>'זיגוג וחופת דלפק'!F8</f>
        <v>0</v>
      </c>
      <c r="F8" s="35"/>
    </row>
    <row r="9" ht="24" customHeight="1" spans="1:6" x14ac:dyDescent="0.25">
      <c r="A9" s="31">
        <v>7</v>
      </c>
      <c r="B9" s="32" t="s">
        <v>17</v>
      </c>
      <c r="C9" s="33"/>
      <c r="D9" s="33"/>
      <c r="E9" s="34">
        <f>'משטחים ודפנות מיוחדים'!F9</f>
        <v>0</v>
      </c>
      <c r="F9" s="35"/>
    </row>
    <row r="10" ht="24" customHeight="1" spans="1:6" x14ac:dyDescent="0.25">
      <c r="A10" s="4"/>
      <c r="B10" s="36" t="s">
        <v>326</v>
      </c>
      <c r="C10" s="37"/>
      <c r="D10" s="37"/>
      <c r="E10" s="37"/>
      <c r="F10" s="37"/>
    </row>
    <row r="11" ht="32" customHeight="1" spans="1:6" x14ac:dyDescent="0.25">
      <c r="A11" s="4"/>
      <c r="B11" s="38" t="s">
        <v>99</v>
      </c>
      <c r="C11" s="39"/>
      <c r="D11" s="39"/>
      <c r="E11" s="40">
        <f>SUM(E3:E9)</f>
        <v>0</v>
      </c>
      <c r="F11" s="41"/>
    </row>
    <row r="12" ht="32" customHeight="1" spans="1:6" x14ac:dyDescent="0.25">
      <c r="A12" s="4"/>
      <c r="B12" s="42" t="str">
        <f>IF(ISNUMBER('שער'!F14),"מע"&amp;CHAR(34)&amp;"מ ("&amp;'שער'!F14&amp;"%)","מע"&amp;CHAR(34)&amp;"מ (לא הוגדר)")</f>
        <v>מע״מ (18%)</v>
      </c>
      <c r="C12" s="43"/>
      <c r="D12" s="43"/>
      <c r="E12" s="44">
        <f>IF(ISBLANK('שער'!F14),"",IF(ISNUMBER('שער'!F14),ROUND(E11*'שער'!F14/100,2),"קלט לא תקין"))</f>
        <v>0</v>
      </c>
      <c r="F12" s="45"/>
    </row>
    <row r="13" ht="32" customHeight="1" spans="1:6" x14ac:dyDescent="0.25">
      <c r="A13" s="4"/>
      <c r="B13" s="46" t="s">
        <v>327</v>
      </c>
      <c r="C13" s="47"/>
      <c r="D13" s="47"/>
      <c r="E13" s="48">
        <f>IF(ISNUMBER(E12),SUM(E11,E12),"")</f>
        <v>0</v>
      </c>
      <c r="F13" s="49"/>
    </row>
  </sheetData>
  <mergeCells count="24">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F10"/>
    <mergeCell ref="B11:D11"/>
    <mergeCell ref="E11:F11"/>
    <mergeCell ref="B12:D12"/>
    <mergeCell ref="E12:F12"/>
    <mergeCell ref="B13:D13"/>
    <mergeCell ref="E13:F13"/>
  </mergeCells>
  <conditionalFormatting sqref="E3">
    <cfRule type="expression" dxfId="306" priority="1">
      <formula>AND(ISNUMBER(E3),ROUND(E3,2)=INT(ROUND(E3,2)))</formula>
    </cfRule>
    <cfRule type="expression" dxfId="307" priority="2">
      <formula>AND(ISNUMBER(E3),ROUND(E3,2)&lt;&gt;INT(ROUND(E3,2)))</formula>
    </cfRule>
  </conditionalFormatting>
  <conditionalFormatting sqref="E4">
    <cfRule type="expression" dxfId="308" priority="1">
      <formula>AND(ISNUMBER(E4),ROUND(E4,2)=INT(ROUND(E4,2)))</formula>
    </cfRule>
    <cfRule type="expression" dxfId="309" priority="2">
      <formula>AND(ISNUMBER(E4),ROUND(E4,2)&lt;&gt;INT(ROUND(E4,2)))</formula>
    </cfRule>
  </conditionalFormatting>
  <conditionalFormatting sqref="E5">
    <cfRule type="expression" dxfId="310" priority="1">
      <formula>AND(ISNUMBER(E5),ROUND(E5,2)=INT(ROUND(E5,2)))</formula>
    </cfRule>
    <cfRule type="expression" dxfId="311" priority="2">
      <formula>AND(ISNUMBER(E5),ROUND(E5,2)&lt;&gt;INT(ROUND(E5,2)))</formula>
    </cfRule>
  </conditionalFormatting>
  <conditionalFormatting sqref="E6">
    <cfRule type="expression" dxfId="312" priority="1">
      <formula>AND(ISNUMBER(E6),ROUND(E6,2)=INT(ROUND(E6,2)))</formula>
    </cfRule>
    <cfRule type="expression" dxfId="313" priority="2">
      <formula>AND(ISNUMBER(E6),ROUND(E6,2)&lt;&gt;INT(ROUND(E6,2)))</formula>
    </cfRule>
  </conditionalFormatting>
  <conditionalFormatting sqref="E7">
    <cfRule type="expression" dxfId="314" priority="1">
      <formula>AND(ISNUMBER(E7),ROUND(E7,2)=INT(ROUND(E7,2)))</formula>
    </cfRule>
    <cfRule type="expression" dxfId="315" priority="2">
      <formula>AND(ISNUMBER(E7),ROUND(E7,2)&lt;&gt;INT(ROUND(E7,2)))</formula>
    </cfRule>
  </conditionalFormatting>
  <conditionalFormatting sqref="E8">
    <cfRule type="expression" dxfId="316" priority="1">
      <formula>AND(ISNUMBER(E8),ROUND(E8,2)=INT(ROUND(E8,2)))</formula>
    </cfRule>
    <cfRule type="expression" dxfId="317" priority="2">
      <formula>AND(ISNUMBER(E8),ROUND(E8,2)&lt;&gt;INT(ROUND(E8,2)))</formula>
    </cfRule>
  </conditionalFormatting>
  <conditionalFormatting sqref="E9">
    <cfRule type="expression" dxfId="318" priority="1">
      <formula>AND(ISNUMBER(E9),ROUND(E9,2)=INT(ROUND(E9,2)))</formula>
    </cfRule>
    <cfRule type="expression" dxfId="319" priority="2">
      <formula>AND(ISNUMBER(E9),ROUND(E9,2)&lt;&gt;INT(ROUND(E9,2)))</formula>
    </cfRule>
  </conditionalFormatting>
  <conditionalFormatting sqref="E11">
    <cfRule type="expression" dxfId="320" priority="1">
      <formula>AND(ISNUMBER(E11),ROUND(E11,2)=INT(ROUND(E11,2)))</formula>
    </cfRule>
    <cfRule type="expression" dxfId="321" priority="2">
      <formula>AND(ISNUMBER(E11),ROUND(E11,2)&lt;&gt;INT(ROUND(E11,2)))</formula>
    </cfRule>
  </conditionalFormatting>
  <conditionalFormatting sqref="E12">
    <cfRule type="expression" dxfId="322" priority="1">
      <formula>AND(ISNUMBER(E12),ROUND(E12,2)=INT(ROUND(E12,2)))</formula>
    </cfRule>
    <cfRule type="expression" dxfId="323" priority="2">
      <formula>AND(ISNUMBER(E12),ROUND(E12,2)&lt;&gt;INT(ROUND(E12,2)))</formula>
    </cfRule>
  </conditionalFormatting>
  <conditionalFormatting sqref="E13">
    <cfRule type="expression" dxfId="324" priority="1">
      <formula>AND(ISNUMBER(E13),ROUND(E13,2)=INT(ROUND(E13,2)))</formula>
    </cfRule>
    <cfRule type="expression" dxfId="325" priority="2">
      <formula>AND(ISNUMBER(E13),ROUND(E13,2)&lt;&gt;INT(ROUND(E13,2)))</formula>
    </cfRule>
  </conditionalFormatting>
  <pageMargins left="0.25" right="0.25" top="0.75" bottom="0.75" header="0" footer="0.25"/>
  <pageSetup paperSize="9" orientation="portrait" fitToWidth="1" fitToHeight="0" firstPageNumber="10"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שער</vt:lpstr>
      <vt:lpstr>מקרא והנחיות</vt:lpstr>
      <vt:lpstr>_BOQ_META</vt:lpstr>
      <vt:lpstr>פירוק והריסה</vt:lpstr>
      <vt:lpstr>מחיצות והכנות לדלפק</vt:lpstr>
      <vt:lpstr>אינסטלציה ותברואה</vt:lpstr>
      <vt:lpstr>חשמל והכנות תקשורת</vt:lpstr>
      <vt:lpstr>הכנות רצפה והגבהות</vt:lpstr>
      <vt:lpstr>איטום</vt:lpstr>
      <vt:lpstr>דלתות בחנות או בחדר שירות</vt:lpstr>
      <vt:lpstr>ריצוף וחיפוי הדלפק</vt:lpstr>
      <vt:lpstr>תקרה וקרניזים לדוכן</vt:lpstr>
      <vt:lpstr>צבע וגמר</vt:lpstr>
      <vt:lpstr>נגרות ביפרש</vt:lpstr>
      <vt:lpstr>מסגרות ביפרש</vt:lpstr>
      <vt:lpstr>זיגוג וחופת דלפק</vt:lpstr>
      <vt:lpstr>משטחים ודפנות מיוחדים</vt:lpstr>
      <vt:lpstr>אספקות גמר נפרדות</vt:lpstr>
      <vt:lpstr>מיזוג ואוורור</vt:lpstr>
      <vt:lpstr>ציוד מטבח ונירוסטה</vt:lpstr>
      <vt:lpstr>הכנות ומערכת גז</vt:lpstr>
      <vt:lpstr>כיבוי וגילוי</vt:lpstr>
      <vt:lpstr>שילוט ומיתוג</vt:lpstr>
      <vt:lpstr>ריהוט נייד</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2026-10-28T10:18:26Z</dcterms:created>
  <dcterms:modified xsi:type="dcterms:W3CDTF">2026-10-28T10:18:26Z</dcterms:modified>
</cp:coreProperties>
</file>