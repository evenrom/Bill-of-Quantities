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פרטי מסמך" state="visible" r:id="rId4"/>
    <sheet sheetId="2" name="_BOQ_META" state="hidden" r:id="rId5"/>
    <sheet sheetId="3" name="פרק 1" state="hidden" r:id="rId6"/>
    <sheet sheetId="4" name="פרק 2" state="visible" r:id="rId7"/>
    <sheet sheetId="5" name="פרק 3" state="visible" r:id="rId8"/>
    <sheet sheetId="6" name="פרק 4" state="visible" r:id="rId9"/>
    <sheet sheetId="7" name="פרק 5" state="hidden" r:id="rId10"/>
    <sheet sheetId="8" name="פרק 6" state="visible" r:id="rId11"/>
    <sheet sheetId="9" name="פרק 7" state="visible" r:id="rId12"/>
    <sheet sheetId="10" name="פרק 8" state="visible" r:id="rId13"/>
    <sheet sheetId="11" name="פרק 9" state="visible" r:id="rId14"/>
    <sheet sheetId="12" name="פרק 10" state="visible" r:id="rId15"/>
    <sheet sheetId="13" name="פרק 11" state="visible" r:id="rId16"/>
    <sheet sheetId="14" name="פרק 12" state="hidden" r:id="rId17"/>
    <sheet sheetId="15" name="פרק 13" state="hidden" r:id="rId18"/>
    <sheet sheetId="16" name="פרק 14" state="hidden" r:id="rId19"/>
    <sheet sheetId="17" name="פרק 15" state="hidden" r:id="rId20"/>
    <sheet sheetId="18" name="פרק 16" state="hidden" r:id="rId21"/>
    <sheet sheetId="19" name="פרק 17" state="hidden" r:id="rId22"/>
    <sheet sheetId="20" name="פרק 18" state="hidden" r:id="rId23"/>
    <sheet sheetId="21" name="פרק 19" state="hidden" r:id="rId24"/>
    <sheet sheetId="22" name="פרק 20" state="hidden" r:id="rId25"/>
    <sheet sheetId="23" name="פרק 21" state="hidden" r:id="rId26"/>
    <sheet sheetId="24" name="פרק 22" state="hidden" r:id="rId27"/>
  </sheets>
  <definedNames>
    <definedName name="_xlnm.Print_Area" localSheetId="2">'פרק 1'!$A1:$F12</definedName>
    <definedName name="_xlnm.Print_Titles" localSheetId="2">'פרק 1'!$1:$2</definedName>
    <definedName name="_xlnm.Print_Area" localSheetId="3">'פרק 2'!$A1:$F10</definedName>
    <definedName name="_xlnm.Print_Titles" localSheetId="3">'פרק 2'!$1:$2</definedName>
    <definedName name="_xlnm.Print_Area" localSheetId="4">'פרק 3'!$A1:$F12</definedName>
    <definedName name="_xlnm.Print_Titles" localSheetId="4">'פרק 3'!$1:$2</definedName>
    <definedName name="_xlnm.Print_Area" localSheetId="5">'פרק 4'!$A1:$F14</definedName>
    <definedName name="_xlnm.Print_Titles" localSheetId="5">'פרק 4'!$1:$2</definedName>
    <definedName name="_xlnm.Print_Area" localSheetId="6">'פרק 5'!$A1:$F5</definedName>
    <definedName name="_xlnm.Print_Titles" localSheetId="6">'פרק 5'!$1:$2</definedName>
    <definedName name="_xlnm.Print_Area" localSheetId="7">'פרק 6'!$A1:$F5</definedName>
    <definedName name="_xlnm.Print_Titles" localSheetId="7">'פרק 6'!$1:$2</definedName>
    <definedName name="_xlnm.Print_Area" localSheetId="8">'פרק 7'!$A1:$F5</definedName>
    <definedName name="_xlnm.Print_Titles" localSheetId="8">'פרק 7'!$1:$2</definedName>
    <definedName name="_xlnm.Print_Area" localSheetId="9">'פרק 8'!$A1:$F8</definedName>
    <definedName name="_xlnm.Print_Titles" localSheetId="9">'פרק 8'!$1:$2</definedName>
    <definedName name="_xlnm.Print_Area" localSheetId="10">'פרק 9'!$A1:$F8</definedName>
    <definedName name="_xlnm.Print_Titles" localSheetId="10">'פרק 9'!$1:$2</definedName>
    <definedName name="_xlnm.Print_Area" localSheetId="11">'פרק 10'!$A1:$F7</definedName>
    <definedName name="_xlnm.Print_Titles" localSheetId="11">'פרק 10'!$1:$2</definedName>
    <definedName name="_xlnm.Print_Area" localSheetId="12">'פרק 11'!$A1:$F16</definedName>
    <definedName name="_xlnm.Print_Titles" localSheetId="12">'פרק 11'!$1:$2</definedName>
    <definedName name="_xlnm.Print_Area" localSheetId="13">'פרק 12'!$A1:$F8</definedName>
    <definedName name="_xlnm.Print_Titles" localSheetId="13">'פרק 12'!$1:$2</definedName>
    <definedName name="_xlnm.Print_Area" localSheetId="14">'פרק 13'!$A1:$F7</definedName>
    <definedName name="_xlnm.Print_Titles" localSheetId="14">'פרק 13'!$1:$2</definedName>
    <definedName name="_xlnm.Print_Area" localSheetId="15">'פרק 14'!$A1:$F7</definedName>
    <definedName name="_xlnm.Print_Titles" localSheetId="15">'פרק 14'!$1:$2</definedName>
    <definedName name="_xlnm.Print_Area" localSheetId="16">'פרק 15'!$A1:$F7</definedName>
    <definedName name="_xlnm.Print_Titles" localSheetId="16">'פרק 15'!$1:$2</definedName>
    <definedName name="_xlnm.Print_Area" localSheetId="17">'פרק 16'!$A1:$F5</definedName>
    <definedName name="_xlnm.Print_Titles" localSheetId="17">'פרק 16'!$1:$2</definedName>
    <definedName name="_xlnm.Print_Area" localSheetId="18">'פרק 17'!$A1:$F5</definedName>
    <definedName name="_xlnm.Print_Titles" localSheetId="18">'פרק 17'!$1:$2</definedName>
    <definedName name="_xlnm.Print_Area" localSheetId="19">'פרק 18'!$A1:$F5</definedName>
    <definedName name="_xlnm.Print_Titles" localSheetId="19">'פרק 18'!$1:$2</definedName>
    <definedName name="_xlnm.Print_Area" localSheetId="20">'פרק 19'!$A1:$F6</definedName>
    <definedName name="_xlnm.Print_Titles" localSheetId="20">'פרק 19'!$1:$2</definedName>
    <definedName name="_xlnm.Print_Area" localSheetId="21">'פרק 20'!$A1:$F5</definedName>
    <definedName name="_xlnm.Print_Titles" localSheetId="21">'פרק 20'!$1:$2</definedName>
    <definedName name="_xlnm.Print_Area" localSheetId="22">'פרק 21'!$A1:$F5</definedName>
    <definedName name="_xlnm.Print_Titles" localSheetId="22">'פרק 21'!$1:$2</definedName>
    <definedName name="_xlnm.Print_Area" localSheetId="23">'פרק 22'!$A1:$F6</definedName>
    <definedName name="_xlnm.Print_Titles" localSheetId="23">'פרק 22'!$1:$2</definedName>
  </definedNames>
  <calcPr calcId="171027" fullCalcOnLoad="1"/>
</workbook>
</file>

<file path=xl/sharedStrings.xml><?xml version="1.0" encoding="utf-8"?>
<sst xmlns="http://schemas.openxmlformats.org/spreadsheetml/2006/main" count="816" uniqueCount="381">
  <si>
    <t>שם פרויקט</t>
  </si>
  <si>
    <t>בדיקת מסלול ראשון</t>
  </si>
  <si>
    <t>לקוח</t>
  </si>
  <si>
    <t/>
  </si>
  <si>
    <t>מיקום</t>
  </si>
  <si>
    <t>תאריך</t>
  </si>
  <si>
    <t>מהדורה</t>
  </si>
  <si>
    <t>הנחיות כלליות</t>
  </si>
  <si>
    <t xml:space="preserve">1. יש להגיש הצעה לפי הסעיפים והתכולות שבמסמך הפרויקט. יש להעביר לבירור אי־התאמה, גבול תכולה לא ברור או פרט חסר לפני ביצוע העבודה הנוגעת להם.
2. אספקה, התקנה, תשתית וחיבור בידי קבלנים או ספקים שונים יפורטו בנפרד. אין להסיק אחריות רק מהופעת שם ספק או מהסימון קיים.
3. פרטי ביצוע, מידות, גוונים ודגמים יושלמו לפי מסמכי הפרויקט המאושרים. אין להשתמש בערכים זמניים או במידע מפרויקט קודם כנתוני ביצוע.
4. לכל רכיב תכולת תמחור אחת. אספקה או עבודה המופיעות בפרק נפרד יוחרגו ממחיר הפריט שבו היו עלולות להיכלל שוב.
5. תכניות ופרטים החלים על ההצעה: {רשימת מסמכים ומהדורות לפרויקט}. פרטי הקבלן, חתימה וחותמת יושלמו בעותק ההצעה.</t>
  </si>
  <si>
    <t>פרטי משרד ולוגו — מציין מקום</t>
  </si>
  <si>
    <t>[פרטי משרד ולוגו — להשלמה]</t>
  </si>
  <si>
    <t>קבלן</t>
  </si>
  <si>
    <t>שיעור מע״מ (%)</t>
  </si>
  <si>
    <t>קובץ עבודה מלא — אינו ייצוא לקבלן</t>
  </si>
  <si>
    <t>עימוד הפצה יתווסף בשלב הבא</t>
  </si>
  <si>
    <t>BOQ_WORKBOOK</t>
  </si>
  <si>
    <t>project</t>
  </si>
  <si>
    <t>65e7866c-d447-477d-a6db-889ad106b215</t>
  </si>
  <si>
    <t>4ba34609-ce49-4492-9ed9-ff107fb664c2</t>
  </si>
  <si>
    <t>restaurant</t>
  </si>
  <si>
    <t>["d54ed825-4090-48dd-a2d9-3ec282f855b7","d94a1a92-0877-4dbb-a4b4-a681ee97e49f","d9c65539-bb75-49a8-84b2-847eaff9f4f6","6cf22717-63cb-4cf3-8d76-7d8c70243e27","9a69556d-3e52-486a-8c02-f0eb6ccb8cd0","961a4774-68d3-4ae5-ab89-c7675b67ac76","282f592b-f0b7-4da1-9c59-f11815b07ffc","38001d2f-9cbb-4ae8-ac83-ac131d33ba27","67e9ba0e-f6c3-4bd4-b286-30c49fe5449c","5b21438f-7cdc-4a27-8a6b-d4a7c50fcc1e","5b915980-23be-4f58-90b9-da191614fbc9","26a70f5d-f6ec-43ce-91f6-110d7c6e7a7d","e22aa955-226e-4c3d-8eb2-3cdc06702150","59b1ac33-0ff5-4796-8e77-2f72f5d93925","efb8d1e0-db7c-4e10-90bb-bf0998ff3ae0","3e16661d-9885-41d2-ae14-8e2a6124636f","4433c8df-9056-4f7f-b18b-0a4b88e1176d","eb5d8894-6ab4-4ebb-9fa2-8b50f3484e55","22300258-5415-4b32-b6b4-bcb050621f55","732cec96-8573-456a-8824-1f06c2d6c929","d24c01a9-1a4c-43be-9c3f-ba92a67c5553","05dbb3e2-c431-4caa-b776-2e9d1b0898e8"]</t>
  </si>
  <si>
    <t>layout</t>
  </si>
  <si>
    <t>{"font":"Assistant","sideMarginMm":6.35,"verticalMarginMm":19.05}</t>
  </si>
  <si>
    <t>chapterId</t>
  </si>
  <si>
    <t>sheet</t>
  </si>
  <si>
    <t>active</t>
  </si>
  <si>
    <t>rowIds</t>
  </si>
  <si>
    <t>d54ed825-4090-48dd-a2d9-3ec282f855b7</t>
  </si>
  <si>
    <t>פרק 1</t>
  </si>
  <si>
    <t>["3f42bf89-6f13-4be9-8195-e5ec41f7c714","303417bd-9a06-4692-9b70-28be8818067a","cda73cf5-8706-4bf4-b7b3-92849e89d980","d9dc25cc-a1a5-41c9-945a-e387cf4bb433","992d74e7-a84f-4a2c-bc2b-f297b15a61b1","7db3318c-d7b9-4e98-984b-9113c9e335bf","d3e6f477-c842-472f-adf2-14d2ceaed8ac","a0c4f064-1abd-42e4-b1a0-43fcdd6f7c6e","1098f4fc-0f67-437c-9f81-6c8b625133ab"]</t>
  </si>
  <si>
    <t>d94a1a92-0877-4dbb-a4b4-a681ee97e49f</t>
  </si>
  <si>
    <t>פרק 2</t>
  </si>
  <si>
    <t>["690eb875-aa76-41e6-8bb5-2d03ff361dac","3a77a9dd-ce91-42e6-b5ce-69acfbfa3add","f28dbaa1-b366-43b3-8f3f-ad862365828a","82ce2e1a-04a9-4dfd-87fa-c48ec84b39cb","fa071719-5b20-497b-a6b6-8bb9521f131d","4bc100a9-2833-4da1-aea0-5fce94708919","551353ea-3c92-44ee-baa8-2aedbf1bb8b7"]</t>
  </si>
  <si>
    <t>d9c65539-bb75-49a8-84b2-847eaff9f4f6</t>
  </si>
  <si>
    <t>פרק 3</t>
  </si>
  <si>
    <t>["4040cbd1-e0aa-4718-8fc3-857b45f2c1fb","53755198-01c0-4f0c-add0-94c3a2c74c44","816aac20-f69a-40ed-8343-4513757c0120","0a24dcd4-add9-49da-a116-59411255c8d9","e22f5033-840d-4418-a873-c5f54cea9bf2","ede375d3-493b-4d6f-8508-0e604bc90961","a4abfc43-1662-4bf0-a040-281ad0518976","b93c4671-3df5-491e-b3ab-c000545727ea","a872b5fb-4d5c-4ef8-95ca-051878b4fcb8"]</t>
  </si>
  <si>
    <t>6cf22717-63cb-4cf3-8d76-7d8c70243e27</t>
  </si>
  <si>
    <t>פרק 4</t>
  </si>
  <si>
    <t>["d08ef043-d099-40f2-aae7-cf36058d1741","882c8564-18c3-43f8-b022-e76e6c5f26dd","1f3188bd-2523-483c-8c33-c2d5e8fe1496","0433a93a-8efa-484a-b90c-48d400455912","4031249c-a4ba-4291-8fb2-438e0e67de2d","8eac45d9-0ce6-44f4-b0cc-8757ff10a666","096cb681-77df-4a5b-a1d2-85dd2d54553a","624bbd46-008d-418d-8106-a5a590fe4b06","df5ecd27-6c38-4a83-902c-f85d06fb0f6c","7afa8e7c-e119-4d1e-8534-1b241b486505","a65e566a-47d5-45ac-9fb9-1ef2ef5e43b8"]</t>
  </si>
  <si>
    <t>9a69556d-3e52-486a-8c02-f0eb6ccb8cd0</t>
  </si>
  <si>
    <t>פרק 5</t>
  </si>
  <si>
    <t>["f0464680-2a78-456f-a0b0-8e90590a29fa","defa07e8-67ed-4acc-839b-cd8d87148ee3"]</t>
  </si>
  <si>
    <t>961a4774-68d3-4ae5-ab89-c7675b67ac76</t>
  </si>
  <si>
    <t>פרק 6</t>
  </si>
  <si>
    <t>["33735b4b-c2de-4239-bb95-824a7794b535","ce8922de-628f-4c0f-add4-34033da89d76"]</t>
  </si>
  <si>
    <t>282f592b-f0b7-4da1-9c59-f11815b07ffc</t>
  </si>
  <si>
    <t>פרק 7</t>
  </si>
  <si>
    <t>["61315127-9d4e-4ee8-b38d-d451b3dce317","995a208a-f002-493e-b04a-35dcbda13bb3"]</t>
  </si>
  <si>
    <t>38001d2f-9cbb-4ae8-ac83-ac131d33ba27</t>
  </si>
  <si>
    <t>פרק 8</t>
  </si>
  <si>
    <t>["c49fbebf-5672-481e-a17f-c36dda898dc8","3b25b7cf-548c-4d5a-84d9-ae5bc8045b5e","b3c8a7e2-0edf-4fb1-aa83-564d231fff5e","0d102bec-dc34-40f9-b08a-86c73ea5d479","4deb0759-54f4-43ec-bfc2-44068aadb7ee"]</t>
  </si>
  <si>
    <t>67e9ba0e-f6c3-4bd4-b286-30c49fe5449c</t>
  </si>
  <si>
    <t>פרק 9</t>
  </si>
  <si>
    <t>["1997d19d-9caf-4820-8583-2446a9841deb","2eca68dc-d4f4-4aa2-9414-4ee0207e5ecc","6179428c-31a3-4664-afd1-6a77832dc10c","7b3781e8-ffdb-4cc1-a53a-a8f588f4b4f7","a2b39b27-33fd-4895-8cdc-9a738a31afed"]</t>
  </si>
  <si>
    <t>5b21438f-7cdc-4a27-8a6b-d4a7c50fcc1e</t>
  </si>
  <si>
    <t>פרק 10</t>
  </si>
  <si>
    <t>["ef99a3c5-487a-4c3d-bcbc-9cc10453c5d3","c6a96510-7e36-46c2-ba0f-79d77a343fe4","9aac99eb-244f-4dfa-b428-788f449fb121","3e6d79d0-94bc-4911-babd-a2d5ed7b7a8c"]</t>
  </si>
  <si>
    <t>5b915980-23be-4f58-90b9-da191614fbc9</t>
  </si>
  <si>
    <t>פרק 11</t>
  </si>
  <si>
    <t>["3e8a0e7e-2c56-4368-a911-0fdc14a2416e","2b564456-ad86-458a-af33-e7bd4c0995ca","a54f53e3-6152-4b45-b634-5100f100834c","44c4d7d8-926c-409f-8535-e44438f6db9b","3257012c-8b5b-41e8-925c-73da42eab36c","e5c834d0-d12c-4d17-9a5a-f13866627b7d","a04daca0-2ff9-42e4-b821-061613fce129","4dc572ea-2783-433d-94a0-df94065608dd","6189d62f-8535-45bc-a0b4-55df4c550363","ceac4259-e28d-41a2-b840-037c9b7ce8c2","6115d85e-e67b-4e65-a814-f842c39e82ea","65f04c4e-0ef6-4ca0-bce7-8cd7943efbf4","89a25679-f131-4fd7-b254-74b2b15579c7"]</t>
  </si>
  <si>
    <t>26a70f5d-f6ec-43ce-91f6-110d7c6e7a7d</t>
  </si>
  <si>
    <t>פרק 12</t>
  </si>
  <si>
    <t>["b3ecc14a-5dc4-4388-a61b-71725272ffec","87b896c3-7603-4445-8de1-78bee28a34cd","8c4234d8-8983-446d-8d0c-403439eec493","d0d0138b-0ad9-4505-835d-89f3f00b9561","0d3f2717-246c-4c05-bd4a-2af3bd54e98a"]</t>
  </si>
  <si>
    <t>e22aa955-226e-4c3d-8eb2-3cdc06702150</t>
  </si>
  <si>
    <t>פרק 13</t>
  </si>
  <si>
    <t>["c3a11da6-d5f8-4b20-a72c-c867f538589b","0d9ef164-fdc8-4b3a-8cf0-fdd27b245a2b","e64816b0-7902-44a6-8655-ad1416c19743","5c0cd378-a920-4815-8e7c-80ff17afe3d2"]</t>
  </si>
  <si>
    <t>59b1ac33-0ff5-4796-8e77-2f72f5d93925</t>
  </si>
  <si>
    <t>פרק 14</t>
  </si>
  <si>
    <t>["63bb371f-8247-452d-8835-b8f0cf3b8a5d","2b384b20-79d6-4ba0-b3cc-2aa6f78ce15f","5db040be-857c-45aa-9598-2dfa7afd8cb0","c68fb76d-2011-4b21-9531-54ad1bfbdfaf"]</t>
  </si>
  <si>
    <t>efb8d1e0-db7c-4e10-90bb-bf0998ff3ae0</t>
  </si>
  <si>
    <t>פרק 15</t>
  </si>
  <si>
    <t>["579594f6-9d88-4ecf-b542-2daa3adc060e","be655245-f93f-4823-bd87-1d031c7bf7dd","07ea063e-bacf-45d3-a67c-a94e69e2e393","113f9993-fe5d-4afd-a1ca-94cf85a57da2"]</t>
  </si>
  <si>
    <t>3e16661d-9885-41d2-ae14-8e2a6124636f</t>
  </si>
  <si>
    <t>פרק 16</t>
  </si>
  <si>
    <t>["1a176ff6-7f75-4d96-8e3e-94f2f220b1c6","f529b3d8-a37a-4e8c-8db4-f8a029479565"]</t>
  </si>
  <si>
    <t>4433c8df-9056-4f7f-b18b-0a4b88e1176d</t>
  </si>
  <si>
    <t>פרק 17</t>
  </si>
  <si>
    <t>["9b33c204-4de0-4b42-b26e-98f679d156d9","eb1fd67c-9bb7-4b4f-9e0b-b6fd7252b54c"]</t>
  </si>
  <si>
    <t>eb5d8894-6ab4-4ebb-9fa2-8b50f3484e55</t>
  </si>
  <si>
    <t>פרק 18</t>
  </si>
  <si>
    <t>["db07cab1-a8ee-48a1-b54c-7f3410188be9","2cbcf428-789e-44d6-8282-cefd6a32c842"]</t>
  </si>
  <si>
    <t>22300258-5415-4b32-b6b4-bcb050621f55</t>
  </si>
  <si>
    <t>פרק 19</t>
  </si>
  <si>
    <t>["7c8257f0-1137-4d2a-8d6a-be69a3a485c1","e2a9ba9b-9c65-4bd1-b44a-2a2d54e5b431","b73a73ac-46b6-4f21-9fa7-cedfa5cf420f"]</t>
  </si>
  <si>
    <t>732cec96-8573-456a-8824-1f06c2d6c929</t>
  </si>
  <si>
    <t>פרק 20</t>
  </si>
  <si>
    <t>["1606fdbe-d0c9-4133-a8ba-2845fadd0404","d2ef6e68-a5ed-462e-9e63-033f936e4845"]</t>
  </si>
  <si>
    <t>d24c01a9-1a4c-43be-9c3f-ba92a67c5553</t>
  </si>
  <si>
    <t>פרק 21</t>
  </si>
  <si>
    <t>["c0009e8b-e012-42e4-8781-8a073fa948b5","6b2dd110-c01c-444b-9b04-3adddac3c2fa"]</t>
  </si>
  <si>
    <t>05dbb3e2-c431-4caa-b776-2e9d1b0898e8</t>
  </si>
  <si>
    <t>פרק 22</t>
  </si>
  <si>
    <t>["7f2eb126-8426-4ac1-8f50-f42639b7e7e2","c6ed225b-9d5a-4c46-bba0-adb1662f44b7","ad6f155a-4fee-40a1-b8ad-485bc1314260"]</t>
  </si>
  <si>
    <t>פירוק והריסה</t>
  </si>
  <si>
    <t>chapter</t>
  </si>
  <si>
    <t>סעיף</t>
  </si>
  <si>
    <t>תיאור עבודה</t>
  </si>
  <si>
    <t>יח׳</t>
  </si>
  <si>
    <t>כמות</t>
  </si>
  <si>
    <t>מחיר יחידה</t>
  </si>
  <si>
    <t>סה״כ</t>
  </si>
  <si>
    <t>rowId</t>
  </si>
  <si>
    <t>kind</t>
  </si>
  <si>
    <t>מחירי עבודות הפירוק כוללים הגנה על הרכוש הנותר ופינוי הפסולת הנוצרת מהפירוק. פריטים המיועדים לשימוש חוזר יזוהו בפרויקט ויפורקו לשמירה. אין לחייב שוב אותו פינוי בסעיף אחר.</t>
  </si>
  <si>
    <t>3f42bf89-6f13-4be9-8195-e5ec41f7c714</t>
  </si>
  <si>
    <t>note</t>
  </si>
  <si>
    <t>נערך בזמן השמירה</t>
  </si>
  <si>
    <t>מ"ר</t>
  </si>
  <si>
    <t>303417bd-9a06-4692-9b70-28be8818067a</t>
  </si>
  <si>
    <t>item</t>
  </si>
  <si>
    <t>פירוק תקרה או הנמכה מסוג {סוג} באזור {אזור}, לרבות התשתית המיועדת לפירוק. הטיפול בחלקים: {פינוי או שמירה להרכבה מחדש}.</t>
  </si>
  <si>
    <t>cda73cf5-8706-4bf4-b7b3-92849e89d980</t>
  </si>
  <si>
    <t>פירוק ריצוף ושכבות תשתית באזור {אזור}, עד {גבול ועומק פירוק}, כהכנה לעבודות החדשות המפורטות בפרויקט.</t>
  </si>
  <si>
    <t>d9dc25cc-a1a5-41c9-945a-e387cf4bb433</t>
  </si>
  <si>
    <t>פירוק ופינוי ריהוט קבוע, ארונות וציוד המיועדים לפינוי באזור {אזור}; פריטים לשימוש חוזר וגבולות פירוק יפורטו לפני תחילת העבודה.</t>
  </si>
  <si>
    <t>קומפ'</t>
  </si>
  <si>
    <t>992d74e7-a84f-4a2c-bc2b-f297b15a61b1</t>
  </si>
  <si>
    <t>פירוק מערכת חשמל ואביזריה באזור {אזור}, בגבולות הנקובים בתכנון. מעגלים ואביזרים שנשארים פעילים או מיועדים להרכבה מחדש: {פירוט}.</t>
  </si>
  <si>
    <t>7db3318c-d7b9-4e98-984b-9113c9e335bf</t>
  </si>
  <si>
    <t>פירוק צנרת ואביזרי אינסטלציה המיועדים להחלפה באזור {אזור}, בגבולות {תחילה וסיום}; הגנת וחסימת קצוות החיבור לפי התכנון.</t>
  </si>
  <si>
    <t>d3e6f477-c842-472f-adf2-14d2ceaed8ac</t>
  </si>
  <si>
    <t>פירוק פתח מטיפוס {זיהוי}, לרבות {כנף, משקוף, זיגוג או תריס}, בגבולות {תכולה}; רכיבים לשימור: {פירוט}.</t>
  </si>
  <si>
    <t>יח'</t>
  </si>
  <si>
    <t>a0c4f064-1abd-42e4-b1a0-43fcdd6f7c6e</t>
  </si>
  <si>
    <t>פירוק שילוט קיים מטיפוס {זיהוי}, כולל רכיבי התקנה והזנה המיועדים לפירוק, ושמירה על רכיבים שסומנו להמשך שימוש.</t>
  </si>
  <si>
    <t>1098f4fc-0f67-437c-9f81-6c8b625133ab</t>
  </si>
  <si>
    <t>סיכום חלקי</t>
  </si>
  <si>
    <t>total</t>
  </si>
  <si>
    <t>בנייה ומחיצות פנים</t>
  </si>
  <si>
    <t>מחירי המחיצות כוללים את רכיבי המערכת, התשתית, החיבורים והגמר המוגדרים בסעיף. סוגי לוחות, שכבות, בידוד ועיגון יושלמו לפי הפרויקט. גמר צבע וחיפוי מתומחרים בפרקים המיועדים להם, אלא אם הוגדר אחרת במפורש.</t>
  </si>
  <si>
    <t>690eb875-aa76-41e6-8bb5-2d03ff361dac</t>
  </si>
  <si>
    <t>1.01</t>
  </si>
  <si>
    <t xml:space="preserve">הקמת מחיצת פנים במערכת בנייה יבשה באזור {אזור}.
גובה: {גובה}; עובי ומבנה המערכת: {מפרט}; לוחות: {סוג ושכבות}; בידוד: {מפרט}; בסיס ועיגון: {פרט}.</t>
  </si>
  <si>
    <t>3a77a9dd-ce91-42e6-b5ce-69acfbfa3add</t>
  </si>
  <si>
    <t>1.02</t>
  </si>
  <si>
    <t>ביצוע עיבוי או חיפוי קיר קיים במערכת {סוג}, בגובה {גובה}, באזור {אזור}, לצורך {ייעוד}, לרבות תשתית וחיבורים כמפורט.</t>
  </si>
  <si>
    <t>f28dbaa1-b366-43b3-8f3f-ad862365828a</t>
  </si>
  <si>
    <t>1.03</t>
  </si>
  <si>
    <t>הקמת מחיצה נמוכה כתשתית לדלפק או להפרדה באזור {אזור}, בגובה ובחתך {מידות}, במערכת {סוג}, לרבות {תכולה ועיגון}.</t>
  </si>
  <si>
    <t>מ.א.</t>
  </si>
  <si>
    <t>82ce2e1a-04a9-4dfd-87fa-c48ec84b39cb</t>
  </si>
  <si>
    <t>1.04</t>
  </si>
  <si>
    <t>אספקה והתקנת מגן פינה מנירוסטה מטיפוס {טיפוס}, במידות {מידות}, עובי וגמר {מפרט}, על תשתית {סוג} ובאופן חיבור {פרט}.</t>
  </si>
  <si>
    <t>fa071719-5b20-497b-a6b6-8bb9521f131d</t>
  </si>
  <si>
    <t>1.05</t>
  </si>
  <si>
    <t>אספקה והתקנת מגן קצה מנירוסטה מטיפוס {טיפוס}, במידות {מידות}, עובי וגמר {מפרט}, על תשתית {סוג} ובאופן חיבור {פרט}.</t>
  </si>
  <si>
    <t>4bc100a9-2833-4da1-aea0-5fce94708919</t>
  </si>
  <si>
    <t>1.06</t>
  </si>
  <si>
    <t>אספקה והתקנת משקוף נירוסטה לפתח {זיהוי וייעוד}, במידות {מידות}, עובי וגמר {מפרט}, לרבות החיבורים והעיגון שנקבעו לפריט.</t>
  </si>
  <si>
    <t>551353ea-3c92-44ee-baa8-2aedbf1bb8b7</t>
  </si>
  <si>
    <t>אינסטלציה ותברואה</t>
  </si>
  <si>
    <t>מערכת המים והדלוחין תבוצע לפי תכנון הפרויקט. המחירים כוללים צנרת ואביזרי תשתית, חיבורים, הכנות ובדיקות כפי שנקבעו במפרט. אספקת כלים סניטריים וציוד אינה כלולה בסעיפי התקנה בלבד. קיום מערכת באתר אינו מעיד שאינה דורשת התאמה.</t>
  </si>
  <si>
    <t>4040cbd1-e0aa-4718-8fc3-857b45f2c1fb</t>
  </si>
  <si>
    <t>2.01</t>
  </si>
  <si>
    <t>ביצוע או התאמת מערכת מים ודלוחין באזור {אזור}, בין נקודות החיבור {תחילה וסיום}, לרבות {צנרת, אביזרים ומתקנים}, לפי תכנון {הפניה}. חיבור למערכת קיימת יוגדר לפי מצב האתר שנבדק.</t>
  </si>
  <si>
    <t>53755198-01c0-4f0c-add0-94c3a2c74c44</t>
  </si>
  <si>
    <t>2.02</t>
  </si>
  <si>
    <t>ביצוע נקודת מים חמים וקרים ודלוחין עבור {כיור או ציוד}, לפי תכנון הפרויקט, לרבות הצנרת ואביזרי החיבור בגבולות {תכולה}. התקנת האביזר ואספקתו: {כלולות או מוחרגות}.</t>
  </si>
  <si>
    <t>נק'</t>
  </si>
  <si>
    <t>816aac20-f69a-40ed-8343-4513757c0120</t>
  </si>
  <si>
    <t>2.03</t>
  </si>
  <si>
    <t>ביצוע נקודת מים קרים ודלוחין עבור {כיור או ציוד}, לפי תכנון הפרויקט, לרבות הצנרת ואביזרי החיבור בגבולות {תכולה}.</t>
  </si>
  <si>
    <t>0a24dcd4-add9-49da-a116-59411255c8d9</t>
  </si>
  <si>
    <t>2.04</t>
  </si>
  <si>
    <t>ביצוע נקודת דלוחין עצמאית עבור {ציוד או ייעוד}, לרבות חיבור וסיום לפי תכנון הפרויקט. אין לכלול שוב ניקוז שכבר נכלל בנקודת מים משולבת.</t>
  </si>
  <si>
    <t>e22f5033-840d-4418-a873-c5f54cea9bf2</t>
  </si>
  <si>
    <t>2.05</t>
  </si>
  <si>
    <t>ביצוע נקודת ניקוז למיזוג אוויר מטיפוס {טיפוס}, לפי תכנון המיזוג והתברואה; קצה וגבול החיבור לקבלן המיזוג: {פירוט}.</t>
  </si>
  <si>
    <t>ede375d3-493b-4d6f-8508-0e604bc90961</t>
  </si>
  <si>
    <t>2.06</t>
  </si>
  <si>
    <t>התקנת תעלת ניקוז מטיפוס {טיפוס}, במידות {מידות}, על התשתית המוגדרת, וחיבורה למערכת הניקוז. אספקת התעלה, עיגון ואיטום המפגש: {חלוקת אחריות}.</t>
  </si>
  <si>
    <t>a4abfc43-1662-4bf0-a040-281ad0518976</t>
  </si>
  <si>
    <t>2.07</t>
  </si>
  <si>
    <t>התקנת מכל הדחה סמוי וכלי סניטרי מטיפוס {טיפוס} על תשתית {בלוק או מערכת אחרת}, לרבות חיבורים ותכולת ההתקנה שנקבעה. אספקת הכלי והמכל: {אחריות}.</t>
  </si>
  <si>
    <t>b93c4671-3df5-491e-b3ab-c000545727ea</t>
  </si>
  <si>
    <t>2.08</t>
  </si>
  <si>
    <t>אספקה והתקנת מתקן חימום מים מסוג {סוג}, בקיבול או הספק {נתון}, עם אביזרים וחיבורים כמפורט בתכנון. גבולות עבודות החשמל ועיגון המתקן: {פירוט}.</t>
  </si>
  <si>
    <t>a872b5fb-4d5c-4ef8-95ca-051878b4fcb8</t>
  </si>
  <si>
    <t>חשמל והכנות תקשורת</t>
  </si>
  <si>
    <t>עבודות החשמל כוללות תשתית, מוליכים, חיבורים ואביזרים רק בתכולה המוגדרת לכל סעיף ולפי תכנון החשמל. הכנת נקודה, התקנת גוף ואספקת גוף הן תכולות שונות. חתכי מוליכים, קטרים, הגנות, הספקים ואופן הבדיקה ייקבעו בתכנון ולא יועתקו מפרויקט קודם.</t>
  </si>
  <si>
    <t>d08ef043-d099-40f2-aae7-cf36058d1741</t>
  </si>
  <si>
    <t>3.01</t>
  </si>
  <si>
    <t>ביצוע נקודת הפעלה וחיבור למעגל תאורה מטיפוס {טיפוס}, באזור {אזור}, לפי תכנון החשמל, כולל {תשתית, חיבור ואביזרי הפעלה}. אספקת והתקנת גופי התאורה אינן נכללות בסעיף זה.</t>
  </si>
  <si>
    <t>882c8564-18c3-43f8-b022-e76e6c5f26dd</t>
  </si>
  <si>
    <t>3.02</t>
  </si>
  <si>
    <t>ביצוע יציאה נוספת לגוף תאורה המשויך למעגל {זיהוי}, לפי תכנון החשמל; תכולת החיבור: {פירוט}.</t>
  </si>
  <si>
    <t>1f3188bd-2523-483c-8c33-c2d5e8fe1496</t>
  </si>
  <si>
    <t>3.03</t>
  </si>
  <si>
    <t>התקנת וחיבור גוף תאורה מטיפוס {טיפוס} על תשתית {קיימת או חדשה}, לרבות אביזרי ההתקנה המוגדרים. אספקת הגוף: {אחריות}.</t>
  </si>
  <si>
    <t>0433a93a-8efa-484a-b90c-48d400455912</t>
  </si>
  <si>
    <t>3.04</t>
  </si>
  <si>
    <t>ביצוע נקודת כוח חד־פאזית עבור {ייעוד}, באזור {אזור}, עם האביזר והתשתית לפי תכנון החשמל ובגבולות {תכולה}.</t>
  </si>
  <si>
    <t>4031249c-a4ba-4291-8fb2-438e0e67de2d</t>
  </si>
  <si>
    <t>3.05</t>
  </si>
  <si>
    <t>ביצוע נקודת כוח תלת־פאזית עבור {ציוד}, לפי מפרט ההזנה של מתכנן החשמל ויצרן הציוד. אביזר החיבור וגבול העבודה: {פירוט}.</t>
  </si>
  <si>
    <t>8eac45d9-0ce6-44f4-b0cc-8757ff10a666</t>
  </si>
  <si>
    <t>3.06</t>
  </si>
  <si>
    <t>ביצוע נקודת הזנה למיזוג אוויר עבור {יחידה}, בהתאם לתכנון החשמל והמיזוג, לרבות אביזר סיום וגבול חיבור {פירוט}.</t>
  </si>
  <si>
    <t>096cb681-77df-4a5b-a1d2-85dd2d54553a</t>
  </si>
  <si>
    <t>3.07</t>
  </si>
  <si>
    <t>ביצוע נקודת הזנה למפוח עבור {יחידה וייעוד}, בהתאם לתכנון החשמל והאוורור, לרבות אביזר סיום וגבול חיבור {פירוט}.</t>
  </si>
  <si>
    <t>624bbd46-008d-418d-8106-a5a590fe4b06</t>
  </si>
  <si>
    <t>3.08</t>
  </si>
  <si>
    <t>ביצוע תשתית תקשורת מטיפוס {סוג}, בין נקודות {קצוות}, לרבות צנרת, חוט משיכה ואביזרי סיום שנקבעו. כבילה פעילה וציוד קצה: {תכולה ואחריות}.</t>
  </si>
  <si>
    <t>df5ecd27-6c38-4a83-902c-f85d06fb0f6c</t>
  </si>
  <si>
    <t>3.09</t>
  </si>
  <si>
    <t>אספקה והתקנת לוח חשמל {זיהוי}, כולל מכלול הרכיבים, הסימון, החיווט והחיבור שנקבעו בתכנון החשמל. גודל החיבור והמפרט יושלמו בפרויקט.</t>
  </si>
  <si>
    <t>7afa8e7c-e119-4d1e-8534-1b241b486505</t>
  </si>
  <si>
    <t>3.10</t>
  </si>
  <si>
    <t>ביצוע מערכת תאורת חירום בתכולת {היקף}, לפי תכנון החשמל והבטיחות המאושרים לפרויקט; אספקה, התקנה וחיבורים: {פירוט}.</t>
  </si>
  <si>
    <t>a65e566a-47d5-45ac-9fb9-1ef2ef5e43b8</t>
  </si>
  <si>
    <t>הכנות רצפה והגבהות</t>
  </si>
  <si>
    <t>הכנת רצפה והגבהה יפורטו רק כשנדרשות בפרויקט. יש להגדיר גבול בין הכנת המשטח, איטום וריצוף, בלי לחייב אותה שכבה פעמיים. חומר, עומס ומפלסים ייקבעו בתכנון המאושר.</t>
  </si>
  <si>
    <t>f0464680-2a78-456f-a0b0-8e90590a29fa</t>
  </si>
  <si>
    <t>ביצוע שכבת הכנה, מילוי או הגבהה באזור {אזור}, מחומר {מערכת}, בעובי ובמפלס {נתונים}, לרבות {תשתית, גמר והשלמות נכללים}, לפי פרט מאושר.</t>
  </si>
  <si>
    <t>defa07e8-67ed-4acc-839b-cd8d87148ee3</t>
  </si>
  <si>
    <t>איטום</t>
  </si>
  <si>
    <t>מערכת האיטום תיקבע לפי התשתית, השימוש, החדירות והמפגשים בפרויקט. כל סעיף יפרט את הכנת התשתית, סיומות, טיפול בנקזים ובפתחים ובדיקות נדרשות. אין ברירת מחדל לשיטת איטום, עובי, גובה רולקה או מותג.</t>
  </si>
  <si>
    <t>33735b4b-c2de-4239-bb95-824a7794b535</t>
  </si>
  <si>
    <t>4.01</t>
  </si>
  <si>
    <t>ביצוע איטום באזור רטוב {זיהוי ואזור}, במערכת {מפרט מאושר}, לרבות הכנת תשתית, מפגשי קיר ורצפה, חדירות וסיומות לפי הפרט. בדיקות ותכולת ההכנה: {פירוט}.</t>
  </si>
  <si>
    <t>ce8922de-628f-4c0f-add4-34033da89d76</t>
  </si>
  <si>
    <t>דלתות פנים</t>
  </si>
  <si>
    <t>מחיר כל טיפוס דלת כולל כנף, משקוף, הלבשות, פרזול, גמר, הובלה והרכבה לפי תיאור הסעיף. סוגי מילוי, צירים, פתיחה והתאמת נגישות או בטיחות יוגדרו בפרויקט; אין הוראה כללית של פרזול הסותרת טיפוס דלת.</t>
  </si>
  <si>
    <t>61315127-9d4e-4ee8-b38d-d451b3dce317</t>
  </si>
  <si>
    <t>5.01</t>
  </si>
  <si>
    <t xml:space="preserve">אספקה והתקנת דלת פנים מטיפוס {זיהוי}.
מידות ופתיחה: {מידות וכיוון}; כנף ומילוי: {מפרט}; משקוף והלבשות: {מפרט}; פרזול: {מפרט}; גמר וגוון: {מפרט}; תכנית ופרט: {הפניה}.</t>
  </si>
  <si>
    <t>995a208a-f002-493e-b04a-35dcbda13bb3</t>
  </si>
  <si>
    <t>ריצוף וחיפוי</t>
  </si>
  <si>
    <t>מחירי עבודות הריצוף והחיפוי כוללים הכנת תשתית בתכולה שנקבעה, חומרי עזר, חיתוכים, התאמות, פינות ורובה בהתאם למפרט. אספקת האריחים תתומחר בפרק האספקות כשאינו כבוי; פנלים המופיעים בסעיף נפרד אינם כלולים שוב במחיר השטח.</t>
  </si>
  <si>
    <t>c49fbebf-5672-481e-a17f-c36dda898dc8</t>
  </si>
  <si>
    <t>6.01</t>
  </si>
  <si>
    <t>ריצוף אזור {אזור}, באריחי {חומר, דגם ומידה}, על תשתית {סוג}, עם מישקים {רוחב}, רובה {סוג וגוון} וגמר פינות {פירוט}. תכולת אספקת האריחים: {אחריות}.</t>
  </si>
  <si>
    <t>3b25b7cf-548c-4d5a-84d9-ae5bc8045b5e</t>
  </si>
  <si>
    <t>6.02</t>
  </si>
  <si>
    <t>ריצוף אזור הכנת מזון או שטח רטוב {אזור}, באריחים {סוג, מידה וגמר מאושרים לשימוש}, לרבות טיפול במפגשים ובנקזים לפי הפרט, מישקים ורובה {מפרט}.</t>
  </si>
  <si>
    <t>b3c8a7e2-0edf-4fb1-aa83-564d231fff5e</t>
  </si>
  <si>
    <t>6.03</t>
  </si>
  <si>
    <t>חיפוי קירות באזור {אזור}, באריחים {חומר, דגם ומידה}, לגובה {גובה}, בדוגמה {דוגמה}, עם מישקים, רובה וגמר פינות {מפרט}. תכולת אספקת האריחים: {אחריות}.</t>
  </si>
  <si>
    <t>0d102bec-dc34-40f9-b08a-86c73ea5d479</t>
  </si>
  <si>
    <t>6.04</t>
  </si>
  <si>
    <t>התקנת פנל תואם לריצוף {חומר וגמר}, בגובה {גובה}, לאורך האזור {אזור}, לרבות פינות וסיומות לפי הפרט.</t>
  </si>
  <si>
    <t>4deb0759-54f4-43ec-bfc2-44068aadb7ee</t>
  </si>
  <si>
    <t>תקרות והנמכות</t>
  </si>
  <si>
    <t>המחירים כוללים תשתית, תלייה, חיבורים, פרופילי גמר ופתחים למערכות לפי מפרט התקרה. יש להגדיר סוג לוח או אריח, גובה, טיפול אקוסטי וחיזוקים. גמר צבע מתומחר בנפרד אם אינו מפורש כחלק מהמוצר.</t>
  </si>
  <si>
    <t>1997d19d-9caf-4820-8583-2446a9841deb</t>
  </si>
  <si>
    <t>7.01</t>
  </si>
  <si>
    <t>ביצוע הנמכת תקרה באזור {אזור}, במערכת {סוג ושכבות}, בגובה {גובה}, לרבות התשתית, פתחים וחיזוקים המפורטים בתכנון.</t>
  </si>
  <si>
    <t>2eca68dc-d4f4-4aa2-9414-4ee0207e5ecc</t>
  </si>
  <si>
    <t>7.02</t>
  </si>
  <si>
    <t>ביצוע קרניז מטיפוס {טיפוס}, בחתך ובגובה {מידות}, באזור {אזור}, לרבות הכנה לתאורה או למיזוג לפי הפרט וללא אספקת גוף התאורה.</t>
  </si>
  <si>
    <t>6179428c-31a3-4664-afd1-6a77832dc10c</t>
  </si>
  <si>
    <t>7.03</t>
  </si>
  <si>
    <t>אספקה והתקנת תקרה פריקה מטיפוס {טיפוס}, באזור {אזור}, במידות מודול ובגמר {מפרט}, לרבות תשתית, פרופילי סיום ופתחים לפי התכנון.</t>
  </si>
  <si>
    <t>7b3781e8-ffdb-4cc1-a53a-a8f588f4b4f7</t>
  </si>
  <si>
    <t>7.04</t>
  </si>
  <si>
    <t>אספקה והתקנת תקרה אקוסטית מסוג {סוג}, במודול ובגמר {מפרט}, באזור {אזור}, לרבות התשתית והחיבורים המתאימים כמפורט בתכנון.</t>
  </si>
  <si>
    <t>a2b39b27-33fd-4895-8cdc-9a738a31afed</t>
  </si>
  <si>
    <t>צבע וגמרים דקורטיביים</t>
  </si>
  <si>
    <t>עבודות הצבע כוללות הכנת תשתית, תיקונים וחומרי יסוד וגמר לפי מערכת מתאימה למשטח ולהוראות המוצר שנבחר. הגוון, הברק והמרקם יושלמו בפרויקט. הוראות דילול ישנות אינן חלק מהתבנית.</t>
  </si>
  <si>
    <t>ef99a3c5-487a-4c3d-bcbc-9cc10453c5d3</t>
  </si>
  <si>
    <t>8.01</t>
  </si>
  <si>
    <t>הכנת וצביעת קירות באזור {אזור}, לרבות תיקוני תשתית והחלקה בתכולת {פירוט}, במערכת צבע {סוג}, בגוון ובגמר {מפרט}.</t>
  </si>
  <si>
    <t>c6a96510-7e36-46c2-ba0f-79d77a343fe4</t>
  </si>
  <si>
    <t>8.02</t>
  </si>
  <si>
    <t>הכנת וצביעת תקרות והנמכות באזור {אזור}, לרבות תיקוני תשתית והחלקה בתכולת {פירוט}, במערכת צבע {סוג}, בגוון ובגמר {מפרט}.</t>
  </si>
  <si>
    <t>9aac99eb-244f-4dfa-b428-788f449fb121</t>
  </si>
  <si>
    <t>8.03</t>
  </si>
  <si>
    <t>ביצוע גמר דקורטיבי מסוג {סוג}, על תשתית {סוג}, באזור {אזור}, בדוגמה, מרקם וגוון {מפרט}, לרבות שכבות הכנה וגמר שנקבעו.</t>
  </si>
  <si>
    <t>3e6d79d0-94bc-4911-babd-a2d5ed7b7a8c</t>
  </si>
  <si>
    <t>נגרות ייעודית</t>
  </si>
  <si>
    <t>מחיר כל פריט נגרות כולל את החומרים, החיפויים, הפרזול, הגמר, ההובלה וההרכבה שפורטו בסעיף. רכיבי מתכת, משטחי אבן או חומר מיוחד, זיגוג וציוד שמופיעים בפרק נפרד מוחרגים ממחיר הנגרות. מידות, גוונים ודגמים יושלמו לכל פריט.</t>
  </si>
  <si>
    <t>3e8a0e7e-2c56-4368-a911-0fdc14a2416e</t>
  </si>
  <si>
    <t>9.01</t>
  </si>
  <si>
    <t>אספקה והתקנת משטח הגשה ואכילה לדלפק {זיהוי}, מחומר {סוג}, במידות חתך {מידות}, בגמר {גמר}, עם קנט קדמי ואחורי {מפרט}. תשתית מסגרות, דפנות ומשטחים מיוחדים מתומחרים בנפרד ככל שהוגדרו בפרקים שלהם.</t>
  </si>
  <si>
    <t>2b564456-ad86-458a-af33-e7bd4c0995ca</t>
  </si>
  <si>
    <t>9.02</t>
  </si>
  <si>
    <t>אספקה והתקנת דופן פנימית לדלפק {זיהוי}, מחומר {סוג}, בגובה ובעובי {מידות}, בגמר {גמר}, על תשתית {סוג}, לרבות פתחים והתאמות לציוד לפי הפרט.</t>
  </si>
  <si>
    <t>a54f53e3-6152-4b45-b634-5100f100834c</t>
  </si>
  <si>
    <t>9.03</t>
  </si>
  <si>
    <t>אספקה והתקנת דופן חיצונית או חיפוי נגרות לדלפק {זיהוי}, בגובה ובחלוקה {מידות}, מחומר ובגמר {מפרט}, על גבי {תשתית}. חיפוי אריחים ורכיבי מיתוג אינם כלולים אם תומחרו בנפרד.</t>
  </si>
  <si>
    <t>44c4d7d8-926c-409f-8535-e44438f6db9b</t>
  </si>
  <si>
    <t>9.04</t>
  </si>
  <si>
    <t>אספקה והתקנת שער או דלת כניסה לדלפק מטיפוס {טיפוס}, במידות {מידות}, מחומר ובגמר {מפרט}, לרבות מסגרת, צירים, סגירה וחיבורים כפי שנקבעו בפרט.</t>
  </si>
  <si>
    <t>3257012c-8b5b-41e8-925c-73da42eab36c</t>
  </si>
  <si>
    <t>9.05</t>
  </si>
  <si>
    <t>אספקה והתקנת יחידת מדפים או בר תצוגה אחורי לדלפק {זיהוי}, במידות {מידות}, מחומרי {מפרט}, בגמר {גמר}, לרבות פרזול ועיגון. מסגרות תמיכה ומראות בפרקים נפרדים אינן כלולות.</t>
  </si>
  <si>
    <t>e5c834d0-d12c-4d17-9a5a-f13866627b7d</t>
  </si>
  <si>
    <t>9.06</t>
  </si>
  <si>
    <t>אספקה והתקנת עמדת מלצרים מטיפוס {טיפוס}, במידות {מידות}, הכוללת ארון, חלוקה פנימית, דלתות ומגירות {פירוט}; חומרי פנים וחוץ, גמר ופרזול {מפרט}.</t>
  </si>
  <si>
    <t>a04daca0-2ff9-42e4-b821-061613fce129</t>
  </si>
  <si>
    <t>9.07</t>
  </si>
  <si>
    <t>אספקה והתקנת עמדת משלוחים מטיפוס {טיפוס}, במידות {מידות}, מחומרים ובגמר {מפרט}, לרבות חלוקה פנימית, פרזול ופתחים המוגדרים לפריט.</t>
  </si>
  <si>
    <t>4dc572ea-2783-433d-94a0-df94065608dd</t>
  </si>
  <si>
    <t>9.08</t>
  </si>
  <si>
    <t>אספקה והתקנת ארון שירות מטיפוס {טיפוס}, במידות {מידות}, בחלוקה {חלוקה}, מחומרים ובגמר {מפרט}, לרבות פרזול וחיבורים. משטח עליון מתומחר בנפרד בפרק המשטחים.</t>
  </si>
  <si>
    <t>6189d62f-8535-45bc-a0b4-55df4c550363</t>
  </si>
  <si>
    <t>מפרט משותף לפלטות שולחן: תשתית {חומר}, גמר עליון ותחתון {מפרט}, קנט {מפרט}, הכנות וחיבור לרגל {מפרט}. כל גודל או טיפוס בתמחור שונה יופיע כסעיף עצמאי. המידות אינן ערכי ברירת מחדל.</t>
  </si>
  <si>
    <t>ceac4259-e28d-41a2-b840-037c9b7ce8c2</t>
  </si>
  <si>
    <t>9.09</t>
  </si>
  <si>
    <t>פלטת שולחן מטיפוס {טיפוס א}, במידות {מידות א}, לפי המפרט המשותף, לרבות {תכולת הכנות וחיבור}.</t>
  </si>
  <si>
    <t>6115d85e-e67b-4e65-a814-f842c39e82ea</t>
  </si>
  <si>
    <t>9.10</t>
  </si>
  <si>
    <t>פלטת שולחן מטיפוס {טיפוס ב}, במידות {מידות ב}, לפי המפרט המשותף, לרבות {תכולת הכנות וחיבור}.</t>
  </si>
  <si>
    <t>65f04c4e-0ef6-4ca0-bce7-8cd7943efbf4</t>
  </si>
  <si>
    <t>9.11</t>
  </si>
  <si>
    <t>פלטת שולחן מטיפוס {טיפוס ג}, במידות {מידות ג}, לפי המפרט המשותף, לרבות {תכולת הכנות וחיבור}.</t>
  </si>
  <si>
    <t>89a25679-f131-4fd7-b254-74b2b15579c7</t>
  </si>
  <si>
    <t>מסגרות</t>
  </si>
  <si>
    <t>עבודות המסגרות כוללות חומרי גלם, חיבורים, עיגון, הכנת שטח וגמר לפי מפרט הפריט, הובלה והרכבה. פרופילים, עוביים ופרטי תלייה אינם מועתקים כקבועים. רכיבי נגרות, זכוכית ותאורה בפרקים אחרים מוחרגים מהמחיר.</t>
  </si>
  <si>
    <t>b3ecc14a-5dc4-4388-a61b-71725272ffec</t>
  </si>
  <si>
    <t>אספקה והתקנת שלד מסגרות לדלפק {זיהוי}, במערכת פרופילים {מפרט}, בגובה ובחלוקה {מידות}, לרבות עיגון והכנות מוגדרות למעבר תשתיות. גמרי נגרות, אריחים ומשטחים אינם כלולים בסעיף זה.</t>
  </si>
  <si>
    <t>87b896c3-7603-4445-8de1-78bee28a34cd</t>
  </si>
  <si>
    <t>אספקה והתקנת יחידת מדפי מתכת או מתקן תצוגה מטיפוס {טיפוס}, במידות {מידות}, מפרופילים ומשטחים {מפרט}, בגמר {גמר}, לרבות תלייה או עיגון המוגדרים לפריט.</t>
  </si>
  <si>
    <t>8c4234d8-8983-446d-8d0c-403439eec493</t>
  </si>
  <si>
    <t>אספקה והתקנת מסגרת תמיכה לפריט {זיהוי}, במידות {מידות}, מפרופילים ובגמר {מפרט}, לרבות עיגון והכנות כמפורט. הפריט הנתמך מתומחר בנפרד.</t>
  </si>
  <si>
    <t>d0d0138b-0ad9-4505-835d-89f3f00b9561</t>
  </si>
  <si>
    <t>אספקה והתקנת מחיצה או מסגרת דקורטיבית באזור {אזור}, במידות ובחלוקה {מפרט}, מפרופילים ובגמר {מפרט}. מילוי נגרות, אריחים או זכוכית מתומחר בפרק המתאים.</t>
  </si>
  <si>
    <t>0d3f2717-246c-4c05-bd4a-2af3bd54e98a</t>
  </si>
  <si>
    <t>אלומיניום וזיגוג</t>
  </si>
  <si>
    <t>כל טיפוס פתח או זיגוג יפורט לפי מידות, שימוש, פרופיל, סוג ועובי זכוכית, פרזול וגמר. אין ברירת מחדל לסדרת פרופיל, עובי זכוכית או שיטת עיגון. רכיב מתומחר כאן לא ייכלל שוב במפרט נגרות או מסגרות.</t>
  </si>
  <si>
    <t>c3a11da6-d5f8-4b20-a72c-c867f538589b</t>
  </si>
  <si>
    <t xml:space="preserve">אספקה והתקנת חלון, דלת או ויטרינה מטיפוס {זיהוי}, במידות {מידות}.
סוג פתיחה וחלוקה: {מפרט}; פרופיל וגמר: {מפרט}; זיגוג: {סוג ועובי}; פרזול, אטימה וסיומות: {מפרט}; פרט: {הפניה}.</t>
  </si>
  <si>
    <t>0d9ef164-fdc8-4b3a-8cf0-fdd27b245a2b</t>
  </si>
  <si>
    <t>אספקה והתקנת לוח זיגוג מטיפוס {זיהוי}, במידות {מידות}, בסוג ובעובי {מפרט}, לרבות חיבורים ופרזול שנקבעו לפרט. שלד המסגרת מתומחר בנפרד ככל שהוגדר בפרק המסגרות.</t>
  </si>
  <si>
    <t>e64816b0-7902-44a6-8655-ad1416c19743</t>
  </si>
  <si>
    <t>אספקה והתקנת מראה מטיפוס {זיהוי}, במידות ובצורה {מידות}, בסוג ובעובי {מפרט}, עם גמר קצה וחיבור {פירוט}. מסגרת ותאורה נכללות רק אם צוינו במפורש.</t>
  </si>
  <si>
    <t>5c0cd378-a920-4815-8e7c-80ff17afe3d2</t>
  </si>
  <si>
    <t>משטחים מיוחדים</t>
  </si>
  <si>
    <t>מחירי המשטחים כוללים עיבוד, חיתוכים, פתחים, קנטים, הובלה והרכבה רק כפי שהוגדרו בפריט. חומר, דגם, עובי וחתך הם משתני פרויקט. אותו משטח לא ייכלל שוב במחיר הנגרות או הציוד.</t>
  </si>
  <si>
    <t>63bb371f-8247-452d-8835-b8f0cf3b8a5d</t>
  </si>
  <si>
    <t>אספקה והתקנת משטח עבודה עבור {פריט}, מחומר ודגם {מפרט}, ברוחב ובעובי {מידות}, לרבות פתחים, קנטים וחיבורים {פירוט}, על תשתית {סוג}.</t>
  </si>
  <si>
    <t>2b384b20-79d6-4ba0-b3cc-2aa6f78ce15f</t>
  </si>
  <si>
    <t>אספקה והתקנת קופינג או צוקל לדלפק או למחיצה {זיהוי}, מחומר ודגם {מפרט}, בחתך {מידות}, עם פינות, קנטים וחיבורים {פירוט}.</t>
  </si>
  <si>
    <t>5db040be-857c-45aa-9598-2dfa7afd8cb0</t>
  </si>
  <si>
    <t>אספקה והתקנת משטח כיור לארון {זיהוי}, במידות {מידות}, מחומר ודגם {מפרט}, עם פתחים, קנטים וחיבור {פירוט}. כיור וברז: {כלולים או מוחרגים במפורש}.</t>
  </si>
  <si>
    <t>c68fb76d-2011-4b21-9531-54ad1bfbdfaf</t>
  </si>
  <si>
    <t>אספקות גמר נפרדות</t>
  </si>
  <si>
    <t>פרק אספקות נפתח רק כשהאספקה נפרדת מעבודת ההתקנה. בעת הפעלתו יש להחריג את האספקה ממחירי הפרקים המבצעים. כמויות הרכש ופחת, אם נדרשים, ייקבעו בפרויקט ולא בתבנית.</t>
  </si>
  <si>
    <t>579594f6-9d88-4ecf-b542-2daa3adc060e</t>
  </si>
  <si>
    <t>אספקת אריחי ריצוף או חיפוי מטיפוס {זיהוי}, מחומר ודגם {מפרט}, במידה ובגמר {מפרט}. הובלה ופריקה: {תכולה}; התקנה מתומחרת בנפרד.</t>
  </si>
  <si>
    <t>be655245-f93f-4823-bd87-1d031c7bf7dd</t>
  </si>
  <si>
    <t>אספקת כלי או אביזר סניטרי מטיפוס {זיהוי}, בדגם ובגמר {מפרט}, לרבות {אביזרים נלווים}. התקנה וחיבור מתומחרים בפרק האינסטלציה.</t>
  </si>
  <si>
    <t>07ea063e-bacf-45d3-a67c-a94e69e2e393</t>
  </si>
  <si>
    <t>אספקת גוף תאורה מטיפוס {זיהוי}, במפרט ובדגם {מפרט}, עם {ספק, דרייבר ואביזרים נלווים לפי הנדרש}. התקנה ונקודת הזנה מתומחרות בפרק החשמל.</t>
  </si>
  <si>
    <t>113f9993-fe5d-4afd-a1ca-94cf85a57da2</t>
  </si>
  <si>
    <t>מיזוג ואוורור</t>
  </si>
  <si>
    <t>תוכן מערכת זו יושלם בפרויקט לפי תכנון היועץ ורשימת הציוד המאושרים. שורות התבנית מגדירות גבולות תכולה ואינן מפרט הנדסי מלא. אין להסיק מהפעלת הפרק שהמערכת נדרשת בכל אתר.</t>
  </si>
  <si>
    <t>1a176ff6-7f75-4d96-8e3e-94f2f220b1c6</t>
  </si>
  <si>
    <t>ביצוע מערכת מיזוג ואוורור בתכולת {מערכת מוגדרת}, לפי תכנון {הפניה}, לרבות {אספקה, התקנה, חיבור והפעלה}. גבולות מול חשמל, ניקוז ותקרות: {פירוט}.</t>
  </si>
  <si>
    <t>f529b3d8-a37a-4e8c-8db4-f8a029479565</t>
  </si>
  <si>
    <t>ציוד מטבח ונירוסטה</t>
  </si>
  <si>
    <t>9b33c204-4de0-4b42-b26e-98f679d156d9</t>
  </si>
  <si>
    <t>אספקה והתקנת פריט ציוד מטבח או נירוסטה {זיהוי}, לפי רשימת ציוד {הפניה}, בתכולת {מפרט}, עם גבולות חיבור למערכות {פירוט}.</t>
  </si>
  <si>
    <t>eb1fd67c-9bb7-4b4f-9e0b-b6fd7252b54c</t>
  </si>
  <si>
    <t>הכנות ומערכת גז</t>
  </si>
  <si>
    <t>מערכת הגז נפתחת רק כשנדרשת בתכנון הפרויקט. תשתית, אביזרים, בדיקות וגבולות חיבור ייקבעו במפרט המתכנן והגורם המבצע; אין הנחת סוג צנרת, צובר קיים או מיקום ציוד מהארכיון.</t>
  </si>
  <si>
    <t>db07cab1-a8ee-48a1-b54c-7f3410188be9</t>
  </si>
  <si>
    <t>ביצוע נקודת גז עבור {ציוד מזוהה}, לפי תכנון {הפניה}, לרבות התשתית ואביזרי החיבור בתכולת {מפרט}. גבולות אחריות אספקת המערכת, חיבור הציוד ובדיקות: {פירוט}.</t>
  </si>
  <si>
    <t>2cbcf428-789e-44d6-8282-cefd6a32c842</t>
  </si>
  <si>
    <t>כיבוי וגילוי</t>
  </si>
  <si>
    <t>7c8257f0-1137-4d2a-8d6a-be69a3a485c1</t>
  </si>
  <si>
    <t>ביצוע מערכת כיבוי {סוג מערכת מוגדר}, לפי תכנון בטיחות וכיבוי {הפניה}, בגבולות {תכולה ואחריות}, עם הממשקים למערכות האחרות כמפורט.</t>
  </si>
  <si>
    <t>e2a9ba9b-9c65-4bd1-b44a-2a2d54e5b431</t>
  </si>
  <si>
    <t>ביצוע מערכת גילוי או התרעה {סוג מערכת מוגדר}, לפי תכנון {הפניה}, בגבולות {תכולה ואחריות}, עם ההכנות והחיבורים המפורטים.</t>
  </si>
  <si>
    <t>b73a73ac-46b6-4f21-9fa7-cedfa5cf420f</t>
  </si>
  <si>
    <t>אביזרי נגישות</t>
  </si>
  <si>
    <t>אביזרי נגישות יוגדרו לפי תכנון הנגישות בפרויקט. אין להעתיק מידות, מיקום או רשימת אביזרים מתיק אחר. האביזרים אינם כלולים שוב במחיר מכל ההדחה או הנגרות.</t>
  </si>
  <si>
    <t>1606fdbe-d0c9-4133-a8ba-2845fadd0404</t>
  </si>
  <si>
    <t>אספקה והתקנת ערכת אביזרי נגישות לחדר שירות {זיהוי}, הכוללת {רשימה מאושרת של אביזרים}, בחומרים, במידות ובמיקומים לפי תכנון {הפניה}, לרבות העיגון המוגדר.</t>
  </si>
  <si>
    <t>d2ef6e68-a5ed-462e-9e63-033f936e4845</t>
  </si>
  <si>
    <t>שילוט ומיתוג</t>
  </si>
  <si>
    <t>c0009e8b-e012-42e4-8781-8a073fa948b5</t>
  </si>
  <si>
    <t>אספקה והתקנת שילוט או אותיות מטיפוס {זיהוי}, במידות ובחומר {מפרט}, בגמר {גמר}, לרבות {תאורה, ספק, פרזול והתקנה}. תשתית והזנה מתומחרות בנפרד אם צוינו בפרק החשמל.</t>
  </si>
  <si>
    <t>6b2dd110-c01c-444b-9b04-3adddac3c2fa</t>
  </si>
  <si>
    <t>ריהוט וישיבה</t>
  </si>
  <si>
    <t>7f2eb126-8426-4ac1-8f50-f42639b7e7e2</t>
  </si>
  <si>
    <t>אספקה והתקנת ספת ישיבה קבועה מטיפוס {זיהוי}, במידות ובחתך {מידות}, עם שלד, ריפוד וגמר {מפרט}, לרבות עיגון ותכולה {פירוט}.</t>
  </si>
  <si>
    <t>c6ed225b-9d5a-4c46-bba0-adb1662f44b7</t>
  </si>
  <si>
    <t>אספקת פריט ריהוט נייד מטיפוס {זיהוי}, בדגם ובגמר {מפרט}, לרבות {הובלה והרכבה}.</t>
  </si>
  <si>
    <t>ad6f155a-4fee-40a1-b8ad-485bc1314260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</si>
</sst>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quot;₪&quot;"/>
  </numFmts>
  <fonts count="4" x14ac:knownFonts="1">
    <font>
      <color theme="1"/>
      <family val="2"/>
      <scheme val="minor"/>
      <sz val="11"/>
      <name val="Calibri"/>
    </font>
    <font>
      <b/>
      <sz val="14"/>
      <name val="Assistant"/>
    </font>
    <font>
      <b/>
      <sz val="12"/>
      <name val="Assistant"/>
    </font>
    <font>
      <sz val="12"/>
      <name val="Assistant"/>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applyAlignment="1">
      <alignment horizontal="center" vertical="top" wrapText="1" readingOrder="2"/>
    </xf>
    <xf numFmtId="0" fontId="1" fillId="0" borderId="0" xfId="0" applyFont="1" applyAlignment="1">
      <alignment horizontal="right" vertical="top" wrapText="1" readingOrder="2"/>
    </xf>
    <xf numFmtId="0" fontId="2" fillId="0" borderId="0" xfId="0" applyFont="1" applyAlignment="1">
      <alignment horizontal="center" vertical="top" wrapText="1" readingOrder="2"/>
    </xf>
    <xf numFmtId="0" fontId="2" fillId="0" borderId="0" xfId="0" applyFont="1" applyAlignment="1">
      <alignment horizontal="right" vertical="top" wrapText="1" readingOrder="2"/>
    </xf>
    <xf numFmtId="0" fontId="3" fillId="0" borderId="0" xfId="0" applyFont="1" applyAlignment="1">
      <alignment horizontal="center" vertical="top" wrapText="1" readingOrder="2"/>
    </xf>
    <xf numFmtId="0" fontId="3" fillId="0" borderId="0" xfId="0" applyFont="1" applyAlignment="1">
      <alignment horizontal="right" vertical="top" wrapText="1" readingOrder="2"/>
    </xf>
    <xf numFmtId="164" fontId="0" fillId="0" borderId="0" xfId="0" applyNumberFormat="1"/>
    <xf numFmtId="164" fontId="2" fillId="0" borderId="0" xfId="0" applyNumberFormat="1" applyFont="1" applyAlignment="1">
      <alignment horizontal="center" vertical="top" wrapText="1" readingOrder="2"/>
    </xf>
    <xf numFmtId="164" fontId="3" fillId="0" borderId="0" xfId="0" applyNumberFormat="1" applyFont="1" applyAlignment="1">
      <alignment horizontal="center" vertical="top" wrapText="1" readingOrder="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12"/>
  <sheetViews>
    <sheetView workbookViewId="0" rightToLeft="1"/>
  </sheetViews>
  <sheetFormatPr defaultRowHeight="15" outlineLevelRow="0" outlineLevelCol="0" x14ac:dyDescent="55"/>
  <cols>
    <col min="1" max="1" width="7.29" customWidth="1"/>
    <col min="2" max="2" width="66.29" customWidth="1"/>
    <col min="3" max="6" width="8.14" customWidth="1"/>
    <col min="7" max="7" width="36" hidden="1" customWidth="1"/>
    <col min="8" max="8" width="12" hidden="1" customWidth="1"/>
  </cols>
  <sheetData>
    <row r="1" spans="1:2" x14ac:dyDescent="0.25">
      <c r="A1" s="1" t="s">
        <v>0</v>
      </c>
      <c r="B1" s="2" t="s">
        <v>1</v>
      </c>
    </row>
    <row r="2" spans="1:2" x14ac:dyDescent="0.25">
      <c r="A2" s="3" t="s">
        <v>2</v>
      </c>
      <c r="B2" s="4" t="s">
        <v>3</v>
      </c>
    </row>
    <row r="3" spans="1:2" x14ac:dyDescent="0.25">
      <c r="A3" s="5" t="s">
        <v>4</v>
      </c>
      <c r="B3" s="6" t="s">
        <v>3</v>
      </c>
    </row>
    <row r="4" spans="1:2" x14ac:dyDescent="0.25">
      <c r="A4" s="5" t="s">
        <v>5</v>
      </c>
      <c r="B4" s="6" t="s">
        <v>3</v>
      </c>
    </row>
    <row r="5" spans="1:2" x14ac:dyDescent="0.25">
      <c r="A5" s="5" t="s">
        <v>6</v>
      </c>
      <c r="B5" s="6" t="s">
        <v>3</v>
      </c>
    </row>
    <row r="6" spans="1:2" x14ac:dyDescent="0.25">
      <c r="A6" s="5" t="s">
        <v>7</v>
      </c>
      <c r="B6" s="6" t="s">
        <v>8</v>
      </c>
    </row>
    <row r="7" spans="1:2" x14ac:dyDescent="0.25">
      <c r="A7" s="5" t="s">
        <v>9</v>
      </c>
      <c r="B7" s="6" t="s">
        <v>10</v>
      </c>
    </row>
    <row r="8" spans="1:2" x14ac:dyDescent="0.25">
      <c r="A8" s="5" t="s">
        <v>11</v>
      </c>
      <c r="B8" s="6" t="s">
        <v>3</v>
      </c>
    </row>
    <row r="9" spans="1:2" x14ac:dyDescent="0.25">
      <c r="A9" s="5" t="s">
        <v>12</v>
      </c>
    </row>
    <row r="11" spans="1:1" x14ac:dyDescent="0.25">
      <c r="A11" s="5" t="s">
        <v>13</v>
      </c>
    </row>
    <row r="12" spans="1:1" x14ac:dyDescent="0.25">
      <c r="A12" s="5" t="s">
        <v>14</v>
      </c>
    </row>
  </sheetData>
  <pageMargins left="0.25" right="0.25" top="0.75" bottom="0.75" header="0" footer="0"/>
  <pageSetup paperSize="9" orientation="portrait"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5"/>
  <sheetFormatPr defaultRowHeight="15" outlineLevelRow="0" outlineLevelCol="0" x14ac:dyDescent="55"/>
  <sheetData>
    <row r="1" spans="1:7" x14ac:dyDescent="0.25">
      <c r="A1" t="s">
        <v>15</v>
      </c>
      <c r="B1">
        <v>1</v>
      </c>
      <c r="C1" t="s">
        <v>16</v>
      </c>
      <c r="D1" t="s">
        <v>17</v>
      </c>
      <c r="E1" t="s">
        <v>18</v>
      </c>
      <c r="F1" t="s">
        <v>19</v>
      </c>
      <c r="G1" t="s">
        <v>20</v>
      </c>
    </row>
    <row r="2" spans="1:2" x14ac:dyDescent="0.25">
      <c r="A2" t="s">
        <v>21</v>
      </c>
      <c r="B2" t="s">
        <v>22</v>
      </c>
    </row>
    <row r="3" spans="1:4" x14ac:dyDescent="0.25">
      <c r="A3" t="s">
        <v>23</v>
      </c>
      <c r="B3" t="s">
        <v>24</v>
      </c>
      <c r="C3" t="s">
        <v>25</v>
      </c>
      <c r="D3" t="s">
        <v>26</v>
      </c>
    </row>
    <row r="4" spans="1:4" x14ac:dyDescent="0.25">
      <c r="A4" t="s">
        <v>27</v>
      </c>
      <c r="B4" t="s">
        <v>28</v>
      </c>
      <c r="C4">
        <v>0</v>
      </c>
      <c r="D4" t="s">
        <v>29</v>
      </c>
    </row>
    <row r="5" spans="1:4" x14ac:dyDescent="0.25">
      <c r="A5" t="s">
        <v>30</v>
      </c>
      <c r="B5" t="s">
        <v>31</v>
      </c>
      <c r="C5">
        <v>1</v>
      </c>
      <c r="D5" t="s">
        <v>32</v>
      </c>
    </row>
    <row r="6" spans="1:4" x14ac:dyDescent="0.25">
      <c r="A6" t="s">
        <v>33</v>
      </c>
      <c r="B6" t="s">
        <v>34</v>
      </c>
      <c r="C6">
        <v>1</v>
      </c>
      <c r="D6" t="s">
        <v>35</v>
      </c>
    </row>
    <row r="7" spans="1:4" x14ac:dyDescent="0.25">
      <c r="A7" t="s">
        <v>36</v>
      </c>
      <c r="B7" t="s">
        <v>37</v>
      </c>
      <c r="C7">
        <v>1</v>
      </c>
      <c r="D7" t="s">
        <v>38</v>
      </c>
    </row>
    <row r="8" spans="1:4" x14ac:dyDescent="0.25">
      <c r="A8" t="s">
        <v>39</v>
      </c>
      <c r="B8" t="s">
        <v>40</v>
      </c>
      <c r="C8">
        <v>0</v>
      </c>
      <c r="D8" t="s">
        <v>41</v>
      </c>
    </row>
    <row r="9" spans="1:4" x14ac:dyDescent="0.25">
      <c r="A9" t="s">
        <v>42</v>
      </c>
      <c r="B9" t="s">
        <v>43</v>
      </c>
      <c r="C9">
        <v>1</v>
      </c>
      <c r="D9" t="s">
        <v>44</v>
      </c>
    </row>
    <row r="10" spans="1:4" x14ac:dyDescent="0.25">
      <c r="A10" t="s">
        <v>45</v>
      </c>
      <c r="B10" t="s">
        <v>46</v>
      </c>
      <c r="C10">
        <v>1</v>
      </c>
      <c r="D10" t="s">
        <v>47</v>
      </c>
    </row>
    <row r="11" spans="1:4" x14ac:dyDescent="0.25">
      <c r="A11" t="s">
        <v>48</v>
      </c>
      <c r="B11" t="s">
        <v>49</v>
      </c>
      <c r="C11">
        <v>1</v>
      </c>
      <c r="D11" t="s">
        <v>50</v>
      </c>
    </row>
    <row r="12" spans="1:4" x14ac:dyDescent="0.25">
      <c r="A12" t="s">
        <v>51</v>
      </c>
      <c r="B12" t="s">
        <v>52</v>
      </c>
      <c r="C12">
        <v>1</v>
      </c>
      <c r="D12" t="s">
        <v>53</v>
      </c>
    </row>
    <row r="13" spans="1:4" x14ac:dyDescent="0.25">
      <c r="A13" t="s">
        <v>54</v>
      </c>
      <c r="B13" t="s">
        <v>55</v>
      </c>
      <c r="C13">
        <v>1</v>
      </c>
      <c r="D13" t="s">
        <v>56</v>
      </c>
    </row>
    <row r="14" spans="1:4" x14ac:dyDescent="0.25">
      <c r="A14" t="s">
        <v>57</v>
      </c>
      <c r="B14" t="s">
        <v>58</v>
      </c>
      <c r="C14">
        <v>1</v>
      </c>
      <c r="D14" t="s">
        <v>59</v>
      </c>
    </row>
    <row r="15" spans="1:4" x14ac:dyDescent="0.25">
      <c r="A15" t="s">
        <v>60</v>
      </c>
      <c r="B15" t="s">
        <v>61</v>
      </c>
      <c r="C15">
        <v>0</v>
      </c>
      <c r="D15" t="s">
        <v>62</v>
      </c>
    </row>
    <row r="16" spans="1:4" x14ac:dyDescent="0.25">
      <c r="A16" t="s">
        <v>63</v>
      </c>
      <c r="B16" t="s">
        <v>64</v>
      </c>
      <c r="C16">
        <v>0</v>
      </c>
      <c r="D16" t="s">
        <v>65</v>
      </c>
    </row>
    <row r="17" spans="1:4" x14ac:dyDescent="0.25">
      <c r="A17" t="s">
        <v>66</v>
      </c>
      <c r="B17" t="s">
        <v>67</v>
      </c>
      <c r="C17">
        <v>0</v>
      </c>
      <c r="D17" t="s">
        <v>68</v>
      </c>
    </row>
    <row r="18" spans="1:4" x14ac:dyDescent="0.25">
      <c r="A18" t="s">
        <v>69</v>
      </c>
      <c r="B18" t="s">
        <v>70</v>
      </c>
      <c r="C18">
        <v>0</v>
      </c>
      <c r="D18" t="s">
        <v>71</v>
      </c>
    </row>
    <row r="19" spans="1:4" x14ac:dyDescent="0.25">
      <c r="A19" t="s">
        <v>72</v>
      </c>
      <c r="B19" t="s">
        <v>73</v>
      </c>
      <c r="C19">
        <v>0</v>
      </c>
      <c r="D19" t="s">
        <v>74</v>
      </c>
    </row>
    <row r="20" spans="1:4" x14ac:dyDescent="0.25">
      <c r="A20" t="s">
        <v>75</v>
      </c>
      <c r="B20" t="s">
        <v>76</v>
      </c>
      <c r="C20">
        <v>0</v>
      </c>
      <c r="D20" t="s">
        <v>77</v>
      </c>
    </row>
    <row r="21" spans="1:4" x14ac:dyDescent="0.25">
      <c r="A21" t="s">
        <v>78</v>
      </c>
      <c r="B21" t="s">
        <v>79</v>
      </c>
      <c r="C21">
        <v>0</v>
      </c>
      <c r="D21" t="s">
        <v>80</v>
      </c>
    </row>
    <row r="22" spans="1:4" x14ac:dyDescent="0.25">
      <c r="A22" t="s">
        <v>81</v>
      </c>
      <c r="B22" t="s">
        <v>82</v>
      </c>
      <c r="C22">
        <v>0</v>
      </c>
      <c r="D22" t="s">
        <v>83</v>
      </c>
    </row>
    <row r="23" spans="1:4" x14ac:dyDescent="0.25">
      <c r="A23" t="s">
        <v>84</v>
      </c>
      <c r="B23" t="s">
        <v>85</v>
      </c>
      <c r="C23">
        <v>0</v>
      </c>
      <c r="D23" t="s">
        <v>86</v>
      </c>
    </row>
    <row r="24" spans="1:4" x14ac:dyDescent="0.25">
      <c r="A24" t="s">
        <v>87</v>
      </c>
      <c r="B24" t="s">
        <v>88</v>
      </c>
      <c r="C24">
        <v>0</v>
      </c>
      <c r="D24" t="s">
        <v>89</v>
      </c>
    </row>
    <row r="25" spans="1:4" x14ac:dyDescent="0.25">
      <c r="A25" t="s">
        <v>90</v>
      </c>
      <c r="B25" t="s">
        <v>91</v>
      </c>
      <c r="C25">
        <v>0</v>
      </c>
      <c r="D25" t="s">
        <v>92</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2"/>
  <sheetViews>
    <sheetView workbookViewId="0" rightToLeft="1"/>
  </sheetViews>
  <sheetFormatPr defaultRowHeight="15" outlineLevelRow="0" outlineLevelCol="0" x14ac:dyDescent="55"/>
  <cols>
    <col min="1" max="1" width="7.29" customWidth="1"/>
    <col min="2" max="2" width="66.29" customWidth="1"/>
    <col min="3" max="4" width="8.14" customWidth="1"/>
    <col min="5" max="6" width="8.14" style="7" customWidth="1"/>
    <col min="7" max="7" width="36" hidden="1" customWidth="1"/>
    <col min="8" max="8" width="12" hidden="1" customWidth="1"/>
  </cols>
  <sheetData>
    <row r="1" spans="1:8" x14ac:dyDescent="0.25">
      <c r="A1" s="1" t="s">
        <v>93</v>
      </c>
      <c r="E1" s="7"/>
      <c r="F1" s="7"/>
      <c r="G1" s="1" t="s">
        <v>27</v>
      </c>
      <c r="H1" s="1" t="s">
        <v>94</v>
      </c>
    </row>
    <row r="2" spans="1:8" x14ac:dyDescent="0.25">
      <c r="A2" s="3" t="s">
        <v>95</v>
      </c>
      <c r="B2" s="4" t="s">
        <v>96</v>
      </c>
      <c r="C2" s="3" t="s">
        <v>97</v>
      </c>
      <c r="D2" s="3" t="s">
        <v>98</v>
      </c>
      <c r="E2" s="8" t="s">
        <v>99</v>
      </c>
      <c r="F2" s="8" t="s">
        <v>100</v>
      </c>
      <c r="G2" s="3" t="s">
        <v>101</v>
      </c>
      <c r="H2" s="3" t="s">
        <v>102</v>
      </c>
    </row>
    <row r="3" spans="1:8" x14ac:dyDescent="0.25">
      <c r="B3" s="6" t="s">
        <v>103</v>
      </c>
      <c r="E3" s="7"/>
      <c r="F3" s="7"/>
      <c r="G3" s="5" t="s">
        <v>104</v>
      </c>
      <c r="H3" s="5" t="s">
        <v>105</v>
      </c>
    </row>
    <row r="4" spans="1:8" x14ac:dyDescent="0.25">
      <c r="B4" s="6" t="s">
        <v>106</v>
      </c>
      <c r="C4" s="5" t="s">
        <v>107</v>
      </c>
      <c r="D4" s="5">
        <v>0</v>
      </c>
      <c r="E4" s="9">
        <v>0</v>
      </c>
      <c r="F4" s="9">
        <f>IF(ISBLANK(D4),"",IF(NOT(ISNUMBER(D4)),"קלט לא תקין",IF(D4&lt;0,"קלט לא תקין",IF(ISBLANK(E4),"",IF(OR(E4="כלול",E4="לא רלוונטי"),0,IF(NOT(ISNUMBER(E4)),"קלט לא תקין",IF(E4&lt;0,"קלט לא תקין",ROUND(D4*E4,2))))))))</f>
        <v>0</v>
      </c>
      <c r="G4" s="5" t="s">
        <v>108</v>
      </c>
      <c r="H4" s="5" t="s">
        <v>109</v>
      </c>
    </row>
    <row r="5" spans="1:8" x14ac:dyDescent="0.25">
      <c r="B5" s="6" t="s">
        <v>110</v>
      </c>
      <c r="C5" s="5" t="s">
        <v>107</v>
      </c>
      <c r="E5" s="7"/>
      <c r="F5" s="9" t="str">
        <f>IF(ISBLANK(D5),"",IF(NOT(ISNUMBER(D5)),"קלט לא תקין",IF(D5&lt;0,"קלט לא תקין",IF(ISBLANK(E5),"",IF(OR(E5="כלול",E5="לא רלוונטי"),0,IF(NOT(ISNUMBER(E5)),"קלט לא תקין",IF(E5&lt;0,"קלט לא תקין",ROUND(D5*E5,2))))))))</f>
        <v/>
      </c>
      <c r="G5" s="5" t="s">
        <v>111</v>
      </c>
      <c r="H5" s="5" t="s">
        <v>109</v>
      </c>
    </row>
    <row r="6" spans="1:8" x14ac:dyDescent="0.25">
      <c r="B6" s="6" t="s">
        <v>112</v>
      </c>
      <c r="C6" s="5" t="s">
        <v>107</v>
      </c>
      <c r="E6" s="7"/>
      <c r="F6" s="9" t="str">
        <f>IF(ISBLANK(D6),"",IF(NOT(ISNUMBER(D6)),"קלט לא תקין",IF(D6&lt;0,"קלט לא תקין",IF(ISBLANK(E6),"",IF(OR(E6="כלול",E6="לא רלוונטי"),0,IF(NOT(ISNUMBER(E6)),"קלט לא תקין",IF(E6&lt;0,"קלט לא תקין",ROUND(D6*E6,2))))))))</f>
        <v/>
      </c>
      <c r="G6" s="5" t="s">
        <v>113</v>
      </c>
      <c r="H6" s="5" t="s">
        <v>109</v>
      </c>
    </row>
    <row r="7" spans="1:8" x14ac:dyDescent="0.25">
      <c r="B7" s="6" t="s">
        <v>114</v>
      </c>
      <c r="C7" s="5" t="s">
        <v>115</v>
      </c>
      <c r="E7" s="7"/>
      <c r="F7" s="9" t="str">
        <f>IF(ISBLANK(D7),"",IF(NOT(ISNUMBER(D7)),"קלט לא תקין",IF(D7&lt;0,"קלט לא תקין",IF(ISBLANK(E7),"",IF(OR(E7="כלול",E7="לא רלוונטי"),0,IF(NOT(ISNUMBER(E7)),"קלט לא תקין",IF(E7&lt;0,"קלט לא תקין",ROUND(D7*E7,2))))))))</f>
        <v/>
      </c>
      <c r="G7" s="5" t="s">
        <v>116</v>
      </c>
      <c r="H7" s="5" t="s">
        <v>109</v>
      </c>
    </row>
    <row r="8" spans="1:8" x14ac:dyDescent="0.25">
      <c r="B8" s="6" t="s">
        <v>117</v>
      </c>
      <c r="C8" s="5" t="s">
        <v>115</v>
      </c>
      <c r="E8" s="7"/>
      <c r="F8" s="9" t="str">
        <f>IF(ISBLANK(D8),"",IF(NOT(ISNUMBER(D8)),"קלט לא תקין",IF(D8&lt;0,"קלט לא תקין",IF(ISBLANK(E8),"",IF(OR(E8="כלול",E8="לא רלוונטי"),0,IF(NOT(ISNUMBER(E8)),"קלט לא תקין",IF(E8&lt;0,"קלט לא תקין",ROUND(D8*E8,2))))))))</f>
        <v/>
      </c>
      <c r="G8" s="5" t="s">
        <v>118</v>
      </c>
      <c r="H8" s="5" t="s">
        <v>109</v>
      </c>
    </row>
    <row r="9" spans="1:8" x14ac:dyDescent="0.25">
      <c r="B9" s="6" t="s">
        <v>119</v>
      </c>
      <c r="C9" s="5" t="s">
        <v>115</v>
      </c>
      <c r="E9" s="7"/>
      <c r="F9" s="9" t="str">
        <f>IF(ISBLANK(D9),"",IF(NOT(ISNUMBER(D9)),"קלט לא תקין",IF(D9&lt;0,"קלט לא תקין",IF(ISBLANK(E9),"",IF(OR(E9="כלול",E9="לא רלוונטי"),0,IF(NOT(ISNUMBER(E9)),"קלט לא תקין",IF(E9&lt;0,"קלט לא תקין",ROUND(D9*E9,2))))))))</f>
        <v/>
      </c>
      <c r="G9" s="5" t="s">
        <v>120</v>
      </c>
      <c r="H9" s="5" t="s">
        <v>109</v>
      </c>
    </row>
    <row r="10" spans="1:8" x14ac:dyDescent="0.25">
      <c r="B10" s="6" t="s">
        <v>121</v>
      </c>
      <c r="C10" s="5" t="s">
        <v>122</v>
      </c>
      <c r="E10" s="7"/>
      <c r="F10" s="9" t="str">
        <f>IF(ISBLANK(D10),"",IF(NOT(ISNUMBER(D10)),"קלט לא תקין",IF(D10&lt;0,"קלט לא תקין",IF(ISBLANK(E10),"",IF(OR(E10="כלול",E10="לא רלוונטי"),0,IF(NOT(ISNUMBER(E10)),"קלט לא תקין",IF(E10&lt;0,"קלט לא תקין",ROUND(D10*E10,2))))))))</f>
        <v/>
      </c>
      <c r="G10" s="5" t="s">
        <v>123</v>
      </c>
      <c r="H10" s="5" t="s">
        <v>109</v>
      </c>
    </row>
    <row r="11" spans="1:8" x14ac:dyDescent="0.25">
      <c r="B11" s="6" t="s">
        <v>124</v>
      </c>
      <c r="C11" s="5" t="s">
        <v>115</v>
      </c>
      <c r="E11" s="7"/>
      <c r="F11" s="9" t="str">
        <f>IF(ISBLANK(D11),"",IF(NOT(ISNUMBER(D11)),"קלט לא תקין",IF(D11&lt;0,"קלט לא תקין",IF(ISBLANK(E11),"",IF(OR(E11="כלול",E11="לא רלוונטי"),0,IF(NOT(ISNUMBER(E11)),"קלט לא תקין",IF(E11&lt;0,"קלט לא תקין",ROUND(D11*E11,2))))))))</f>
        <v/>
      </c>
      <c r="G11" s="5" t="s">
        <v>125</v>
      </c>
      <c r="H11" s="5" t="s">
        <v>109</v>
      </c>
    </row>
    <row r="12" spans="1:8" x14ac:dyDescent="0.25">
      <c r="A12" s="5" t="s">
        <v>126</v>
      </c>
      <c r="E12" s="7"/>
      <c r="F12" s="9">
        <f>SUM(F4,F5,F6,F7,F8,F9,F10,F11)</f>
        <v>0</v>
      </c>
      <c r="H12" s="5" t="s">
        <v>127</v>
      </c>
    </row>
  </sheetData>
  <dataValidations count="10">
    <dataValidation type="decimal" operator="greaterThanOrEqual" allowBlank="1" showErrorMessage="1" error="יש להזין מספר לא שלילי" sqref="D10:D11">
      <formula1>0</formula1>
    </dataValidation>
    <dataValidation type="decimal" operator="greaterThanOrEqual" allowBlank="1" showErrorMessage="1" error="יש להזין מספר לא שלילי" sqref="D4:D11">
      <formula1>0</formula1>
    </dataValidation>
    <dataValidation type="custom" allowBlank="1" showErrorMessage="1" error="מספר לא שלילי, כלול או לא רלוונטי בלבד" sqref="E10">
      <formula1>OR(ISBLANK(E10),AND(ISNUMBER(E10),E10&gt;=0),E10="כלול",E10="לא רלוונטי")</formula1>
    </dataValidation>
    <dataValidation type="custom" allowBlank="1" showErrorMessage="1" error="מספר לא שלילי, כלול או לא רלוונטי בלבד" sqref="E11">
      <formula1>OR(ISBLANK(E11),AND(ISNUMBER(E11),E11&gt;=0),E11="כלול",E11="לא רלוונטי")</formula1>
    </dataValidation>
    <dataValidation type="custom" allowBlank="1" showErrorMessage="1" error="מספר לא שלילי, כלול או לא רלוונטי בלבד" sqref="E4">
      <formula1>OR(ISBLANK(E4),AND(ISNUMBER(E4),E4&gt;=0),E4="כלול",E4="לא רלוונטי")</formula1>
    </dataValidation>
    <dataValidation type="custom" allowBlank="1" showErrorMessage="1" error="מספר לא שלילי, כלול או לא רלוונטי בלבד" sqref="E5">
      <formula1>OR(ISBLANK(E5),AND(ISNUMBER(E5),E5&gt;=0),E5="כלול",E5="לא רלוונטי")</formula1>
    </dataValidation>
    <dataValidation type="custom" allowBlank="1" showErrorMessage="1" error="מספר לא שלילי, כלול או לא רלוונטי בלבד" sqref="E6">
      <formula1>OR(ISBLANK(E6),AND(ISNUMBER(E6),E6&gt;=0),E6="כלול",E6="לא רלוונטי")</formula1>
    </dataValidation>
    <dataValidation type="custom" allowBlank="1" showErrorMessage="1" error="מספר לא שלילי, כלול או לא רלוונטי בלבד" sqref="E7">
      <formula1>OR(ISBLANK(E7),AND(ISNUMBER(E7),E7&gt;=0),E7="כלול",E7="לא רלוונטי")</formula1>
    </dataValidation>
    <dataValidation type="custom" allowBlank="1" showErrorMessage="1" error="מספר לא שלילי, כלול או לא רלוונטי בלבד" sqref="E8">
      <formula1>OR(ISBLANK(E8),AND(ISNUMBER(E8),E8&gt;=0),E8="כלול",E8="לא רלוונטי")</formula1>
    </dataValidation>
    <dataValidation type="custom" allowBlank="1" showErrorMessage="1" error="מספר לא שלילי, כלול או לא רלוונטי בלבד" sqref="E9">
      <formula1>OR(ISBLANK(E9),AND(ISNUMBER(E9),E9&gt;=0),E9="כלול",E9="לא רלוונטי")</formula1>
    </dataValidation>
  </dataValidations>
  <pageMargins left="0.25" right="0.25" top="0.75" bottom="0.75" header="0" footer="0"/>
  <pageSetup paperSize="9" orientation="portrait" fitToWidth="1"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0"/>
  <sheetViews>
    <sheetView workbookViewId="0" rightToLeft="1"/>
  </sheetViews>
  <sheetFormatPr defaultRowHeight="15" outlineLevelRow="0" outlineLevelCol="0" x14ac:dyDescent="55"/>
  <cols>
    <col min="1" max="1" width="7.29" customWidth="1"/>
    <col min="2" max="2" width="66.29" customWidth="1"/>
    <col min="3" max="4" width="8.14" customWidth="1"/>
    <col min="5" max="6" width="8.14" style="7" customWidth="1"/>
    <col min="7" max="7" width="36" hidden="1" customWidth="1"/>
    <col min="8" max="8" width="12" hidden="1" customWidth="1"/>
  </cols>
  <sheetData>
    <row r="1" spans="1:8" x14ac:dyDescent="0.25">
      <c r="A1" s="1" t="s">
        <v>128</v>
      </c>
      <c r="E1" s="7"/>
      <c r="F1" s="7"/>
      <c r="G1" s="1" t="s">
        <v>30</v>
      </c>
      <c r="H1" s="1" t="s">
        <v>94</v>
      </c>
    </row>
    <row r="2" spans="1:8" x14ac:dyDescent="0.25">
      <c r="A2" s="3" t="s">
        <v>95</v>
      </c>
      <c r="B2" s="4" t="s">
        <v>96</v>
      </c>
      <c r="C2" s="3" t="s">
        <v>97</v>
      </c>
      <c r="D2" s="3" t="s">
        <v>98</v>
      </c>
      <c r="E2" s="8" t="s">
        <v>99</v>
      </c>
      <c r="F2" s="8" t="s">
        <v>100</v>
      </c>
      <c r="G2" s="3" t="s">
        <v>101</v>
      </c>
      <c r="H2" s="3" t="s">
        <v>102</v>
      </c>
    </row>
    <row r="3" spans="1:8" x14ac:dyDescent="0.25">
      <c r="B3" s="6" t="s">
        <v>129</v>
      </c>
      <c r="E3" s="7"/>
      <c r="F3" s="7"/>
      <c r="G3" s="5" t="s">
        <v>130</v>
      </c>
      <c r="H3" s="5" t="s">
        <v>105</v>
      </c>
    </row>
    <row r="4" spans="1:8" x14ac:dyDescent="0.25">
      <c r="A4" s="5" t="s">
        <v>131</v>
      </c>
      <c r="B4" s="6" t="s">
        <v>132</v>
      </c>
      <c r="C4" s="5" t="s">
        <v>107</v>
      </c>
      <c r="D4" s="5">
        <v>0.5</v>
      </c>
      <c r="E4" s="9">
        <v>0.01</v>
      </c>
      <c r="F4" s="9">
        <f>IF(ISBLANK(D4),"",IF(NOT(ISNUMBER(D4)),"קלט לא תקין",IF(D4&lt;0,"קלט לא תקין",IF(ISBLANK(E4),"",IF(OR(E4="כלול",E4="לא רלוונטי"),0,IF(NOT(ISNUMBER(E4)),"קלט לא תקין",IF(E4&lt;0,"קלט לא תקין",ROUND(D4*E4,2))))))))</f>
        <v>0.01</v>
      </c>
      <c r="G4" s="5" t="s">
        <v>133</v>
      </c>
      <c r="H4" s="5" t="s">
        <v>109</v>
      </c>
    </row>
    <row r="5" spans="1:8" x14ac:dyDescent="0.25">
      <c r="A5" s="5" t="s">
        <v>134</v>
      </c>
      <c r="B5" s="6" t="s">
        <v>135</v>
      </c>
      <c r="C5" s="5" t="s">
        <v>107</v>
      </c>
      <c r="E5" s="7"/>
      <c r="F5" s="9" t="str">
        <f>IF(ISBLANK(D5),"",IF(NOT(ISNUMBER(D5)),"קלט לא תקין",IF(D5&lt;0,"קלט לא תקין",IF(ISBLANK(E5),"",IF(OR(E5="כלול",E5="לא רלוונטי"),0,IF(NOT(ISNUMBER(E5)),"קלט לא תקין",IF(E5&lt;0,"קלט לא תקין",ROUND(D5*E5,2))))))))</f>
        <v/>
      </c>
      <c r="G5" s="5" t="s">
        <v>136</v>
      </c>
      <c r="H5" s="5" t="s">
        <v>109</v>
      </c>
    </row>
    <row r="6" spans="1:8" x14ac:dyDescent="0.25">
      <c r="A6" s="5" t="s">
        <v>137</v>
      </c>
      <c r="B6" s="6" t="s">
        <v>138</v>
      </c>
      <c r="C6" s="5" t="s">
        <v>139</v>
      </c>
      <c r="E6" s="7"/>
      <c r="F6" s="9" t="str">
        <f>IF(ISBLANK(D6),"",IF(NOT(ISNUMBER(D6)),"קלט לא תקין",IF(D6&lt;0,"קלט לא תקין",IF(ISBLANK(E6),"",IF(OR(E6="כלול",E6="לא רלוונטי"),0,IF(NOT(ISNUMBER(E6)),"קלט לא תקין",IF(E6&lt;0,"קלט לא תקין",ROUND(D6*E6,2))))))))</f>
        <v/>
      </c>
      <c r="G6" s="5" t="s">
        <v>140</v>
      </c>
      <c r="H6" s="5" t="s">
        <v>109</v>
      </c>
    </row>
    <row r="7" spans="1:8" x14ac:dyDescent="0.25">
      <c r="A7" s="5" t="s">
        <v>141</v>
      </c>
      <c r="B7" s="6" t="s">
        <v>142</v>
      </c>
      <c r="C7" s="5" t="s">
        <v>122</v>
      </c>
      <c r="E7" s="7"/>
      <c r="F7" s="9" t="str">
        <f>IF(ISBLANK(D7),"",IF(NOT(ISNUMBER(D7)),"קלט לא תקין",IF(D7&lt;0,"קלט לא תקין",IF(ISBLANK(E7),"",IF(OR(E7="כלול",E7="לא רלוונטי"),0,IF(NOT(ISNUMBER(E7)),"קלט לא תקין",IF(E7&lt;0,"קלט לא תקין",ROUND(D7*E7,2))))))))</f>
        <v/>
      </c>
      <c r="G7" s="5" t="s">
        <v>143</v>
      </c>
      <c r="H7" s="5" t="s">
        <v>109</v>
      </c>
    </row>
    <row r="8" spans="1:8" x14ac:dyDescent="0.25">
      <c r="A8" s="5" t="s">
        <v>144</v>
      </c>
      <c r="B8" s="6" t="s">
        <v>145</v>
      </c>
      <c r="C8" s="5" t="s">
        <v>122</v>
      </c>
      <c r="E8" s="7"/>
      <c r="F8" s="9" t="str">
        <f>IF(ISBLANK(D8),"",IF(NOT(ISNUMBER(D8)),"קלט לא תקין",IF(D8&lt;0,"קלט לא תקין",IF(ISBLANK(E8),"",IF(OR(E8="כלול",E8="לא רלוונטי"),0,IF(NOT(ISNUMBER(E8)),"קלט לא תקין",IF(E8&lt;0,"קלט לא תקין",ROUND(D8*E8,2))))))))</f>
        <v/>
      </c>
      <c r="G8" s="5" t="s">
        <v>146</v>
      </c>
      <c r="H8" s="5" t="s">
        <v>109</v>
      </c>
    </row>
    <row r="9" spans="1:8" x14ac:dyDescent="0.25">
      <c r="A9" s="5" t="s">
        <v>147</v>
      </c>
      <c r="B9" s="6" t="s">
        <v>148</v>
      </c>
      <c r="C9" s="5" t="s">
        <v>122</v>
      </c>
      <c r="E9" s="7"/>
      <c r="F9" s="9" t="str">
        <f>IF(ISBLANK(D9),"",IF(NOT(ISNUMBER(D9)),"קלט לא תקין",IF(D9&lt;0,"קלט לא תקין",IF(ISBLANK(E9),"",IF(OR(E9="כלול",E9="לא רלוונטי"),0,IF(NOT(ISNUMBER(E9)),"קלט לא תקין",IF(E9&lt;0,"קלט לא תקין",ROUND(D9*E9,2))))))))</f>
        <v/>
      </c>
      <c r="G9" s="5" t="s">
        <v>149</v>
      </c>
      <c r="H9" s="5" t="s">
        <v>109</v>
      </c>
    </row>
    <row r="10" spans="1:8" x14ac:dyDescent="0.25">
      <c r="A10" s="5" t="s">
        <v>126</v>
      </c>
      <c r="E10" s="7"/>
      <c r="F10" s="9">
        <f>SUM(F4,F5,F6,F7,F8,F9)</f>
        <v>0.01</v>
      </c>
      <c r="H10" s="5" t="s">
        <v>127</v>
      </c>
    </row>
  </sheetData>
  <dataValidations count="7">
    <dataValidation type="decimal" operator="greaterThanOrEqual" allowBlank="1" showErrorMessage="1" error="יש להזין מספר לא שלילי" sqref="D4:D9">
      <formula1>0</formula1>
    </dataValidation>
    <dataValidation type="custom" allowBlank="1" showErrorMessage="1" error="מספר לא שלילי, כלול או לא רלוונטי בלבד" sqref="E4">
      <formula1>OR(ISBLANK(E4),AND(ISNUMBER(E4),E4&gt;=0),E4="כלול",E4="לא רלוונטי")</formula1>
    </dataValidation>
    <dataValidation type="custom" allowBlank="1" showErrorMessage="1" error="מספר לא שלילי, כלול או לא רלוונטי בלבד" sqref="E5">
      <formula1>OR(ISBLANK(E5),AND(ISNUMBER(E5),E5&gt;=0),E5="כלול",E5="לא רלוונטי")</formula1>
    </dataValidation>
    <dataValidation type="custom" allowBlank="1" showErrorMessage="1" error="מספר לא שלילי, כלול או לא רלוונטי בלבד" sqref="E6">
      <formula1>OR(ISBLANK(E6),AND(ISNUMBER(E6),E6&gt;=0),E6="כלול",E6="לא רלוונטי")</formula1>
    </dataValidation>
    <dataValidation type="custom" allowBlank="1" showErrorMessage="1" error="מספר לא שלילי, כלול או לא רלוונטי בלבד" sqref="E7">
      <formula1>OR(ISBLANK(E7),AND(ISNUMBER(E7),E7&gt;=0),E7="כלול",E7="לא רלוונטי")</formula1>
    </dataValidation>
    <dataValidation type="custom" allowBlank="1" showErrorMessage="1" error="מספר לא שלילי, כלול או לא רלוונטי בלבד" sqref="E8">
      <formula1>OR(ISBLANK(E8),AND(ISNUMBER(E8),E8&gt;=0),E8="כלול",E8="לא רלוונטי")</formula1>
    </dataValidation>
    <dataValidation type="custom" allowBlank="1" showErrorMessage="1" error="מספר לא שלילי, כלול או לא רלוונטי בלבד" sqref="E9">
      <formula1>OR(ISBLANK(E9),AND(ISNUMBER(E9),E9&gt;=0),E9="כלול",E9="לא רלוונטי")</formula1>
    </dataValidation>
  </dataValidations>
  <pageMargins left="0.25" right="0.25" top="0.75" bottom="0.75" header="0" footer="0"/>
  <pageSetup paperSize="9" orientation="portrait" fitToWidth="1" fitToHeight="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2"/>
  <sheetViews>
    <sheetView workbookViewId="0" rightToLeft="1"/>
  </sheetViews>
  <sheetFormatPr defaultRowHeight="15" outlineLevelRow="0" outlineLevelCol="0" x14ac:dyDescent="55"/>
  <cols>
    <col min="1" max="1" width="7.29" customWidth="1"/>
    <col min="2" max="2" width="66.29" customWidth="1"/>
    <col min="3" max="4" width="8.14" customWidth="1"/>
    <col min="5" max="6" width="8.14" style="7" customWidth="1"/>
    <col min="7" max="7" width="36" hidden="1" customWidth="1"/>
    <col min="8" max="8" width="12" hidden="1" customWidth="1"/>
  </cols>
  <sheetData>
    <row r="1" spans="1:8" x14ac:dyDescent="0.25">
      <c r="A1" s="1" t="s">
        <v>150</v>
      </c>
      <c r="E1" s="7"/>
      <c r="F1" s="7"/>
      <c r="G1" s="1" t="s">
        <v>33</v>
      </c>
      <c r="H1" s="1" t="s">
        <v>94</v>
      </c>
    </row>
    <row r="2" spans="1:8" x14ac:dyDescent="0.25">
      <c r="A2" s="3" t="s">
        <v>95</v>
      </c>
      <c r="B2" s="4" t="s">
        <v>96</v>
      </c>
      <c r="C2" s="3" t="s">
        <v>97</v>
      </c>
      <c r="D2" s="3" t="s">
        <v>98</v>
      </c>
      <c r="E2" s="8" t="s">
        <v>99</v>
      </c>
      <c r="F2" s="8" t="s">
        <v>100</v>
      </c>
      <c r="G2" s="3" t="s">
        <v>101</v>
      </c>
      <c r="H2" s="3" t="s">
        <v>102</v>
      </c>
    </row>
    <row r="3" spans="1:8" x14ac:dyDescent="0.25">
      <c r="B3" s="6" t="s">
        <v>151</v>
      </c>
      <c r="E3" s="7"/>
      <c r="F3" s="7"/>
      <c r="G3" s="5" t="s">
        <v>152</v>
      </c>
      <c r="H3" s="5" t="s">
        <v>105</v>
      </c>
    </row>
    <row r="4" spans="1:8" x14ac:dyDescent="0.25">
      <c r="A4" s="5" t="s">
        <v>153</v>
      </c>
      <c r="B4" s="6" t="s">
        <v>154</v>
      </c>
      <c r="C4" s="5" t="s">
        <v>115</v>
      </c>
      <c r="E4" s="7"/>
      <c r="F4" s="9" t="str">
        <f>IF(ISBLANK(D4),"",IF(NOT(ISNUMBER(D4)),"קלט לא תקין",IF(D4&lt;0,"קלט לא תקין",IF(ISBLANK(E4),"",IF(OR(E4="כלול",E4="לא רלוונטי"),0,IF(NOT(ISNUMBER(E4)),"קלט לא תקין",IF(E4&lt;0,"קלט לא תקין",ROUND(D4*E4,2))))))))</f>
        <v/>
      </c>
      <c r="G4" s="5" t="s">
        <v>155</v>
      </c>
      <c r="H4" s="5" t="s">
        <v>109</v>
      </c>
    </row>
    <row r="5" spans="1:8" x14ac:dyDescent="0.25">
      <c r="A5" s="5" t="s">
        <v>156</v>
      </c>
      <c r="B5" s="6" t="s">
        <v>157</v>
      </c>
      <c r="C5" s="5" t="s">
        <v>158</v>
      </c>
      <c r="E5" s="7"/>
      <c r="F5" s="9" t="str">
        <f>IF(ISBLANK(D5),"",IF(NOT(ISNUMBER(D5)),"קלט לא תקין",IF(D5&lt;0,"קלט לא תקין",IF(ISBLANK(E5),"",IF(OR(E5="כלול",E5="לא רלוונטי"),0,IF(NOT(ISNUMBER(E5)),"קלט לא תקין",IF(E5&lt;0,"קלט לא תקין",ROUND(D5*E5,2))))))))</f>
        <v/>
      </c>
      <c r="G5" s="5" t="s">
        <v>159</v>
      </c>
      <c r="H5" s="5" t="s">
        <v>109</v>
      </c>
    </row>
    <row r="6" spans="1:8" x14ac:dyDescent="0.25">
      <c r="A6" s="5" t="s">
        <v>160</v>
      </c>
      <c r="B6" s="6" t="s">
        <v>161</v>
      </c>
      <c r="C6" s="5" t="s">
        <v>158</v>
      </c>
      <c r="E6" s="7"/>
      <c r="F6" s="9" t="str">
        <f>IF(ISBLANK(D6),"",IF(NOT(ISNUMBER(D6)),"קלט לא תקין",IF(D6&lt;0,"קלט לא תקין",IF(ISBLANK(E6),"",IF(OR(E6="כלול",E6="לא רלוונטי"),0,IF(NOT(ISNUMBER(E6)),"קלט לא תקין",IF(E6&lt;0,"קלט לא תקין",ROUND(D6*E6,2))))))))</f>
        <v/>
      </c>
      <c r="G6" s="5" t="s">
        <v>162</v>
      </c>
      <c r="H6" s="5" t="s">
        <v>109</v>
      </c>
    </row>
    <row r="7" spans="1:8" x14ac:dyDescent="0.25">
      <c r="A7" s="5" t="s">
        <v>163</v>
      </c>
      <c r="B7" s="6" t="s">
        <v>164</v>
      </c>
      <c r="C7" s="5" t="s">
        <v>158</v>
      </c>
      <c r="E7" s="7"/>
      <c r="F7" s="9" t="str">
        <f>IF(ISBLANK(D7),"",IF(NOT(ISNUMBER(D7)),"קלט לא תקין",IF(D7&lt;0,"קלט לא תקין",IF(ISBLANK(E7),"",IF(OR(E7="כלול",E7="לא רלוונטי"),0,IF(NOT(ISNUMBER(E7)),"קלט לא תקין",IF(E7&lt;0,"קלט לא תקין",ROUND(D7*E7,2))))))))</f>
        <v/>
      </c>
      <c r="G7" s="5" t="s">
        <v>165</v>
      </c>
      <c r="H7" s="5" t="s">
        <v>109</v>
      </c>
    </row>
    <row r="8" spans="1:8" x14ac:dyDescent="0.25">
      <c r="A8" s="5" t="s">
        <v>166</v>
      </c>
      <c r="B8" s="6" t="s">
        <v>167</v>
      </c>
      <c r="C8" s="5" t="s">
        <v>158</v>
      </c>
      <c r="E8" s="7"/>
      <c r="F8" s="9" t="str">
        <f>IF(ISBLANK(D8),"",IF(NOT(ISNUMBER(D8)),"קלט לא תקין",IF(D8&lt;0,"קלט לא תקין",IF(ISBLANK(E8),"",IF(OR(E8="כלול",E8="לא רלוונטי"),0,IF(NOT(ISNUMBER(E8)),"קלט לא תקין",IF(E8&lt;0,"קלט לא תקין",ROUND(D8*E8,2))))))))</f>
        <v/>
      </c>
      <c r="G8" s="5" t="s">
        <v>168</v>
      </c>
      <c r="H8" s="5" t="s">
        <v>109</v>
      </c>
    </row>
    <row r="9" spans="1:8" x14ac:dyDescent="0.25">
      <c r="A9" s="5" t="s">
        <v>169</v>
      </c>
      <c r="B9" s="6" t="s">
        <v>170</v>
      </c>
      <c r="C9" s="5" t="s">
        <v>122</v>
      </c>
      <c r="E9" s="7"/>
      <c r="F9" s="9" t="str">
        <f>IF(ISBLANK(D9),"",IF(NOT(ISNUMBER(D9)),"קלט לא תקין",IF(D9&lt;0,"קלט לא תקין",IF(ISBLANK(E9),"",IF(OR(E9="כלול",E9="לא רלוונטי"),0,IF(NOT(ISNUMBER(E9)),"קלט לא תקין",IF(E9&lt;0,"קלט לא תקין",ROUND(D9*E9,2))))))))</f>
        <v/>
      </c>
      <c r="G9" s="5" t="s">
        <v>171</v>
      </c>
      <c r="H9" s="5" t="s">
        <v>109</v>
      </c>
    </row>
    <row r="10" spans="1:8" x14ac:dyDescent="0.25">
      <c r="A10" s="5" t="s">
        <v>172</v>
      </c>
      <c r="B10" s="6" t="s">
        <v>173</v>
      </c>
      <c r="C10" s="5" t="s">
        <v>122</v>
      </c>
      <c r="E10" s="7"/>
      <c r="F10" s="9" t="str">
        <f>IF(ISBLANK(D10),"",IF(NOT(ISNUMBER(D10)),"קלט לא תקין",IF(D10&lt;0,"קלט לא תקין",IF(ISBLANK(E10),"",IF(OR(E10="כלול",E10="לא רלוונטי"),0,IF(NOT(ISNUMBER(E10)),"קלט לא תקין",IF(E10&lt;0,"קלט לא תקין",ROUND(D10*E10,2))))))))</f>
        <v/>
      </c>
      <c r="G10" s="5" t="s">
        <v>174</v>
      </c>
      <c r="H10" s="5" t="s">
        <v>109</v>
      </c>
    </row>
    <row r="11" spans="1:8" x14ac:dyDescent="0.25">
      <c r="A11" s="5" t="s">
        <v>175</v>
      </c>
      <c r="B11" s="6" t="s">
        <v>176</v>
      </c>
      <c r="C11" s="5" t="s">
        <v>122</v>
      </c>
      <c r="E11" s="7"/>
      <c r="F11" s="9" t="str">
        <f>IF(ISBLANK(D11),"",IF(NOT(ISNUMBER(D11)),"קלט לא תקין",IF(D11&lt;0,"קלט לא תקין",IF(ISBLANK(E11),"",IF(OR(E11="כלול",E11="לא רלוונטי"),0,IF(NOT(ISNUMBER(E11)),"קלט לא תקין",IF(E11&lt;0,"קלט לא תקין",ROUND(D11*E11,2))))))))</f>
        <v/>
      </c>
      <c r="G11" s="5" t="s">
        <v>177</v>
      </c>
      <c r="H11" s="5" t="s">
        <v>109</v>
      </c>
    </row>
    <row r="12" spans="1:8" x14ac:dyDescent="0.25">
      <c r="A12" s="5" t="s">
        <v>126</v>
      </c>
      <c r="E12" s="7"/>
      <c r="F12" s="9">
        <f>SUM(F4,F5,F6,F7,F8,F9,F10,F11)</f>
        <v>0</v>
      </c>
      <c r="H12" s="5" t="s">
        <v>127</v>
      </c>
    </row>
  </sheetData>
  <dataValidations count="10">
    <dataValidation type="decimal" operator="greaterThanOrEqual" allowBlank="1" showErrorMessage="1" error="יש להזין מספר לא שלילי" sqref="D10:D11">
      <formula1>0</formula1>
    </dataValidation>
    <dataValidation type="decimal" operator="greaterThanOrEqual" allowBlank="1" showErrorMessage="1" error="יש להזין מספר לא שלילי" sqref="D4:D11">
      <formula1>0</formula1>
    </dataValidation>
    <dataValidation type="custom" allowBlank="1" showErrorMessage="1" error="מספר לא שלילי, כלול או לא רלוונטי בלבד" sqref="E10">
      <formula1>OR(ISBLANK(E10),AND(ISNUMBER(E10),E10&gt;=0),E10="כלול",E10="לא רלוונטי")</formula1>
    </dataValidation>
    <dataValidation type="custom" allowBlank="1" showErrorMessage="1" error="מספר לא שלילי, כלול או לא רלוונטי בלבד" sqref="E11">
      <formula1>OR(ISBLANK(E11),AND(ISNUMBER(E11),E11&gt;=0),E11="כלול",E11="לא רלוונטי")</formula1>
    </dataValidation>
    <dataValidation type="custom" allowBlank="1" showErrorMessage="1" error="מספר לא שלילי, כלול או לא רלוונטי בלבד" sqref="E4">
      <formula1>OR(ISBLANK(E4),AND(ISNUMBER(E4),E4&gt;=0),E4="כלול",E4="לא רלוונטי")</formula1>
    </dataValidation>
    <dataValidation type="custom" allowBlank="1" showErrorMessage="1" error="מספר לא שלילי, כלול או לא רלוונטי בלבד" sqref="E5">
      <formula1>OR(ISBLANK(E5),AND(ISNUMBER(E5),E5&gt;=0),E5="כלול",E5="לא רלוונטי")</formula1>
    </dataValidation>
    <dataValidation type="custom" allowBlank="1" showErrorMessage="1" error="מספר לא שלילי, כלול או לא רלוונטי בלבד" sqref="E6">
      <formula1>OR(ISBLANK(E6),AND(ISNUMBER(E6),E6&gt;=0),E6="כלול",E6="לא רלוונטי")</formula1>
    </dataValidation>
    <dataValidation type="custom" allowBlank="1" showErrorMessage="1" error="מספר לא שלילי, כלול או לא רלוונטי בלבד" sqref="E7">
      <formula1>OR(ISBLANK(E7),AND(ISNUMBER(E7),E7&gt;=0),E7="כלול",E7="לא רלוונטי")</formula1>
    </dataValidation>
    <dataValidation type="custom" allowBlank="1" showErrorMessage="1" error="מספר לא שלילי, כלול או לא רלוונטי בלבד" sqref="E8">
      <formula1>OR(ISBLANK(E8),AND(ISNUMBER(E8),E8&gt;=0),E8="כלול",E8="לא רלוונטי")</formula1>
    </dataValidation>
    <dataValidation type="custom" allowBlank="1" showErrorMessage="1" error="מספר לא שלילי, כלול או לא רלוונטי בלבד" sqref="E9">
      <formula1>OR(ISBLANK(E9),AND(ISNUMBER(E9),E9&gt;=0),E9="כלול",E9="לא רלוונטי")</formula1>
    </dataValidation>
  </dataValidations>
  <pageMargins left="0.25" right="0.25" top="0.75" bottom="0.75" header="0" footer="0"/>
  <pageSetup paperSize="9" orientation="portrait" fitToWidth="1" fitToHeight="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4"/>
  <sheetViews>
    <sheetView workbookViewId="0" rightToLeft="1"/>
  </sheetViews>
  <sheetFormatPr defaultRowHeight="15" outlineLevelRow="0" outlineLevelCol="0" x14ac:dyDescent="55"/>
  <cols>
    <col min="1" max="1" width="7.29" customWidth="1"/>
    <col min="2" max="2" width="66.29" customWidth="1"/>
    <col min="3" max="4" width="8.14" customWidth="1"/>
    <col min="5" max="6" width="8.14" style="7" customWidth="1"/>
    <col min="7" max="7" width="36" hidden="1" customWidth="1"/>
    <col min="8" max="8" width="12" hidden="1" customWidth="1"/>
  </cols>
  <sheetData>
    <row r="1" spans="1:8" x14ac:dyDescent="0.25">
      <c r="A1" s="1" t="s">
        <v>178</v>
      </c>
      <c r="E1" s="7"/>
      <c r="F1" s="7"/>
      <c r="G1" s="1" t="s">
        <v>36</v>
      </c>
      <c r="H1" s="1" t="s">
        <v>94</v>
      </c>
    </row>
    <row r="2" spans="1:8" x14ac:dyDescent="0.25">
      <c r="A2" s="3" t="s">
        <v>95</v>
      </c>
      <c r="B2" s="4" t="s">
        <v>96</v>
      </c>
      <c r="C2" s="3" t="s">
        <v>97</v>
      </c>
      <c r="D2" s="3" t="s">
        <v>98</v>
      </c>
      <c r="E2" s="8" t="s">
        <v>99</v>
      </c>
      <c r="F2" s="8" t="s">
        <v>100</v>
      </c>
      <c r="G2" s="3" t="s">
        <v>101</v>
      </c>
      <c r="H2" s="3" t="s">
        <v>102</v>
      </c>
    </row>
    <row r="3" spans="1:8" x14ac:dyDescent="0.25">
      <c r="B3" s="6" t="s">
        <v>179</v>
      </c>
      <c r="E3" s="7"/>
      <c r="F3" s="7"/>
      <c r="G3" s="5" t="s">
        <v>180</v>
      </c>
      <c r="H3" s="5" t="s">
        <v>105</v>
      </c>
    </row>
    <row r="4" spans="1:8" x14ac:dyDescent="0.25">
      <c r="A4" s="5" t="s">
        <v>181</v>
      </c>
      <c r="B4" s="6" t="s">
        <v>182</v>
      </c>
      <c r="C4" s="5" t="s">
        <v>158</v>
      </c>
      <c r="E4" s="7"/>
      <c r="F4" s="9" t="str">
        <f>IF(ISBLANK(D4),"",IF(NOT(ISNUMBER(D4)),"קלט לא תקין",IF(D4&lt;0,"קלט לא תקין",IF(ISBLANK(E4),"",IF(OR(E4="כלול",E4="לא רלוונטי"),0,IF(NOT(ISNUMBER(E4)),"קלט לא תקין",IF(E4&lt;0,"קלט לא תקין",ROUND(D4*E4,2))))))))</f>
        <v/>
      </c>
      <c r="G4" s="5" t="s">
        <v>183</v>
      </c>
      <c r="H4" s="5" t="s">
        <v>109</v>
      </c>
    </row>
    <row r="5" spans="1:8" x14ac:dyDescent="0.25">
      <c r="A5" s="5" t="s">
        <v>184</v>
      </c>
      <c r="B5" s="6" t="s">
        <v>185</v>
      </c>
      <c r="C5" s="5" t="s">
        <v>122</v>
      </c>
      <c r="E5" s="7"/>
      <c r="F5" s="9" t="str">
        <f>IF(ISBLANK(D5),"",IF(NOT(ISNUMBER(D5)),"קלט לא תקין",IF(D5&lt;0,"קלט לא תקין",IF(ISBLANK(E5),"",IF(OR(E5="כלול",E5="לא רלוונטי"),0,IF(NOT(ISNUMBER(E5)),"קלט לא תקין",IF(E5&lt;0,"קלט לא תקין",ROUND(D5*E5,2))))))))</f>
        <v/>
      </c>
      <c r="G5" s="5" t="s">
        <v>186</v>
      </c>
      <c r="H5" s="5" t="s">
        <v>109</v>
      </c>
    </row>
    <row r="6" spans="1:8" x14ac:dyDescent="0.25">
      <c r="A6" s="5" t="s">
        <v>187</v>
      </c>
      <c r="B6" s="6" t="s">
        <v>188</v>
      </c>
      <c r="C6" s="5" t="s">
        <v>122</v>
      </c>
      <c r="E6" s="7"/>
      <c r="F6" s="9" t="str">
        <f>IF(ISBLANK(D6),"",IF(NOT(ISNUMBER(D6)),"קלט לא תקין",IF(D6&lt;0,"קלט לא תקין",IF(ISBLANK(E6),"",IF(OR(E6="כלול",E6="לא רלוונטי"),0,IF(NOT(ISNUMBER(E6)),"קלט לא תקין",IF(E6&lt;0,"קלט לא תקין",ROUND(D6*E6,2))))))))</f>
        <v/>
      </c>
      <c r="G6" s="5" t="s">
        <v>189</v>
      </c>
      <c r="H6" s="5" t="s">
        <v>109</v>
      </c>
    </row>
    <row r="7" spans="1:8" x14ac:dyDescent="0.25">
      <c r="A7" s="5" t="s">
        <v>190</v>
      </c>
      <c r="B7" s="6" t="s">
        <v>191</v>
      </c>
      <c r="C7" s="5" t="s">
        <v>158</v>
      </c>
      <c r="E7" s="7"/>
      <c r="F7" s="9" t="str">
        <f>IF(ISBLANK(D7),"",IF(NOT(ISNUMBER(D7)),"קלט לא תקין",IF(D7&lt;0,"קלט לא תקין",IF(ISBLANK(E7),"",IF(OR(E7="כלול",E7="לא רלוונטי"),0,IF(NOT(ISNUMBER(E7)),"קלט לא תקין",IF(E7&lt;0,"קלט לא תקין",ROUND(D7*E7,2))))))))</f>
        <v/>
      </c>
      <c r="G7" s="5" t="s">
        <v>192</v>
      </c>
      <c r="H7" s="5" t="s">
        <v>109</v>
      </c>
    </row>
    <row r="8" spans="1:8" x14ac:dyDescent="0.25">
      <c r="A8" s="5" t="s">
        <v>193</v>
      </c>
      <c r="B8" s="6" t="s">
        <v>194</v>
      </c>
      <c r="C8" s="5" t="s">
        <v>158</v>
      </c>
      <c r="E8" s="7"/>
      <c r="F8" s="9" t="str">
        <f>IF(ISBLANK(D8),"",IF(NOT(ISNUMBER(D8)),"קלט לא תקין",IF(D8&lt;0,"קלט לא תקין",IF(ISBLANK(E8),"",IF(OR(E8="כלול",E8="לא רלוונטי"),0,IF(NOT(ISNUMBER(E8)),"קלט לא תקין",IF(E8&lt;0,"קלט לא תקין",ROUND(D8*E8,2))))))))</f>
        <v/>
      </c>
      <c r="G8" s="5" t="s">
        <v>195</v>
      </c>
      <c r="H8" s="5" t="s">
        <v>109</v>
      </c>
    </row>
    <row r="9" spans="1:8" x14ac:dyDescent="0.25">
      <c r="A9" s="5" t="s">
        <v>196</v>
      </c>
      <c r="B9" s="6" t="s">
        <v>197</v>
      </c>
      <c r="C9" s="5" t="s">
        <v>158</v>
      </c>
      <c r="E9" s="7"/>
      <c r="F9" s="9" t="str">
        <f>IF(ISBLANK(D9),"",IF(NOT(ISNUMBER(D9)),"קלט לא תקין",IF(D9&lt;0,"קלט לא תקין",IF(ISBLANK(E9),"",IF(OR(E9="כלול",E9="לא רלוונטי"),0,IF(NOT(ISNUMBER(E9)),"קלט לא תקין",IF(E9&lt;0,"קלט לא תקין",ROUND(D9*E9,2))))))))</f>
        <v/>
      </c>
      <c r="G9" s="5" t="s">
        <v>198</v>
      </c>
      <c r="H9" s="5" t="s">
        <v>109</v>
      </c>
    </row>
    <row r="10" spans="1:8" x14ac:dyDescent="0.25">
      <c r="A10" s="5" t="s">
        <v>199</v>
      </c>
      <c r="B10" s="6" t="s">
        <v>200</v>
      </c>
      <c r="C10" s="5" t="s">
        <v>158</v>
      </c>
      <c r="E10" s="7"/>
      <c r="F10" s="9" t="str">
        <f>IF(ISBLANK(D10),"",IF(NOT(ISNUMBER(D10)),"קלט לא תקין",IF(D10&lt;0,"קלט לא תקין",IF(ISBLANK(E10),"",IF(OR(E10="כלול",E10="לא רלוונטי"),0,IF(NOT(ISNUMBER(E10)),"קלט לא תקין",IF(E10&lt;0,"קלט לא תקין",ROUND(D10*E10,2))))))))</f>
        <v/>
      </c>
      <c r="G10" s="5" t="s">
        <v>201</v>
      </c>
      <c r="H10" s="5" t="s">
        <v>109</v>
      </c>
    </row>
    <row r="11" spans="1:8" x14ac:dyDescent="0.25">
      <c r="A11" s="5" t="s">
        <v>202</v>
      </c>
      <c r="B11" s="6" t="s">
        <v>203</v>
      </c>
      <c r="C11" s="5" t="s">
        <v>158</v>
      </c>
      <c r="E11" s="7"/>
      <c r="F11" s="9" t="str">
        <f>IF(ISBLANK(D11),"",IF(NOT(ISNUMBER(D11)),"קלט לא תקין",IF(D11&lt;0,"קלט לא תקין",IF(ISBLANK(E11),"",IF(OR(E11="כלול",E11="לא רלוונטי"),0,IF(NOT(ISNUMBER(E11)),"קלט לא תקין",IF(E11&lt;0,"קלט לא תקין",ROUND(D11*E11,2))))))))</f>
        <v/>
      </c>
      <c r="G11" s="5" t="s">
        <v>204</v>
      </c>
      <c r="H11" s="5" t="s">
        <v>109</v>
      </c>
    </row>
    <row r="12" spans="1:8" x14ac:dyDescent="0.25">
      <c r="A12" s="5" t="s">
        <v>205</v>
      </c>
      <c r="B12" s="6" t="s">
        <v>206</v>
      </c>
      <c r="C12" s="5" t="s">
        <v>115</v>
      </c>
      <c r="E12" s="7"/>
      <c r="F12" s="9" t="str">
        <f>IF(ISBLANK(D12),"",IF(NOT(ISNUMBER(D12)),"קלט לא תקין",IF(D12&lt;0,"קלט לא תקין",IF(ISBLANK(E12),"",IF(OR(E12="כלול",E12="לא רלוונטי"),0,IF(NOT(ISNUMBER(E12)),"קלט לא תקין",IF(E12&lt;0,"קלט לא תקין",ROUND(D12*E12,2))))))))</f>
        <v/>
      </c>
      <c r="G12" s="5" t="s">
        <v>207</v>
      </c>
      <c r="H12" s="5" t="s">
        <v>109</v>
      </c>
    </row>
    <row r="13" spans="1:8" x14ac:dyDescent="0.25">
      <c r="A13" s="5" t="s">
        <v>208</v>
      </c>
      <c r="B13" s="6" t="s">
        <v>209</v>
      </c>
      <c r="C13" s="5" t="s">
        <v>115</v>
      </c>
      <c r="E13" s="7"/>
      <c r="F13" s="9" t="str">
        <f>IF(ISBLANK(D13),"",IF(NOT(ISNUMBER(D13)),"קלט לא תקין",IF(D13&lt;0,"קלט לא תקין",IF(ISBLANK(E13),"",IF(OR(E13="כלול",E13="לא רלוונטי"),0,IF(NOT(ISNUMBER(E13)),"קלט לא תקין",IF(E13&lt;0,"קלט לא תקין",ROUND(D13*E13,2))))))))</f>
        <v/>
      </c>
      <c r="G13" s="5" t="s">
        <v>210</v>
      </c>
      <c r="H13" s="5" t="s">
        <v>109</v>
      </c>
    </row>
    <row r="14" spans="1:8" x14ac:dyDescent="0.25">
      <c r="A14" s="5" t="s">
        <v>126</v>
      </c>
      <c r="E14" s="7"/>
      <c r="F14" s="9">
        <f>SUM(F4,F5,F6,F7,F8,F9,F10,F11,F12,F13)</f>
        <v>0</v>
      </c>
      <c r="H14" s="5" t="s">
        <v>127</v>
      </c>
    </row>
  </sheetData>
  <dataValidations count="12">
    <dataValidation type="decimal" operator="greaterThanOrEqual" allowBlank="1" showErrorMessage="1" error="יש להזין מספר לא שלילי" sqref="D10:D13">
      <formula1>0</formula1>
    </dataValidation>
    <dataValidation type="decimal" operator="greaterThanOrEqual" allowBlank="1" showErrorMessage="1" error="יש להזין מספר לא שלילי" sqref="D4:D13">
      <formula1>0</formula1>
    </dataValidation>
    <dataValidation type="custom" allowBlank="1" showErrorMessage="1" error="מספר לא שלילי, כלול או לא רלוונטי בלבד" sqref="E10">
      <formula1>OR(ISBLANK(E10),AND(ISNUMBER(E10),E10&gt;=0),E10="כלול",E10="לא רלוונטי")</formula1>
    </dataValidation>
    <dataValidation type="custom" allowBlank="1" showErrorMessage="1" error="מספר לא שלילי, כלול או לא רלוונטי בלבד" sqref="E11">
      <formula1>OR(ISBLANK(E11),AND(ISNUMBER(E11),E11&gt;=0),E11="כלול",E11="לא רלוונטי")</formula1>
    </dataValidation>
    <dataValidation type="custom" allowBlank="1" showErrorMessage="1" error="מספר לא שלילי, כלול או לא רלוונטי בלבד" sqref="E12">
      <formula1>OR(ISBLANK(E12),AND(ISNUMBER(E12),E12&gt;=0),E12="כלול",E12="לא רלוונטי")</formula1>
    </dataValidation>
    <dataValidation type="custom" allowBlank="1" showErrorMessage="1" error="מספר לא שלילי, כלול או לא רלוונטי בלבד" sqref="E13">
      <formula1>OR(ISBLANK(E13),AND(ISNUMBER(E13),E13&gt;=0),E13="כלול",E13="לא רלוונטי")</formula1>
    </dataValidation>
    <dataValidation type="custom" allowBlank="1" showErrorMessage="1" error="מספר לא שלילי, כלול או לא רלוונטי בלבד" sqref="E4">
      <formula1>OR(ISBLANK(E4),AND(ISNUMBER(E4),E4&gt;=0),E4="כלול",E4="לא רלוונטי")</formula1>
    </dataValidation>
    <dataValidation type="custom" allowBlank="1" showErrorMessage="1" error="מספר לא שלילי, כלול או לא רלוונטי בלבד" sqref="E5">
      <formula1>OR(ISBLANK(E5),AND(ISNUMBER(E5),E5&gt;=0),E5="כלול",E5="לא רלוונטי")</formula1>
    </dataValidation>
    <dataValidation type="custom" allowBlank="1" showErrorMessage="1" error="מספר לא שלילי, כלול או לא רלוונטי בלבד" sqref="E6">
      <formula1>OR(ISBLANK(E6),AND(ISNUMBER(E6),E6&gt;=0),E6="כלול",E6="לא רלוונטי")</formula1>
    </dataValidation>
    <dataValidation type="custom" allowBlank="1" showErrorMessage="1" error="מספר לא שלילי, כלול או לא רלוונטי בלבד" sqref="E7">
      <formula1>OR(ISBLANK(E7),AND(ISNUMBER(E7),E7&gt;=0),E7="כלול",E7="לא רלוונטי")</formula1>
    </dataValidation>
    <dataValidation type="custom" allowBlank="1" showErrorMessage="1" error="מספר לא שלילי, כלול או לא רלוונטי בלבד" sqref="E8">
      <formula1>OR(ISBLANK(E8),AND(ISNUMBER(E8),E8&gt;=0),E8="כלול",E8="לא רלוונטי")</formula1>
    </dataValidation>
    <dataValidation type="custom" allowBlank="1" showErrorMessage="1" error="מספר לא שלילי, כלול או לא רלוונטי בלבד" sqref="E9">
      <formula1>OR(ISBLANK(E9),AND(ISNUMBER(E9),E9&gt;=0),E9="כלול",E9="לא רלוונטי")</formula1>
    </dataValidation>
  </dataValidations>
  <pageMargins left="0.25" right="0.25" top="0.75" bottom="0.75" header="0" footer="0"/>
  <pageSetup paperSize="9" orientation="portrait" fitToWidth="1" fitToHeight="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5"/>
  <sheetViews>
    <sheetView workbookViewId="0" rightToLeft="1"/>
  </sheetViews>
  <sheetFormatPr defaultRowHeight="15" outlineLevelRow="0" outlineLevelCol="0" x14ac:dyDescent="55"/>
  <cols>
    <col min="1" max="1" width="7.29" customWidth="1"/>
    <col min="2" max="2" width="66.29" customWidth="1"/>
    <col min="3" max="4" width="8.14" customWidth="1"/>
    <col min="5" max="6" width="8.14" style="7" customWidth="1"/>
    <col min="7" max="7" width="36" hidden="1" customWidth="1"/>
    <col min="8" max="8" width="12" hidden="1" customWidth="1"/>
  </cols>
  <sheetData>
    <row r="1" spans="1:8" x14ac:dyDescent="0.25">
      <c r="A1" s="1" t="s">
        <v>211</v>
      </c>
      <c r="E1" s="7"/>
      <c r="F1" s="7"/>
      <c r="G1" s="1" t="s">
        <v>39</v>
      </c>
      <c r="H1" s="1" t="s">
        <v>94</v>
      </c>
    </row>
    <row r="2" spans="1:8" x14ac:dyDescent="0.25">
      <c r="A2" s="3" t="s">
        <v>95</v>
      </c>
      <c r="B2" s="4" t="s">
        <v>96</v>
      </c>
      <c r="C2" s="3" t="s">
        <v>97</v>
      </c>
      <c r="D2" s="3" t="s">
        <v>98</v>
      </c>
      <c r="E2" s="8" t="s">
        <v>99</v>
      </c>
      <c r="F2" s="8" t="s">
        <v>100</v>
      </c>
      <c r="G2" s="3" t="s">
        <v>101</v>
      </c>
      <c r="H2" s="3" t="s">
        <v>102</v>
      </c>
    </row>
    <row r="3" spans="1:8" x14ac:dyDescent="0.25">
      <c r="B3" s="6" t="s">
        <v>212</v>
      </c>
      <c r="E3" s="7"/>
      <c r="F3" s="7"/>
      <c r="G3" s="5" t="s">
        <v>213</v>
      </c>
      <c r="H3" s="5" t="s">
        <v>105</v>
      </c>
    </row>
    <row r="4" spans="1:8" x14ac:dyDescent="0.25">
      <c r="B4" s="6" t="s">
        <v>214</v>
      </c>
      <c r="C4" s="5" t="s">
        <v>107</v>
      </c>
      <c r="E4" s="7"/>
      <c r="F4" s="9" t="str">
        <f>IF(ISBLANK(D4),"",IF(NOT(ISNUMBER(D4)),"קלט לא תקין",IF(D4&lt;0,"קלט לא תקין",IF(ISBLANK(E4),"",IF(OR(E4="כלול",E4="לא רלוונטי"),0,IF(NOT(ISNUMBER(E4)),"קלט לא תקין",IF(E4&lt;0,"קלט לא תקין",ROUND(D4*E4,2))))))))</f>
        <v/>
      </c>
      <c r="G4" s="5" t="s">
        <v>215</v>
      </c>
      <c r="H4" s="5" t="s">
        <v>109</v>
      </c>
    </row>
    <row r="5" spans="1:8" x14ac:dyDescent="0.25">
      <c r="A5" s="5" t="s">
        <v>126</v>
      </c>
      <c r="E5" s="7"/>
      <c r="F5" s="9">
        <f>SUM(F4)</f>
        <v>0</v>
      </c>
      <c r="H5" s="5" t="s">
        <v>127</v>
      </c>
    </row>
  </sheetData>
  <dataValidations count="2">
    <dataValidation type="decimal" operator="greaterThanOrEqual" allowBlank="1" showErrorMessage="1" error="יש להזין מספר לא שלילי" sqref="D4">
      <formula1>0</formula1>
    </dataValidation>
    <dataValidation type="custom" allowBlank="1" showErrorMessage="1" error="מספר לא שלילי, כלול או לא רלוונטי בלבד" sqref="E4">
      <formula1>OR(ISBLANK(E4),AND(ISNUMBER(E4),E4&gt;=0),E4="כלול",E4="לא רלוונטי")</formula1>
    </dataValidation>
  </dataValidations>
  <pageMargins left="0.25" right="0.25" top="0.75" bottom="0.75" header="0" footer="0"/>
  <pageSetup paperSize="9" orientation="portrait" fitToWidth="1" fitToHeight="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5"/>
  <sheetViews>
    <sheetView workbookViewId="0" rightToLeft="1"/>
  </sheetViews>
  <sheetFormatPr defaultRowHeight="15" outlineLevelRow="0" outlineLevelCol="0" x14ac:dyDescent="55"/>
  <cols>
    <col min="1" max="1" width="7.29" customWidth="1"/>
    <col min="2" max="2" width="66.29" customWidth="1"/>
    <col min="3" max="4" width="8.14" customWidth="1"/>
    <col min="5" max="6" width="8.14" style="7" customWidth="1"/>
    <col min="7" max="7" width="36" hidden="1" customWidth="1"/>
    <col min="8" max="8" width="12" hidden="1" customWidth="1"/>
  </cols>
  <sheetData>
    <row r="1" spans="1:8" x14ac:dyDescent="0.25">
      <c r="A1" s="1" t="s">
        <v>216</v>
      </c>
      <c r="E1" s="7"/>
      <c r="F1" s="7"/>
      <c r="G1" s="1" t="s">
        <v>42</v>
      </c>
      <c r="H1" s="1" t="s">
        <v>94</v>
      </c>
    </row>
    <row r="2" spans="1:8" x14ac:dyDescent="0.25">
      <c r="A2" s="3" t="s">
        <v>95</v>
      </c>
      <c r="B2" s="4" t="s">
        <v>96</v>
      </c>
      <c r="C2" s="3" t="s">
        <v>97</v>
      </c>
      <c r="D2" s="3" t="s">
        <v>98</v>
      </c>
      <c r="E2" s="8" t="s">
        <v>99</v>
      </c>
      <c r="F2" s="8" t="s">
        <v>100</v>
      </c>
      <c r="G2" s="3" t="s">
        <v>101</v>
      </c>
      <c r="H2" s="3" t="s">
        <v>102</v>
      </c>
    </row>
    <row r="3" spans="1:8" x14ac:dyDescent="0.25">
      <c r="B3" s="6" t="s">
        <v>217</v>
      </c>
      <c r="E3" s="7"/>
      <c r="F3" s="7"/>
      <c r="G3" s="5" t="s">
        <v>218</v>
      </c>
      <c r="H3" s="5" t="s">
        <v>105</v>
      </c>
    </row>
    <row r="4" spans="1:8" x14ac:dyDescent="0.25">
      <c r="A4" s="5" t="s">
        <v>219</v>
      </c>
      <c r="B4" s="6" t="s">
        <v>220</v>
      </c>
      <c r="C4" s="5" t="s">
        <v>107</v>
      </c>
      <c r="E4" s="7"/>
      <c r="F4" s="9" t="str">
        <f>IF(ISBLANK(D4),"",IF(NOT(ISNUMBER(D4)),"קלט לא תקין",IF(D4&lt;0,"קלט לא תקין",IF(ISBLANK(E4),"",IF(OR(E4="כלול",E4="לא רלוונטי"),0,IF(NOT(ISNUMBER(E4)),"קלט לא תקין",IF(E4&lt;0,"קלט לא תקין",ROUND(D4*E4,2))))))))</f>
        <v/>
      </c>
      <c r="G4" s="5" t="s">
        <v>221</v>
      </c>
      <c r="H4" s="5" t="s">
        <v>109</v>
      </c>
    </row>
    <row r="5" spans="1:8" x14ac:dyDescent="0.25">
      <c r="A5" s="5" t="s">
        <v>126</v>
      </c>
      <c r="E5" s="7"/>
      <c r="F5" s="9">
        <f>SUM(F4)</f>
        <v>0</v>
      </c>
      <c r="H5" s="5" t="s">
        <v>127</v>
      </c>
    </row>
  </sheetData>
  <dataValidations count="2">
    <dataValidation type="decimal" operator="greaterThanOrEqual" allowBlank="1" showErrorMessage="1" error="יש להזין מספר לא שלילי" sqref="D4">
      <formula1>0</formula1>
    </dataValidation>
    <dataValidation type="custom" allowBlank="1" showErrorMessage="1" error="מספר לא שלילי, כלול או לא רלוונטי בלבד" sqref="E4">
      <formula1>OR(ISBLANK(E4),AND(ISNUMBER(E4),E4&gt;=0),E4="כלול",E4="לא רלוונטי")</formula1>
    </dataValidation>
  </dataValidations>
  <pageMargins left="0.25" right="0.25" top="0.75" bottom="0.75" header="0" footer="0"/>
  <pageSetup paperSize="9" orientation="portrait" fitToWidth="1" fitToHeight="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5"/>
  <sheetViews>
    <sheetView workbookViewId="0" rightToLeft="1"/>
  </sheetViews>
  <sheetFormatPr defaultRowHeight="15" outlineLevelRow="0" outlineLevelCol="0" x14ac:dyDescent="55"/>
  <cols>
    <col min="1" max="1" width="7.29" customWidth="1"/>
    <col min="2" max="2" width="66.29" customWidth="1"/>
    <col min="3" max="4" width="8.14" customWidth="1"/>
    <col min="5" max="6" width="8.14" style="7" customWidth="1"/>
    <col min="7" max="7" width="36" hidden="1" customWidth="1"/>
    <col min="8" max="8" width="12" hidden="1" customWidth="1"/>
  </cols>
  <sheetData>
    <row r="1" spans="1:8" x14ac:dyDescent="0.25">
      <c r="A1" s="1" t="s">
        <v>222</v>
      </c>
      <c r="E1" s="7"/>
      <c r="F1" s="7"/>
      <c r="G1" s="1" t="s">
        <v>45</v>
      </c>
      <c r="H1" s="1" t="s">
        <v>94</v>
      </c>
    </row>
    <row r="2" spans="1:8" x14ac:dyDescent="0.25">
      <c r="A2" s="3" t="s">
        <v>95</v>
      </c>
      <c r="B2" s="4" t="s">
        <v>96</v>
      </c>
      <c r="C2" s="3" t="s">
        <v>97</v>
      </c>
      <c r="D2" s="3" t="s">
        <v>98</v>
      </c>
      <c r="E2" s="8" t="s">
        <v>99</v>
      </c>
      <c r="F2" s="8" t="s">
        <v>100</v>
      </c>
      <c r="G2" s="3" t="s">
        <v>101</v>
      </c>
      <c r="H2" s="3" t="s">
        <v>102</v>
      </c>
    </row>
    <row r="3" spans="1:8" x14ac:dyDescent="0.25">
      <c r="B3" s="6" t="s">
        <v>223</v>
      </c>
      <c r="E3" s="7"/>
      <c r="F3" s="7"/>
      <c r="G3" s="5" t="s">
        <v>224</v>
      </c>
      <c r="H3" s="5" t="s">
        <v>105</v>
      </c>
    </row>
    <row r="4" spans="1:8" x14ac:dyDescent="0.25">
      <c r="A4" s="5" t="s">
        <v>225</v>
      </c>
      <c r="B4" s="6" t="s">
        <v>226</v>
      </c>
      <c r="C4" s="5" t="s">
        <v>122</v>
      </c>
      <c r="E4" s="7"/>
      <c r="F4" s="9" t="str">
        <f>IF(ISBLANK(D4),"",IF(NOT(ISNUMBER(D4)),"קלט לא תקין",IF(D4&lt;0,"קלט לא תקין",IF(ISBLANK(E4),"",IF(OR(E4="כלול",E4="לא רלוונטי"),0,IF(NOT(ISNUMBER(E4)),"קלט לא תקין",IF(E4&lt;0,"קלט לא תקין",ROUND(D4*E4,2))))))))</f>
        <v/>
      </c>
      <c r="G4" s="5" t="s">
        <v>227</v>
      </c>
      <c r="H4" s="5" t="s">
        <v>109</v>
      </c>
    </row>
    <row r="5" spans="1:8" x14ac:dyDescent="0.25">
      <c r="A5" s="5" t="s">
        <v>126</v>
      </c>
      <c r="E5" s="7"/>
      <c r="F5" s="9">
        <f>SUM(F4)</f>
        <v>0</v>
      </c>
      <c r="H5" s="5" t="s">
        <v>127</v>
      </c>
    </row>
  </sheetData>
  <dataValidations count="2">
    <dataValidation type="decimal" operator="greaterThanOrEqual" allowBlank="1" showErrorMessage="1" error="יש להזין מספר לא שלילי" sqref="D4">
      <formula1>0</formula1>
    </dataValidation>
    <dataValidation type="custom" allowBlank="1" showErrorMessage="1" error="מספר לא שלילי, כלול או לא רלוונטי בלבד" sqref="E4">
      <formula1>OR(ISBLANK(E4),AND(ISNUMBER(E4),E4&gt;=0),E4="כלול",E4="לא רלוונטי")</formula1>
    </dataValidation>
  </dataValidations>
  <pageMargins left="0.25" right="0.25" top="0.75" bottom="0.75" header="0" footer="0"/>
  <pageSetup paperSize="9" orientation="portrait" fitToWidth="1" fitToHeight="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8"/>
  <sheetViews>
    <sheetView workbookViewId="0" rightToLeft="1"/>
  </sheetViews>
  <sheetFormatPr defaultRowHeight="15" outlineLevelRow="0" outlineLevelCol="0" x14ac:dyDescent="55"/>
  <cols>
    <col min="1" max="1" width="7.29" customWidth="1"/>
    <col min="2" max="2" width="66.29" customWidth="1"/>
    <col min="3" max="4" width="8.14" customWidth="1"/>
    <col min="5" max="6" width="8.14" style="7" customWidth="1"/>
    <col min="7" max="7" width="36" hidden="1" customWidth="1"/>
    <col min="8" max="8" width="12" hidden="1" customWidth="1"/>
  </cols>
  <sheetData>
    <row r="1" spans="1:8" x14ac:dyDescent="0.25">
      <c r="A1" s="1" t="s">
        <v>228</v>
      </c>
      <c r="E1" s="7"/>
      <c r="F1" s="7"/>
      <c r="G1" s="1" t="s">
        <v>48</v>
      </c>
      <c r="H1" s="1" t="s">
        <v>94</v>
      </c>
    </row>
    <row r="2" spans="1:8" x14ac:dyDescent="0.25">
      <c r="A2" s="3" t="s">
        <v>95</v>
      </c>
      <c r="B2" s="4" t="s">
        <v>96</v>
      </c>
      <c r="C2" s="3" t="s">
        <v>97</v>
      </c>
      <c r="D2" s="3" t="s">
        <v>98</v>
      </c>
      <c r="E2" s="8" t="s">
        <v>99</v>
      </c>
      <c r="F2" s="8" t="s">
        <v>100</v>
      </c>
      <c r="G2" s="3" t="s">
        <v>101</v>
      </c>
      <c r="H2" s="3" t="s">
        <v>102</v>
      </c>
    </row>
    <row r="3" spans="1:8" x14ac:dyDescent="0.25">
      <c r="B3" s="6" t="s">
        <v>229</v>
      </c>
      <c r="E3" s="7"/>
      <c r="F3" s="7"/>
      <c r="G3" s="5" t="s">
        <v>230</v>
      </c>
      <c r="H3" s="5" t="s">
        <v>105</v>
      </c>
    </row>
    <row r="4" spans="1:8" x14ac:dyDescent="0.25">
      <c r="A4" s="5" t="s">
        <v>231</v>
      </c>
      <c r="B4" s="6" t="s">
        <v>232</v>
      </c>
      <c r="C4" s="5" t="s">
        <v>107</v>
      </c>
      <c r="E4" s="7"/>
      <c r="F4" s="9" t="str">
        <f>IF(ISBLANK(D4),"",IF(NOT(ISNUMBER(D4)),"קלט לא תקין",IF(D4&lt;0,"קלט לא תקין",IF(ISBLANK(E4),"",IF(OR(E4="כלול",E4="לא רלוונטי"),0,IF(NOT(ISNUMBER(E4)),"קלט לא תקין",IF(E4&lt;0,"קלט לא תקין",ROUND(D4*E4,2))))))))</f>
        <v/>
      </c>
      <c r="G4" s="5" t="s">
        <v>233</v>
      </c>
      <c r="H4" s="5" t="s">
        <v>109</v>
      </c>
    </row>
    <row r="5" spans="1:8" x14ac:dyDescent="0.25">
      <c r="A5" s="5" t="s">
        <v>234</v>
      </c>
      <c r="B5" s="6" t="s">
        <v>235</v>
      </c>
      <c r="C5" s="5" t="s">
        <v>107</v>
      </c>
      <c r="E5" s="7"/>
      <c r="F5" s="9" t="str">
        <f>IF(ISBLANK(D5),"",IF(NOT(ISNUMBER(D5)),"קלט לא תקין",IF(D5&lt;0,"קלט לא תקין",IF(ISBLANK(E5),"",IF(OR(E5="כלול",E5="לא רלוונטי"),0,IF(NOT(ISNUMBER(E5)),"קלט לא תקין",IF(E5&lt;0,"קלט לא תקין",ROUND(D5*E5,2))))))))</f>
        <v/>
      </c>
      <c r="G5" s="5" t="s">
        <v>236</v>
      </c>
      <c r="H5" s="5" t="s">
        <v>109</v>
      </c>
    </row>
    <row r="6" spans="1:8" x14ac:dyDescent="0.25">
      <c r="A6" s="5" t="s">
        <v>237</v>
      </c>
      <c r="B6" s="6" t="s">
        <v>238</v>
      </c>
      <c r="C6" s="5" t="s">
        <v>107</v>
      </c>
      <c r="E6" s="7"/>
      <c r="F6" s="9" t="str">
        <f>IF(ISBLANK(D6),"",IF(NOT(ISNUMBER(D6)),"קלט לא תקין",IF(D6&lt;0,"קלט לא תקין",IF(ISBLANK(E6),"",IF(OR(E6="כלול",E6="לא רלוונטי"),0,IF(NOT(ISNUMBER(E6)),"קלט לא תקין",IF(E6&lt;0,"קלט לא תקין",ROUND(D6*E6,2))))))))</f>
        <v/>
      </c>
      <c r="G6" s="5" t="s">
        <v>239</v>
      </c>
      <c r="H6" s="5" t="s">
        <v>109</v>
      </c>
    </row>
    <row r="7" spans="1:8" x14ac:dyDescent="0.25">
      <c r="A7" s="5" t="s">
        <v>240</v>
      </c>
      <c r="B7" s="6" t="s">
        <v>241</v>
      </c>
      <c r="C7" s="5" t="s">
        <v>139</v>
      </c>
      <c r="E7" s="7"/>
      <c r="F7" s="9" t="str">
        <f>IF(ISBLANK(D7),"",IF(NOT(ISNUMBER(D7)),"קלט לא תקין",IF(D7&lt;0,"קלט לא תקין",IF(ISBLANK(E7),"",IF(OR(E7="כלול",E7="לא רלוונטי"),0,IF(NOT(ISNUMBER(E7)),"קלט לא תקין",IF(E7&lt;0,"קלט לא תקין",ROUND(D7*E7,2))))))))</f>
        <v/>
      </c>
      <c r="G7" s="5" t="s">
        <v>242</v>
      </c>
      <c r="H7" s="5" t="s">
        <v>109</v>
      </c>
    </row>
    <row r="8" spans="1:8" x14ac:dyDescent="0.25">
      <c r="A8" s="5" t="s">
        <v>126</v>
      </c>
      <c r="E8" s="7"/>
      <c r="F8" s="9">
        <f>SUM(F4,F5,F6,F7)</f>
        <v>0</v>
      </c>
      <c r="H8" s="5" t="s">
        <v>127</v>
      </c>
    </row>
  </sheetData>
  <dataValidations count="5">
    <dataValidation type="decimal" operator="greaterThanOrEqual" allowBlank="1" showErrorMessage="1" error="יש להזין מספר לא שלילי" sqref="D4:D7">
      <formula1>0</formula1>
    </dataValidation>
    <dataValidation type="custom" allowBlank="1" showErrorMessage="1" error="מספר לא שלילי, כלול או לא רלוונטי בלבד" sqref="E4">
      <formula1>OR(ISBLANK(E4),AND(ISNUMBER(E4),E4&gt;=0),E4="כלול",E4="לא רלוונטי")</formula1>
    </dataValidation>
    <dataValidation type="custom" allowBlank="1" showErrorMessage="1" error="מספר לא שלילי, כלול או לא רלוונטי בלבד" sqref="E5">
      <formula1>OR(ISBLANK(E5),AND(ISNUMBER(E5),E5&gt;=0),E5="כלול",E5="לא רלוונטי")</formula1>
    </dataValidation>
    <dataValidation type="custom" allowBlank="1" showErrorMessage="1" error="מספר לא שלילי, כלול או לא רלוונטי בלבד" sqref="E6">
      <formula1>OR(ISBLANK(E6),AND(ISNUMBER(E6),E6&gt;=0),E6="כלול",E6="לא רלוונטי")</formula1>
    </dataValidation>
    <dataValidation type="custom" allowBlank="1" showErrorMessage="1" error="מספר לא שלילי, כלול או לא רלוונטי בלבד" sqref="E7">
      <formula1>OR(ISBLANK(E7),AND(ISNUMBER(E7),E7&gt;=0),E7="כלול",E7="לא רלוונטי")</formula1>
    </dataValidation>
  </dataValidations>
  <pageMargins left="0.25" right="0.25" top="0.75" bottom="0.75" header="0" footer="0"/>
  <pageSetup paperSize="9" orientation="portrait" fitToWidth="1" fitToHeight="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8"/>
  <sheetViews>
    <sheetView workbookViewId="0" rightToLeft="1"/>
  </sheetViews>
  <sheetFormatPr defaultRowHeight="15" outlineLevelRow="0" outlineLevelCol="0" x14ac:dyDescent="55"/>
  <cols>
    <col min="1" max="1" width="7.29" customWidth="1"/>
    <col min="2" max="2" width="66.29" customWidth="1"/>
    <col min="3" max="4" width="8.14" customWidth="1"/>
    <col min="5" max="6" width="8.14" style="7" customWidth="1"/>
    <col min="7" max="7" width="36" hidden="1" customWidth="1"/>
    <col min="8" max="8" width="12" hidden="1" customWidth="1"/>
  </cols>
  <sheetData>
    <row r="1" spans="1:8" x14ac:dyDescent="0.25">
      <c r="A1" s="1" t="s">
        <v>243</v>
      </c>
      <c r="E1" s="7"/>
      <c r="F1" s="7"/>
      <c r="G1" s="1" t="s">
        <v>51</v>
      </c>
      <c r="H1" s="1" t="s">
        <v>94</v>
      </c>
    </row>
    <row r="2" spans="1:8" x14ac:dyDescent="0.25">
      <c r="A2" s="3" t="s">
        <v>95</v>
      </c>
      <c r="B2" s="4" t="s">
        <v>96</v>
      </c>
      <c r="C2" s="3" t="s">
        <v>97</v>
      </c>
      <c r="D2" s="3" t="s">
        <v>98</v>
      </c>
      <c r="E2" s="8" t="s">
        <v>99</v>
      </c>
      <c r="F2" s="8" t="s">
        <v>100</v>
      </c>
      <c r="G2" s="3" t="s">
        <v>101</v>
      </c>
      <c r="H2" s="3" t="s">
        <v>102</v>
      </c>
    </row>
    <row r="3" spans="1:8" x14ac:dyDescent="0.25">
      <c r="B3" s="6" t="s">
        <v>244</v>
      </c>
      <c r="E3" s="7"/>
      <c r="F3" s="7"/>
      <c r="G3" s="5" t="s">
        <v>245</v>
      </c>
      <c r="H3" s="5" t="s">
        <v>105</v>
      </c>
    </row>
    <row r="4" spans="1:8" x14ac:dyDescent="0.25">
      <c r="A4" s="5" t="s">
        <v>246</v>
      </c>
      <c r="B4" s="6" t="s">
        <v>247</v>
      </c>
      <c r="C4" s="5" t="s">
        <v>107</v>
      </c>
      <c r="E4" s="7"/>
      <c r="F4" s="9" t="str">
        <f>IF(ISBLANK(D4),"",IF(NOT(ISNUMBER(D4)),"קלט לא תקין",IF(D4&lt;0,"קלט לא תקין",IF(ISBLANK(E4),"",IF(OR(E4="כלול",E4="לא רלוונטי"),0,IF(NOT(ISNUMBER(E4)),"קלט לא תקין",IF(E4&lt;0,"קלט לא תקין",ROUND(D4*E4,2))))))))</f>
        <v/>
      </c>
      <c r="G4" s="5" t="s">
        <v>248</v>
      </c>
      <c r="H4" s="5" t="s">
        <v>109</v>
      </c>
    </row>
    <row r="5" spans="1:8" x14ac:dyDescent="0.25">
      <c r="A5" s="5" t="s">
        <v>249</v>
      </c>
      <c r="B5" s="6" t="s">
        <v>250</v>
      </c>
      <c r="C5" s="5" t="s">
        <v>139</v>
      </c>
      <c r="E5" s="7"/>
      <c r="F5" s="9" t="str">
        <f>IF(ISBLANK(D5),"",IF(NOT(ISNUMBER(D5)),"קלט לא תקין",IF(D5&lt;0,"קלט לא תקין",IF(ISBLANK(E5),"",IF(OR(E5="כלול",E5="לא רלוונטי"),0,IF(NOT(ISNUMBER(E5)),"קלט לא תקין",IF(E5&lt;0,"קלט לא תקין",ROUND(D5*E5,2))))))))</f>
        <v/>
      </c>
      <c r="G5" s="5" t="s">
        <v>251</v>
      </c>
      <c r="H5" s="5" t="s">
        <v>109</v>
      </c>
    </row>
    <row r="6" spans="1:8" x14ac:dyDescent="0.25">
      <c r="A6" s="5" t="s">
        <v>252</v>
      </c>
      <c r="B6" s="6" t="s">
        <v>253</v>
      </c>
      <c r="C6" s="5" t="s">
        <v>107</v>
      </c>
      <c r="E6" s="7"/>
      <c r="F6" s="9" t="str">
        <f>IF(ISBLANK(D6),"",IF(NOT(ISNUMBER(D6)),"קלט לא תקין",IF(D6&lt;0,"קלט לא תקין",IF(ISBLANK(E6),"",IF(OR(E6="כלול",E6="לא רלוונטי"),0,IF(NOT(ISNUMBER(E6)),"קלט לא תקין",IF(E6&lt;0,"קלט לא תקין",ROUND(D6*E6,2))))))))</f>
        <v/>
      </c>
      <c r="G6" s="5" t="s">
        <v>254</v>
      </c>
      <c r="H6" s="5" t="s">
        <v>109</v>
      </c>
    </row>
    <row r="7" spans="1:8" x14ac:dyDescent="0.25">
      <c r="A7" s="5" t="s">
        <v>255</v>
      </c>
      <c r="B7" s="6" t="s">
        <v>256</v>
      </c>
      <c r="C7" s="5" t="s">
        <v>107</v>
      </c>
      <c r="E7" s="7"/>
      <c r="F7" s="9" t="str">
        <f>IF(ISBLANK(D7),"",IF(NOT(ISNUMBER(D7)),"קלט לא תקין",IF(D7&lt;0,"קלט לא תקין",IF(ISBLANK(E7),"",IF(OR(E7="כלול",E7="לא רלוונטי"),0,IF(NOT(ISNUMBER(E7)),"קלט לא תקין",IF(E7&lt;0,"קלט לא תקין",ROUND(D7*E7,2))))))))</f>
        <v/>
      </c>
      <c r="G7" s="5" t="s">
        <v>257</v>
      </c>
      <c r="H7" s="5" t="s">
        <v>109</v>
      </c>
    </row>
    <row r="8" spans="1:8" x14ac:dyDescent="0.25">
      <c r="A8" s="5" t="s">
        <v>126</v>
      </c>
      <c r="E8" s="7"/>
      <c r="F8" s="9">
        <f>SUM(F4,F5,F6,F7)</f>
        <v>0</v>
      </c>
      <c r="H8" s="5" t="s">
        <v>127</v>
      </c>
    </row>
  </sheetData>
  <dataValidations count="5">
    <dataValidation type="decimal" operator="greaterThanOrEqual" allowBlank="1" showErrorMessage="1" error="יש להזין מספר לא שלילי" sqref="D4:D7">
      <formula1>0</formula1>
    </dataValidation>
    <dataValidation type="custom" allowBlank="1" showErrorMessage="1" error="מספר לא שלילי, כלול או לא רלוונטי בלבד" sqref="E4">
      <formula1>OR(ISBLANK(E4),AND(ISNUMBER(E4),E4&gt;=0),E4="כלול",E4="לא רלוונטי")</formula1>
    </dataValidation>
    <dataValidation type="custom" allowBlank="1" showErrorMessage="1" error="מספר לא שלילי, כלול או לא רלוונטי בלבד" sqref="E5">
      <formula1>OR(ISBLANK(E5),AND(ISNUMBER(E5),E5&gt;=0),E5="כלול",E5="לא רלוונטי")</formula1>
    </dataValidation>
    <dataValidation type="custom" allowBlank="1" showErrorMessage="1" error="מספר לא שלילי, כלול או לא רלוונטי בלבד" sqref="E6">
      <formula1>OR(ISBLANK(E6),AND(ISNUMBER(E6),E6&gt;=0),E6="כלול",E6="לא רלוונטי")</formula1>
    </dataValidation>
    <dataValidation type="custom" allowBlank="1" showErrorMessage="1" error="מספר לא שלילי, כלול או לא רלוונטי בלבד" sqref="E7">
      <formula1>OR(ISBLANK(E7),AND(ISNUMBER(E7),E7&gt;=0),E7="כלול",E7="לא רלוונטי")</formula1>
    </dataValidation>
  </dataValidations>
  <pageMargins left="0.25" right="0.25" top="0.75" bottom="0.75" header="0" footer="0"/>
  <pageSetup paperSize="9" orientation="portrait" fitToWidth="1" fitToHeight="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7"/>
  <sheetViews>
    <sheetView workbookViewId="0" rightToLeft="1"/>
  </sheetViews>
  <sheetFormatPr defaultRowHeight="15" outlineLevelRow="0" outlineLevelCol="0" x14ac:dyDescent="55"/>
  <cols>
    <col min="1" max="1" width="7.29" customWidth="1"/>
    <col min="2" max="2" width="66.29" customWidth="1"/>
    <col min="3" max="4" width="8.14" customWidth="1"/>
    <col min="5" max="6" width="8.14" style="7" customWidth="1"/>
    <col min="7" max="7" width="36" hidden="1" customWidth="1"/>
    <col min="8" max="8" width="12" hidden="1" customWidth="1"/>
  </cols>
  <sheetData>
    <row r="1" spans="1:8" x14ac:dyDescent="0.25">
      <c r="A1" s="1" t="s">
        <v>258</v>
      </c>
      <c r="E1" s="7"/>
      <c r="F1" s="7"/>
      <c r="G1" s="1" t="s">
        <v>54</v>
      </c>
      <c r="H1" s="1" t="s">
        <v>94</v>
      </c>
    </row>
    <row r="2" spans="1:8" x14ac:dyDescent="0.25">
      <c r="A2" s="3" t="s">
        <v>95</v>
      </c>
      <c r="B2" s="4" t="s">
        <v>96</v>
      </c>
      <c r="C2" s="3" t="s">
        <v>97</v>
      </c>
      <c r="D2" s="3" t="s">
        <v>98</v>
      </c>
      <c r="E2" s="8" t="s">
        <v>99</v>
      </c>
      <c r="F2" s="8" t="s">
        <v>100</v>
      </c>
      <c r="G2" s="3" t="s">
        <v>101</v>
      </c>
      <c r="H2" s="3" t="s">
        <v>102</v>
      </c>
    </row>
    <row r="3" spans="1:8" x14ac:dyDescent="0.25">
      <c r="B3" s="6" t="s">
        <v>259</v>
      </c>
      <c r="E3" s="7"/>
      <c r="F3" s="7"/>
      <c r="G3" s="5" t="s">
        <v>260</v>
      </c>
      <c r="H3" s="5" t="s">
        <v>105</v>
      </c>
    </row>
    <row r="4" spans="1:8" x14ac:dyDescent="0.25">
      <c r="A4" s="5" t="s">
        <v>261</v>
      </c>
      <c r="B4" s="6" t="s">
        <v>262</v>
      </c>
      <c r="C4" s="5" t="s">
        <v>107</v>
      </c>
      <c r="E4" s="7"/>
      <c r="F4" s="9" t="str">
        <f>IF(ISBLANK(D4),"",IF(NOT(ISNUMBER(D4)),"קלט לא תקין",IF(D4&lt;0,"קלט לא תקין",IF(ISBLANK(E4),"",IF(OR(E4="כלול",E4="לא רלוונטי"),0,IF(NOT(ISNUMBER(E4)),"קלט לא תקין",IF(E4&lt;0,"קלט לא תקין",ROUND(D4*E4,2))))))))</f>
        <v/>
      </c>
      <c r="G4" s="5" t="s">
        <v>263</v>
      </c>
      <c r="H4" s="5" t="s">
        <v>109</v>
      </c>
    </row>
    <row r="5" spans="1:8" x14ac:dyDescent="0.25">
      <c r="A5" s="5" t="s">
        <v>264</v>
      </c>
      <c r="B5" s="6" t="s">
        <v>265</v>
      </c>
      <c r="C5" s="5" t="s">
        <v>107</v>
      </c>
      <c r="E5" s="7"/>
      <c r="F5" s="9" t="str">
        <f>IF(ISBLANK(D5),"",IF(NOT(ISNUMBER(D5)),"קלט לא תקין",IF(D5&lt;0,"קלט לא תקין",IF(ISBLANK(E5),"",IF(OR(E5="כלול",E5="לא רלוונטי"),0,IF(NOT(ISNUMBER(E5)),"קלט לא תקין",IF(E5&lt;0,"קלט לא תקין",ROUND(D5*E5,2))))))))</f>
        <v/>
      </c>
      <c r="G5" s="5" t="s">
        <v>266</v>
      </c>
      <c r="H5" s="5" t="s">
        <v>109</v>
      </c>
    </row>
    <row r="6" spans="1:8" x14ac:dyDescent="0.25">
      <c r="A6" s="5" t="s">
        <v>267</v>
      </c>
      <c r="B6" s="6" t="s">
        <v>268</v>
      </c>
      <c r="C6" s="5" t="s">
        <v>107</v>
      </c>
      <c r="E6" s="7"/>
      <c r="F6" s="9" t="str">
        <f>IF(ISBLANK(D6),"",IF(NOT(ISNUMBER(D6)),"קלט לא תקין",IF(D6&lt;0,"קלט לא תקין",IF(ISBLANK(E6),"",IF(OR(E6="כלול",E6="לא רלוונטי"),0,IF(NOT(ISNUMBER(E6)),"קלט לא תקין",IF(E6&lt;0,"קלט לא תקין",ROUND(D6*E6,2))))))))</f>
        <v/>
      </c>
      <c r="G6" s="5" t="s">
        <v>269</v>
      </c>
      <c r="H6" s="5" t="s">
        <v>109</v>
      </c>
    </row>
    <row r="7" spans="1:8" x14ac:dyDescent="0.25">
      <c r="A7" s="5" t="s">
        <v>126</v>
      </c>
      <c r="E7" s="7"/>
      <c r="F7" s="9">
        <f>SUM(F4,F5,F6)</f>
        <v>0</v>
      </c>
      <c r="H7" s="5" t="s">
        <v>127</v>
      </c>
    </row>
  </sheetData>
  <dataValidations count="4">
    <dataValidation type="decimal" operator="greaterThanOrEqual" allowBlank="1" showErrorMessage="1" error="יש להזין מספר לא שלילי" sqref="D4:D6">
      <formula1>0</formula1>
    </dataValidation>
    <dataValidation type="custom" allowBlank="1" showErrorMessage="1" error="מספר לא שלילי, כלול או לא רלוונטי בלבד" sqref="E4">
      <formula1>OR(ISBLANK(E4),AND(ISNUMBER(E4),E4&gt;=0),E4="כלול",E4="לא רלוונטי")</formula1>
    </dataValidation>
    <dataValidation type="custom" allowBlank="1" showErrorMessage="1" error="מספר לא שלילי, כלול או לא רלוונטי בלבד" sqref="E5">
      <formula1>OR(ISBLANK(E5),AND(ISNUMBER(E5),E5&gt;=0),E5="כלול",E5="לא רלוונטי")</formula1>
    </dataValidation>
    <dataValidation type="custom" allowBlank="1" showErrorMessage="1" error="מספר לא שלילי, כלול או לא רלוונטי בלבד" sqref="E6">
      <formula1>OR(ISBLANK(E6),AND(ISNUMBER(E6),E6&gt;=0),E6="כלול",E6="לא רלוונטי")</formula1>
    </dataValidation>
  </dataValidations>
  <pageMargins left="0.25" right="0.25" top="0.75" bottom="0.75" header="0" footer="0"/>
  <pageSetup paperSize="9" orientation="portrait" fitToWidth="1" fitToHeight="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6"/>
  <sheetViews>
    <sheetView workbookViewId="0" rightToLeft="1"/>
  </sheetViews>
  <sheetFormatPr defaultRowHeight="15" outlineLevelRow="0" outlineLevelCol="0" x14ac:dyDescent="55"/>
  <cols>
    <col min="1" max="1" width="7.29" customWidth="1"/>
    <col min="2" max="2" width="66.29" customWidth="1"/>
    <col min="3" max="4" width="8.14" customWidth="1"/>
    <col min="5" max="6" width="8.14" style="7" customWidth="1"/>
    <col min="7" max="7" width="36" hidden="1" customWidth="1"/>
    <col min="8" max="8" width="12" hidden="1" customWidth="1"/>
  </cols>
  <sheetData>
    <row r="1" spans="1:8" x14ac:dyDescent="0.25">
      <c r="A1" s="1" t="s">
        <v>270</v>
      </c>
      <c r="E1" s="7"/>
      <c r="F1" s="7"/>
      <c r="G1" s="1" t="s">
        <v>57</v>
      </c>
      <c r="H1" s="1" t="s">
        <v>94</v>
      </c>
    </row>
    <row r="2" spans="1:8" x14ac:dyDescent="0.25">
      <c r="A2" s="3" t="s">
        <v>95</v>
      </c>
      <c r="B2" s="4" t="s">
        <v>96</v>
      </c>
      <c r="C2" s="3" t="s">
        <v>97</v>
      </c>
      <c r="D2" s="3" t="s">
        <v>98</v>
      </c>
      <c r="E2" s="8" t="s">
        <v>99</v>
      </c>
      <c r="F2" s="8" t="s">
        <v>100</v>
      </c>
      <c r="G2" s="3" t="s">
        <v>101</v>
      </c>
      <c r="H2" s="3" t="s">
        <v>102</v>
      </c>
    </row>
    <row r="3" spans="1:8" x14ac:dyDescent="0.25">
      <c r="B3" s="6" t="s">
        <v>271</v>
      </c>
      <c r="E3" s="7"/>
      <c r="F3" s="7"/>
      <c r="G3" s="5" t="s">
        <v>272</v>
      </c>
      <c r="H3" s="5" t="s">
        <v>105</v>
      </c>
    </row>
    <row r="4" spans="1:8" x14ac:dyDescent="0.25">
      <c r="A4" s="5" t="s">
        <v>273</v>
      </c>
      <c r="B4" s="6" t="s">
        <v>274</v>
      </c>
      <c r="C4" s="5" t="s">
        <v>139</v>
      </c>
      <c r="E4" s="7"/>
      <c r="F4" s="9" t="str">
        <f>IF(ISBLANK(D4),"",IF(NOT(ISNUMBER(D4)),"קלט לא תקין",IF(D4&lt;0,"קלט לא תקין",IF(ISBLANK(E4),"",IF(OR(E4="כלול",E4="לא רלוונטי"),0,IF(NOT(ISNUMBER(E4)),"קלט לא תקין",IF(E4&lt;0,"קלט לא תקין",ROUND(D4*E4,2))))))))</f>
        <v/>
      </c>
      <c r="G4" s="5" t="s">
        <v>275</v>
      </c>
      <c r="H4" s="5" t="s">
        <v>109</v>
      </c>
    </row>
    <row r="5" spans="1:8" x14ac:dyDescent="0.25">
      <c r="A5" s="5" t="s">
        <v>276</v>
      </c>
      <c r="B5" s="6" t="s">
        <v>277</v>
      </c>
      <c r="C5" s="5" t="s">
        <v>139</v>
      </c>
      <c r="E5" s="7"/>
      <c r="F5" s="9" t="str">
        <f>IF(ISBLANK(D5),"",IF(NOT(ISNUMBER(D5)),"קלט לא תקין",IF(D5&lt;0,"קלט לא תקין",IF(ISBLANK(E5),"",IF(OR(E5="כלול",E5="לא רלוונטי"),0,IF(NOT(ISNUMBER(E5)),"קלט לא תקין",IF(E5&lt;0,"קלט לא תקין",ROUND(D5*E5,2))))))))</f>
        <v/>
      </c>
      <c r="G5" s="5" t="s">
        <v>278</v>
      </c>
      <c r="H5" s="5" t="s">
        <v>109</v>
      </c>
    </row>
    <row r="6" spans="1:8" x14ac:dyDescent="0.25">
      <c r="A6" s="5" t="s">
        <v>279</v>
      </c>
      <c r="B6" s="6" t="s">
        <v>280</v>
      </c>
      <c r="C6" s="5" t="s">
        <v>139</v>
      </c>
      <c r="E6" s="7"/>
      <c r="F6" s="9" t="str">
        <f>IF(ISBLANK(D6),"",IF(NOT(ISNUMBER(D6)),"קלט לא תקין",IF(D6&lt;0,"קלט לא תקין",IF(ISBLANK(E6),"",IF(OR(E6="כלול",E6="לא רלוונטי"),0,IF(NOT(ISNUMBER(E6)),"קלט לא תקין",IF(E6&lt;0,"קלט לא תקין",ROUND(D6*E6,2))))))))</f>
        <v/>
      </c>
      <c r="G6" s="5" t="s">
        <v>281</v>
      </c>
      <c r="H6" s="5" t="s">
        <v>109</v>
      </c>
    </row>
    <row r="7" spans="1:8" x14ac:dyDescent="0.25">
      <c r="A7" s="5" t="s">
        <v>282</v>
      </c>
      <c r="B7" s="6" t="s">
        <v>283</v>
      </c>
      <c r="C7" s="5" t="s">
        <v>122</v>
      </c>
      <c r="E7" s="7"/>
      <c r="F7" s="9" t="str">
        <f>IF(ISBLANK(D7),"",IF(NOT(ISNUMBER(D7)),"קלט לא תקין",IF(D7&lt;0,"קלט לא תקין",IF(ISBLANK(E7),"",IF(OR(E7="כלול",E7="לא רלוונטי"),0,IF(NOT(ISNUMBER(E7)),"קלט לא תקין",IF(E7&lt;0,"קלט לא תקין",ROUND(D7*E7,2))))))))</f>
        <v/>
      </c>
      <c r="G7" s="5" t="s">
        <v>284</v>
      </c>
      <c r="H7" s="5" t="s">
        <v>109</v>
      </c>
    </row>
    <row r="8" spans="1:8" x14ac:dyDescent="0.25">
      <c r="A8" s="5" t="s">
        <v>285</v>
      </c>
      <c r="B8" s="6" t="s">
        <v>286</v>
      </c>
      <c r="C8" s="5" t="s">
        <v>107</v>
      </c>
      <c r="E8" s="7"/>
      <c r="F8" s="9" t="str">
        <f>IF(ISBLANK(D8),"",IF(NOT(ISNUMBER(D8)),"קלט לא תקין",IF(D8&lt;0,"קלט לא תקין",IF(ISBLANK(E8),"",IF(OR(E8="כלול",E8="לא רלוונטי"),0,IF(NOT(ISNUMBER(E8)),"קלט לא תקין",IF(E8&lt;0,"קלט לא תקין",ROUND(D8*E8,2))))))))</f>
        <v/>
      </c>
      <c r="G8" s="5" t="s">
        <v>287</v>
      </c>
      <c r="H8" s="5" t="s">
        <v>109</v>
      </c>
    </row>
    <row r="9" spans="1:8" x14ac:dyDescent="0.25">
      <c r="A9" s="5" t="s">
        <v>288</v>
      </c>
      <c r="B9" s="6" t="s">
        <v>289</v>
      </c>
      <c r="C9" s="5" t="s">
        <v>122</v>
      </c>
      <c r="E9" s="7"/>
      <c r="F9" s="9" t="str">
        <f>IF(ISBLANK(D9),"",IF(NOT(ISNUMBER(D9)),"קלט לא תקין",IF(D9&lt;0,"קלט לא תקין",IF(ISBLANK(E9),"",IF(OR(E9="כלול",E9="לא רלוונטי"),0,IF(NOT(ISNUMBER(E9)),"קלט לא תקין",IF(E9&lt;0,"קלט לא תקין",ROUND(D9*E9,2))))))))</f>
        <v/>
      </c>
      <c r="G9" s="5" t="s">
        <v>290</v>
      </c>
      <c r="H9" s="5" t="s">
        <v>109</v>
      </c>
    </row>
    <row r="10" spans="1:8" x14ac:dyDescent="0.25">
      <c r="A10" s="5" t="s">
        <v>291</v>
      </c>
      <c r="B10" s="6" t="s">
        <v>292</v>
      </c>
      <c r="C10" s="5" t="s">
        <v>122</v>
      </c>
      <c r="E10" s="7"/>
      <c r="F10" s="9" t="str">
        <f>IF(ISBLANK(D10),"",IF(NOT(ISNUMBER(D10)),"קלט לא תקין",IF(D10&lt;0,"קלט לא תקין",IF(ISBLANK(E10),"",IF(OR(E10="כלול",E10="לא רלוונטי"),0,IF(NOT(ISNUMBER(E10)),"קלט לא תקין",IF(E10&lt;0,"קלט לא תקין",ROUND(D10*E10,2))))))))</f>
        <v/>
      </c>
      <c r="G10" s="5" t="s">
        <v>293</v>
      </c>
      <c r="H10" s="5" t="s">
        <v>109</v>
      </c>
    </row>
    <row r="11" spans="1:8" x14ac:dyDescent="0.25">
      <c r="A11" s="5" t="s">
        <v>294</v>
      </c>
      <c r="B11" s="6" t="s">
        <v>295</v>
      </c>
      <c r="C11" s="5" t="s">
        <v>122</v>
      </c>
      <c r="E11" s="7"/>
      <c r="F11" s="9" t="str">
        <f>IF(ISBLANK(D11),"",IF(NOT(ISNUMBER(D11)),"קלט לא תקין",IF(D11&lt;0,"קלט לא תקין",IF(ISBLANK(E11),"",IF(OR(E11="כלול",E11="לא רלוונטי"),0,IF(NOT(ISNUMBER(E11)),"קלט לא תקין",IF(E11&lt;0,"קלט לא תקין",ROUND(D11*E11,2))))))))</f>
        <v/>
      </c>
      <c r="G11" s="5" t="s">
        <v>296</v>
      </c>
      <c r="H11" s="5" t="s">
        <v>109</v>
      </c>
    </row>
    <row r="12" spans="1:8" x14ac:dyDescent="0.25">
      <c r="B12" s="6" t="s">
        <v>297</v>
      </c>
      <c r="E12" s="7"/>
      <c r="F12" s="7"/>
      <c r="G12" s="5" t="s">
        <v>298</v>
      </c>
      <c r="H12" s="5" t="s">
        <v>105</v>
      </c>
    </row>
    <row r="13" spans="1:8" x14ac:dyDescent="0.25">
      <c r="A13" s="5" t="s">
        <v>299</v>
      </c>
      <c r="B13" s="6" t="s">
        <v>300</v>
      </c>
      <c r="C13" s="5" t="s">
        <v>122</v>
      </c>
      <c r="E13" s="7"/>
      <c r="F13" s="9" t="str">
        <f>IF(ISBLANK(D13),"",IF(NOT(ISNUMBER(D13)),"קלט לא תקין",IF(D13&lt;0,"קלט לא תקין",IF(ISBLANK(E13),"",IF(OR(E13="כלול",E13="לא רלוונטי"),0,IF(NOT(ISNUMBER(E13)),"קלט לא תקין",IF(E13&lt;0,"קלט לא תקין",ROUND(D13*E13,2))))))))</f>
        <v/>
      </c>
      <c r="G13" s="5" t="s">
        <v>301</v>
      </c>
      <c r="H13" s="5" t="s">
        <v>109</v>
      </c>
    </row>
    <row r="14" spans="1:8" x14ac:dyDescent="0.25">
      <c r="A14" s="5" t="s">
        <v>302</v>
      </c>
      <c r="B14" s="6" t="s">
        <v>303</v>
      </c>
      <c r="C14" s="5" t="s">
        <v>122</v>
      </c>
      <c r="E14" s="7"/>
      <c r="F14" s="9" t="str">
        <f>IF(ISBLANK(D14),"",IF(NOT(ISNUMBER(D14)),"קלט לא תקין",IF(D14&lt;0,"קלט לא תקין",IF(ISBLANK(E14),"",IF(OR(E14="כלול",E14="לא רלוונטי"),0,IF(NOT(ISNUMBER(E14)),"קלט לא תקין",IF(E14&lt;0,"קלט לא תקין",ROUND(D14*E14,2))))))))</f>
        <v/>
      </c>
      <c r="G14" s="5" t="s">
        <v>304</v>
      </c>
      <c r="H14" s="5" t="s">
        <v>109</v>
      </c>
    </row>
    <row r="15" spans="1:8" x14ac:dyDescent="0.25">
      <c r="A15" s="5" t="s">
        <v>305</v>
      </c>
      <c r="B15" s="6" t="s">
        <v>306</v>
      </c>
      <c r="C15" s="5" t="s">
        <v>122</v>
      </c>
      <c r="E15" s="7"/>
      <c r="F15" s="9" t="str">
        <f>IF(ISBLANK(D15),"",IF(NOT(ISNUMBER(D15)),"קלט לא תקין",IF(D15&lt;0,"קלט לא תקין",IF(ISBLANK(E15),"",IF(OR(E15="כלול",E15="לא רלוונטי"),0,IF(NOT(ISNUMBER(E15)),"קלט לא תקין",IF(E15&lt;0,"קלט לא תקין",ROUND(D15*E15,2))))))))</f>
        <v/>
      </c>
      <c r="G15" s="5" t="s">
        <v>307</v>
      </c>
      <c r="H15" s="5" t="s">
        <v>109</v>
      </c>
    </row>
    <row r="16" spans="1:8" x14ac:dyDescent="0.25">
      <c r="A16" s="5" t="s">
        <v>126</v>
      </c>
      <c r="E16" s="7"/>
      <c r="F16" s="9">
        <f>SUM(F4,F5,F6,F7,F8,F9,F10,F11,F13,F14,F15)</f>
        <v>0</v>
      </c>
      <c r="H16" s="5" t="s">
        <v>127</v>
      </c>
    </row>
  </sheetData>
  <dataValidations count="14">
    <dataValidation type="decimal" operator="greaterThanOrEqual" allowBlank="1" showErrorMessage="1" error="יש להזין מספר לא שלילי" sqref="D10:D11">
      <formula1>0</formula1>
    </dataValidation>
    <dataValidation type="decimal" operator="greaterThanOrEqual" allowBlank="1" showErrorMessage="1" error="יש להזין מספר לא שלילי" sqref="D13:D15">
      <formula1>0</formula1>
    </dataValidation>
    <dataValidation type="decimal" operator="greaterThanOrEqual" allowBlank="1" showErrorMessage="1" error="יש להזין מספר לא שלילי" sqref="D4:D11">
      <formula1>0</formula1>
    </dataValidation>
    <dataValidation type="custom" allowBlank="1" showErrorMessage="1" error="מספר לא שלילי, כלול או לא רלוונטי בלבד" sqref="E10">
      <formula1>OR(ISBLANK(E10),AND(ISNUMBER(E10),E10&gt;=0),E10="כלול",E10="לא רלוונטי")</formula1>
    </dataValidation>
    <dataValidation type="custom" allowBlank="1" showErrorMessage="1" error="מספר לא שלילי, כלול או לא רלוונטי בלבד" sqref="E11">
      <formula1>OR(ISBLANK(E11),AND(ISNUMBER(E11),E11&gt;=0),E11="כלול",E11="לא רלוונטי")</formula1>
    </dataValidation>
    <dataValidation type="custom" allowBlank="1" showErrorMessage="1" error="מספר לא שלילי, כלול או לא רלוונטי בלבד" sqref="E13">
      <formula1>OR(ISBLANK(E13),AND(ISNUMBER(E13),E13&gt;=0),E13="כלול",E13="לא רלוונטי")</formula1>
    </dataValidation>
    <dataValidation type="custom" allowBlank="1" showErrorMessage="1" error="מספר לא שלילי, כלול או לא רלוונטי בלבד" sqref="E14">
      <formula1>OR(ISBLANK(E14),AND(ISNUMBER(E14),E14&gt;=0),E14="כלול",E14="לא רלוונטי")</formula1>
    </dataValidation>
    <dataValidation type="custom" allowBlank="1" showErrorMessage="1" error="מספר לא שלילי, כלול או לא רלוונטי בלבד" sqref="E15">
      <formula1>OR(ISBLANK(E15),AND(ISNUMBER(E15),E15&gt;=0),E15="כלול",E15="לא רלוונטי")</formula1>
    </dataValidation>
    <dataValidation type="custom" allowBlank="1" showErrorMessage="1" error="מספר לא שלילי, כלול או לא רלוונטי בלבד" sqref="E4">
      <formula1>OR(ISBLANK(E4),AND(ISNUMBER(E4),E4&gt;=0),E4="כלול",E4="לא רלוונטי")</formula1>
    </dataValidation>
    <dataValidation type="custom" allowBlank="1" showErrorMessage="1" error="מספר לא שלילי, כלול או לא רלוונטי בלבד" sqref="E5">
      <formula1>OR(ISBLANK(E5),AND(ISNUMBER(E5),E5&gt;=0),E5="כלול",E5="לא רלוונטי")</formula1>
    </dataValidation>
    <dataValidation type="custom" allowBlank="1" showErrorMessage="1" error="מספר לא שלילי, כלול או לא רלוונטי בלבד" sqref="E6">
      <formula1>OR(ISBLANK(E6),AND(ISNUMBER(E6),E6&gt;=0),E6="כלול",E6="לא רלוונטי")</formula1>
    </dataValidation>
    <dataValidation type="custom" allowBlank="1" showErrorMessage="1" error="מספר לא שלילי, כלול או לא רלוונטי בלבד" sqref="E7">
      <formula1>OR(ISBLANK(E7),AND(ISNUMBER(E7),E7&gt;=0),E7="כלול",E7="לא רלוונטי")</formula1>
    </dataValidation>
    <dataValidation type="custom" allowBlank="1" showErrorMessage="1" error="מספר לא שלילי, כלול או לא רלוונטי בלבד" sqref="E8">
      <formula1>OR(ISBLANK(E8),AND(ISNUMBER(E8),E8&gt;=0),E8="כלול",E8="לא רלוונטי")</formula1>
    </dataValidation>
    <dataValidation type="custom" allowBlank="1" showErrorMessage="1" error="מספר לא שלילי, כלול או לא רלוונטי בלבד" sqref="E9">
      <formula1>OR(ISBLANK(E9),AND(ISNUMBER(E9),E9&gt;=0),E9="כלול",E9="לא רלוונטי")</formula1>
    </dataValidation>
  </dataValidations>
  <pageMargins left="0.25" right="0.25" top="0.75" bottom="0.75" header="0" footer="0"/>
  <pageSetup paperSize="9" orientation="portrait" fitToWidth="1" fitToHeight="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8"/>
  <sheetViews>
    <sheetView workbookViewId="0" rightToLeft="1"/>
  </sheetViews>
  <sheetFormatPr defaultRowHeight="15" outlineLevelRow="0" outlineLevelCol="0" x14ac:dyDescent="55"/>
  <cols>
    <col min="1" max="1" width="7.29" customWidth="1"/>
    <col min="2" max="2" width="66.29" customWidth="1"/>
    <col min="3" max="4" width="8.14" customWidth="1"/>
    <col min="5" max="6" width="8.14" style="7" customWidth="1"/>
    <col min="7" max="7" width="36" hidden="1" customWidth="1"/>
    <col min="8" max="8" width="12" hidden="1" customWidth="1"/>
  </cols>
  <sheetData>
    <row r="1" spans="1:8" x14ac:dyDescent="0.25">
      <c r="A1" s="1" t="s">
        <v>308</v>
      </c>
      <c r="E1" s="7"/>
      <c r="F1" s="7"/>
      <c r="G1" s="1" t="s">
        <v>60</v>
      </c>
      <c r="H1" s="1" t="s">
        <v>94</v>
      </c>
    </row>
    <row r="2" spans="1:8" x14ac:dyDescent="0.25">
      <c r="A2" s="3" t="s">
        <v>95</v>
      </c>
      <c r="B2" s="4" t="s">
        <v>96</v>
      </c>
      <c r="C2" s="3" t="s">
        <v>97</v>
      </c>
      <c r="D2" s="3" t="s">
        <v>98</v>
      </c>
      <c r="E2" s="8" t="s">
        <v>99</v>
      </c>
      <c r="F2" s="8" t="s">
        <v>100</v>
      </c>
      <c r="G2" s="3" t="s">
        <v>101</v>
      </c>
      <c r="H2" s="3" t="s">
        <v>102</v>
      </c>
    </row>
    <row r="3" spans="1:8" x14ac:dyDescent="0.25">
      <c r="B3" s="6" t="s">
        <v>309</v>
      </c>
      <c r="E3" s="7"/>
      <c r="F3" s="7"/>
      <c r="G3" s="5" t="s">
        <v>310</v>
      </c>
      <c r="H3" s="5" t="s">
        <v>105</v>
      </c>
    </row>
    <row r="4" spans="1:8" x14ac:dyDescent="0.25">
      <c r="B4" s="6" t="s">
        <v>311</v>
      </c>
      <c r="C4" s="5" t="s">
        <v>139</v>
      </c>
      <c r="E4" s="7"/>
      <c r="F4" s="9" t="str">
        <f>IF(ISBLANK(D4),"",IF(NOT(ISNUMBER(D4)),"קלט לא תקין",IF(D4&lt;0,"קלט לא תקין",IF(ISBLANK(E4),"",IF(OR(E4="כלול",E4="לא רלוונטי"),0,IF(NOT(ISNUMBER(E4)),"קלט לא תקין",IF(E4&lt;0,"קלט לא תקין",ROUND(D4*E4,2))))))))</f>
        <v/>
      </c>
      <c r="G4" s="5" t="s">
        <v>312</v>
      </c>
      <c r="H4" s="5" t="s">
        <v>109</v>
      </c>
    </row>
    <row r="5" spans="1:8" x14ac:dyDescent="0.25">
      <c r="B5" s="6" t="s">
        <v>313</v>
      </c>
      <c r="C5" s="5" t="s">
        <v>122</v>
      </c>
      <c r="E5" s="7"/>
      <c r="F5" s="9" t="str">
        <f>IF(ISBLANK(D5),"",IF(NOT(ISNUMBER(D5)),"קלט לא תקין",IF(D5&lt;0,"קלט לא תקין",IF(ISBLANK(E5),"",IF(OR(E5="כלול",E5="לא רלוונטי"),0,IF(NOT(ISNUMBER(E5)),"קלט לא תקין",IF(E5&lt;0,"קלט לא תקין",ROUND(D5*E5,2))))))))</f>
        <v/>
      </c>
      <c r="G5" s="5" t="s">
        <v>314</v>
      </c>
      <c r="H5" s="5" t="s">
        <v>109</v>
      </c>
    </row>
    <row r="6" spans="1:8" x14ac:dyDescent="0.25">
      <c r="B6" s="6" t="s">
        <v>315</v>
      </c>
      <c r="C6" s="5" t="s">
        <v>122</v>
      </c>
      <c r="E6" s="7"/>
      <c r="F6" s="9" t="str">
        <f>IF(ISBLANK(D6),"",IF(NOT(ISNUMBER(D6)),"קלט לא תקין",IF(D6&lt;0,"קלט לא תקין",IF(ISBLANK(E6),"",IF(OR(E6="כלול",E6="לא רלוונטי"),0,IF(NOT(ISNUMBER(E6)),"קלט לא תקין",IF(E6&lt;0,"קלט לא תקין",ROUND(D6*E6,2))))))))</f>
        <v/>
      </c>
      <c r="G6" s="5" t="s">
        <v>316</v>
      </c>
      <c r="H6" s="5" t="s">
        <v>109</v>
      </c>
    </row>
    <row r="7" spans="1:8" x14ac:dyDescent="0.25">
      <c r="B7" s="6" t="s">
        <v>317</v>
      </c>
      <c r="C7" s="5" t="s">
        <v>107</v>
      </c>
      <c r="E7" s="7"/>
      <c r="F7" s="9" t="str">
        <f>IF(ISBLANK(D7),"",IF(NOT(ISNUMBER(D7)),"קלט לא תקין",IF(D7&lt;0,"קלט לא תקין",IF(ISBLANK(E7),"",IF(OR(E7="כלול",E7="לא רלוונטי"),0,IF(NOT(ISNUMBER(E7)),"קלט לא תקין",IF(E7&lt;0,"קלט לא תקין",ROUND(D7*E7,2))))))))</f>
        <v/>
      </c>
      <c r="G7" s="5" t="s">
        <v>318</v>
      </c>
      <c r="H7" s="5" t="s">
        <v>109</v>
      </c>
    </row>
    <row r="8" spans="1:8" x14ac:dyDescent="0.25">
      <c r="A8" s="5" t="s">
        <v>126</v>
      </c>
      <c r="E8" s="7"/>
      <c r="F8" s="9">
        <f>SUM(F4,F5,F6,F7)</f>
        <v>0</v>
      </c>
      <c r="H8" s="5" t="s">
        <v>127</v>
      </c>
    </row>
  </sheetData>
  <dataValidations count="5">
    <dataValidation type="decimal" operator="greaterThanOrEqual" allowBlank="1" showErrorMessage="1" error="יש להזין מספר לא שלילי" sqref="D4:D7">
      <formula1>0</formula1>
    </dataValidation>
    <dataValidation type="custom" allowBlank="1" showErrorMessage="1" error="מספר לא שלילי, כלול או לא רלוונטי בלבד" sqref="E4">
      <formula1>OR(ISBLANK(E4),AND(ISNUMBER(E4),E4&gt;=0),E4="כלול",E4="לא רלוונטי")</formula1>
    </dataValidation>
    <dataValidation type="custom" allowBlank="1" showErrorMessage="1" error="מספר לא שלילי, כלול או לא רלוונטי בלבד" sqref="E5">
      <formula1>OR(ISBLANK(E5),AND(ISNUMBER(E5),E5&gt;=0),E5="כלול",E5="לא רלוונטי")</formula1>
    </dataValidation>
    <dataValidation type="custom" allowBlank="1" showErrorMessage="1" error="מספר לא שלילי, כלול או לא רלוונטי בלבד" sqref="E6">
      <formula1>OR(ISBLANK(E6),AND(ISNUMBER(E6),E6&gt;=0),E6="כלול",E6="לא רלוונטי")</formula1>
    </dataValidation>
    <dataValidation type="custom" allowBlank="1" showErrorMessage="1" error="מספר לא שלילי, כלול או לא רלוונטי בלבד" sqref="E7">
      <formula1>OR(ISBLANK(E7),AND(ISNUMBER(E7),E7&gt;=0),E7="כלול",E7="לא רלוונטי")</formula1>
    </dataValidation>
  </dataValidations>
  <pageMargins left="0.25" right="0.25" top="0.75" bottom="0.75" header="0" footer="0"/>
  <pageSetup paperSize="9" orientation="portrait" fitToWidth="1" fitToHeight="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7"/>
  <sheetViews>
    <sheetView workbookViewId="0" rightToLeft="1"/>
  </sheetViews>
  <sheetFormatPr defaultRowHeight="15" outlineLevelRow="0" outlineLevelCol="0" x14ac:dyDescent="55"/>
  <cols>
    <col min="1" max="1" width="7.29" customWidth="1"/>
    <col min="2" max="2" width="66.29" customWidth="1"/>
    <col min="3" max="4" width="8.14" customWidth="1"/>
    <col min="5" max="6" width="8.14" style="7" customWidth="1"/>
    <col min="7" max="7" width="36" hidden="1" customWidth="1"/>
    <col min="8" max="8" width="12" hidden="1" customWidth="1"/>
  </cols>
  <sheetData>
    <row r="1" spans="1:8" x14ac:dyDescent="0.25">
      <c r="A1" s="1" t="s">
        <v>319</v>
      </c>
      <c r="E1" s="7"/>
      <c r="F1" s="7"/>
      <c r="G1" s="1" t="s">
        <v>63</v>
      </c>
      <c r="H1" s="1" t="s">
        <v>94</v>
      </c>
    </row>
    <row r="2" spans="1:8" x14ac:dyDescent="0.25">
      <c r="A2" s="3" t="s">
        <v>95</v>
      </c>
      <c r="B2" s="4" t="s">
        <v>96</v>
      </c>
      <c r="C2" s="3" t="s">
        <v>97</v>
      </c>
      <c r="D2" s="3" t="s">
        <v>98</v>
      </c>
      <c r="E2" s="8" t="s">
        <v>99</v>
      </c>
      <c r="F2" s="8" t="s">
        <v>100</v>
      </c>
      <c r="G2" s="3" t="s">
        <v>101</v>
      </c>
      <c r="H2" s="3" t="s">
        <v>102</v>
      </c>
    </row>
    <row r="3" spans="1:8" x14ac:dyDescent="0.25">
      <c r="B3" s="6" t="s">
        <v>320</v>
      </c>
      <c r="E3" s="7"/>
      <c r="F3" s="7"/>
      <c r="G3" s="5" t="s">
        <v>321</v>
      </c>
      <c r="H3" s="5" t="s">
        <v>105</v>
      </c>
    </row>
    <row r="4" spans="1:8" x14ac:dyDescent="0.25">
      <c r="B4" s="6" t="s">
        <v>322</v>
      </c>
      <c r="C4" s="5" t="s">
        <v>122</v>
      </c>
      <c r="E4" s="7"/>
      <c r="F4" s="9" t="str">
        <f>IF(ISBLANK(D4),"",IF(NOT(ISNUMBER(D4)),"קלט לא תקין",IF(D4&lt;0,"קלט לא תקין",IF(ISBLANK(E4),"",IF(OR(E4="כלול",E4="לא רלוונטי"),0,IF(NOT(ISNUMBER(E4)),"קלט לא תקין",IF(E4&lt;0,"קלט לא תקין",ROUND(D4*E4,2))))))))</f>
        <v/>
      </c>
      <c r="G4" s="5" t="s">
        <v>323</v>
      </c>
      <c r="H4" s="5" t="s">
        <v>109</v>
      </c>
    </row>
    <row r="5" spans="1:8" x14ac:dyDescent="0.25">
      <c r="B5" s="6" t="s">
        <v>324</v>
      </c>
      <c r="C5" s="5" t="s">
        <v>122</v>
      </c>
      <c r="E5" s="7"/>
      <c r="F5" s="9" t="str">
        <f>IF(ISBLANK(D5),"",IF(NOT(ISNUMBER(D5)),"קלט לא תקין",IF(D5&lt;0,"קלט לא תקין",IF(ISBLANK(E5),"",IF(OR(E5="כלול",E5="לא רלוונטי"),0,IF(NOT(ISNUMBER(E5)),"קלט לא תקין",IF(E5&lt;0,"קלט לא תקין",ROUND(D5*E5,2))))))))</f>
        <v/>
      </c>
      <c r="G5" s="5" t="s">
        <v>325</v>
      </c>
      <c r="H5" s="5" t="s">
        <v>109</v>
      </c>
    </row>
    <row r="6" spans="1:8" x14ac:dyDescent="0.25">
      <c r="B6" s="6" t="s">
        <v>326</v>
      </c>
      <c r="C6" s="5" t="s">
        <v>122</v>
      </c>
      <c r="E6" s="7"/>
      <c r="F6" s="9" t="str">
        <f>IF(ISBLANK(D6),"",IF(NOT(ISNUMBER(D6)),"קלט לא תקין",IF(D6&lt;0,"קלט לא תקין",IF(ISBLANK(E6),"",IF(OR(E6="כלול",E6="לא רלוונטי"),0,IF(NOT(ISNUMBER(E6)),"קלט לא תקין",IF(E6&lt;0,"קלט לא תקין",ROUND(D6*E6,2))))))))</f>
        <v/>
      </c>
      <c r="G6" s="5" t="s">
        <v>327</v>
      </c>
      <c r="H6" s="5" t="s">
        <v>109</v>
      </c>
    </row>
    <row r="7" spans="1:8" x14ac:dyDescent="0.25">
      <c r="A7" s="5" t="s">
        <v>126</v>
      </c>
      <c r="E7" s="7"/>
      <c r="F7" s="9">
        <f>SUM(F4,F5,F6)</f>
        <v>0</v>
      </c>
      <c r="H7" s="5" t="s">
        <v>127</v>
      </c>
    </row>
  </sheetData>
  <dataValidations count="4">
    <dataValidation type="decimal" operator="greaterThanOrEqual" allowBlank="1" showErrorMessage="1" error="יש להזין מספר לא שלילי" sqref="D4:D6">
      <formula1>0</formula1>
    </dataValidation>
    <dataValidation type="custom" allowBlank="1" showErrorMessage="1" error="מספר לא שלילי, כלול או לא רלוונטי בלבד" sqref="E4">
      <formula1>OR(ISBLANK(E4),AND(ISNUMBER(E4),E4&gt;=0),E4="כלול",E4="לא רלוונטי")</formula1>
    </dataValidation>
    <dataValidation type="custom" allowBlank="1" showErrorMessage="1" error="מספר לא שלילי, כלול או לא רלוונטי בלבד" sqref="E5">
      <formula1>OR(ISBLANK(E5),AND(ISNUMBER(E5),E5&gt;=0),E5="כלול",E5="לא רלוונטי")</formula1>
    </dataValidation>
    <dataValidation type="custom" allowBlank="1" showErrorMessage="1" error="מספר לא שלילי, כלול או לא רלוונטי בלבד" sqref="E6">
      <formula1>OR(ISBLANK(E6),AND(ISNUMBER(E6),E6&gt;=0),E6="כלול",E6="לא רלוונטי")</formula1>
    </dataValidation>
  </dataValidations>
  <pageMargins left="0.25" right="0.25" top="0.75" bottom="0.75" header="0" footer="0"/>
  <pageSetup paperSize="9" orientation="portrait" fitToWidth="1" fitToHeight="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7"/>
  <sheetViews>
    <sheetView workbookViewId="0" rightToLeft="1"/>
  </sheetViews>
  <sheetFormatPr defaultRowHeight="15" outlineLevelRow="0" outlineLevelCol="0" x14ac:dyDescent="55"/>
  <cols>
    <col min="1" max="1" width="7.29" customWidth="1"/>
    <col min="2" max="2" width="66.29" customWidth="1"/>
    <col min="3" max="4" width="8.14" customWidth="1"/>
    <col min="5" max="6" width="8.14" style="7" customWidth="1"/>
    <col min="7" max="7" width="36" hidden="1" customWidth="1"/>
    <col min="8" max="8" width="12" hidden="1" customWidth="1"/>
  </cols>
  <sheetData>
    <row r="1" spans="1:8" x14ac:dyDescent="0.25">
      <c r="A1" s="1" t="s">
        <v>328</v>
      </c>
      <c r="E1" s="7"/>
      <c r="F1" s="7"/>
      <c r="G1" s="1" t="s">
        <v>66</v>
      </c>
      <c r="H1" s="1" t="s">
        <v>94</v>
      </c>
    </row>
    <row r="2" spans="1:8" x14ac:dyDescent="0.25">
      <c r="A2" s="3" t="s">
        <v>95</v>
      </c>
      <c r="B2" s="4" t="s">
        <v>96</v>
      </c>
      <c r="C2" s="3" t="s">
        <v>97</v>
      </c>
      <c r="D2" s="3" t="s">
        <v>98</v>
      </c>
      <c r="E2" s="8" t="s">
        <v>99</v>
      </c>
      <c r="F2" s="8" t="s">
        <v>100</v>
      </c>
      <c r="G2" s="3" t="s">
        <v>101</v>
      </c>
      <c r="H2" s="3" t="s">
        <v>102</v>
      </c>
    </row>
    <row r="3" spans="1:8" x14ac:dyDescent="0.25">
      <c r="B3" s="6" t="s">
        <v>329</v>
      </c>
      <c r="E3" s="7"/>
      <c r="F3" s="7"/>
      <c r="G3" s="5" t="s">
        <v>330</v>
      </c>
      <c r="H3" s="5" t="s">
        <v>105</v>
      </c>
    </row>
    <row r="4" spans="1:8" x14ac:dyDescent="0.25">
      <c r="B4" s="6" t="s">
        <v>331</v>
      </c>
      <c r="C4" s="5" t="s">
        <v>139</v>
      </c>
      <c r="E4" s="7"/>
      <c r="F4" s="9" t="str">
        <f>IF(ISBLANK(D4),"",IF(NOT(ISNUMBER(D4)),"קלט לא תקין",IF(D4&lt;0,"קלט לא תקין",IF(ISBLANK(E4),"",IF(OR(E4="כלול",E4="לא רלוונטי"),0,IF(NOT(ISNUMBER(E4)),"קלט לא תקין",IF(E4&lt;0,"קלט לא תקין",ROUND(D4*E4,2))))))))</f>
        <v/>
      </c>
      <c r="G4" s="5" t="s">
        <v>332</v>
      </c>
      <c r="H4" s="5" t="s">
        <v>109</v>
      </c>
    </row>
    <row r="5" spans="1:8" x14ac:dyDescent="0.25">
      <c r="B5" s="6" t="s">
        <v>333</v>
      </c>
      <c r="C5" s="5" t="s">
        <v>139</v>
      </c>
      <c r="E5" s="7"/>
      <c r="F5" s="9" t="str">
        <f>IF(ISBLANK(D5),"",IF(NOT(ISNUMBER(D5)),"קלט לא תקין",IF(D5&lt;0,"קלט לא תקין",IF(ISBLANK(E5),"",IF(OR(E5="כלול",E5="לא רלוונטי"),0,IF(NOT(ISNUMBER(E5)),"קלט לא תקין",IF(E5&lt;0,"קלט לא תקין",ROUND(D5*E5,2))))))))</f>
        <v/>
      </c>
      <c r="G5" s="5" t="s">
        <v>334</v>
      </c>
      <c r="H5" s="5" t="s">
        <v>109</v>
      </c>
    </row>
    <row r="6" spans="1:8" x14ac:dyDescent="0.25">
      <c r="B6" s="6" t="s">
        <v>335</v>
      </c>
      <c r="C6" s="5" t="s">
        <v>122</v>
      </c>
      <c r="E6" s="7"/>
      <c r="F6" s="9" t="str">
        <f>IF(ISBLANK(D6),"",IF(NOT(ISNUMBER(D6)),"קלט לא תקין",IF(D6&lt;0,"קלט לא תקין",IF(ISBLANK(E6),"",IF(OR(E6="כלול",E6="לא רלוונטי"),0,IF(NOT(ISNUMBER(E6)),"קלט לא תקין",IF(E6&lt;0,"קלט לא תקין",ROUND(D6*E6,2))))))))</f>
        <v/>
      </c>
      <c r="G6" s="5" t="s">
        <v>336</v>
      </c>
      <c r="H6" s="5" t="s">
        <v>109</v>
      </c>
    </row>
    <row r="7" spans="1:8" x14ac:dyDescent="0.25">
      <c r="A7" s="5" t="s">
        <v>126</v>
      </c>
      <c r="E7" s="7"/>
      <c r="F7" s="9">
        <f>SUM(F4,F5,F6)</f>
        <v>0</v>
      </c>
      <c r="H7" s="5" t="s">
        <v>127</v>
      </c>
    </row>
  </sheetData>
  <dataValidations count="4">
    <dataValidation type="decimal" operator="greaterThanOrEqual" allowBlank="1" showErrorMessage="1" error="יש להזין מספר לא שלילי" sqref="D4:D6">
      <formula1>0</formula1>
    </dataValidation>
    <dataValidation type="custom" allowBlank="1" showErrorMessage="1" error="מספר לא שלילי, כלול או לא רלוונטי בלבד" sqref="E4">
      <formula1>OR(ISBLANK(E4),AND(ISNUMBER(E4),E4&gt;=0),E4="כלול",E4="לא רלוונטי")</formula1>
    </dataValidation>
    <dataValidation type="custom" allowBlank="1" showErrorMessage="1" error="מספר לא שלילי, כלול או לא רלוונטי בלבד" sqref="E5">
      <formula1>OR(ISBLANK(E5),AND(ISNUMBER(E5),E5&gt;=0),E5="כלול",E5="לא רלוונטי")</formula1>
    </dataValidation>
    <dataValidation type="custom" allowBlank="1" showErrorMessage="1" error="מספר לא שלילי, כלול או לא רלוונטי בלבד" sqref="E6">
      <formula1>OR(ISBLANK(E6),AND(ISNUMBER(E6),E6&gt;=0),E6="כלול",E6="לא רלוונטי")</formula1>
    </dataValidation>
  </dataValidations>
  <pageMargins left="0.25" right="0.25" top="0.75" bottom="0.75" header="0" footer="0"/>
  <pageSetup paperSize="9" orientation="portrait" fitToWidth="1" fitToHeight="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7"/>
  <sheetViews>
    <sheetView workbookViewId="0" rightToLeft="1"/>
  </sheetViews>
  <sheetFormatPr defaultRowHeight="15" outlineLevelRow="0" outlineLevelCol="0" x14ac:dyDescent="55"/>
  <cols>
    <col min="1" max="1" width="7.29" customWidth="1"/>
    <col min="2" max="2" width="66.29" customWidth="1"/>
    <col min="3" max="4" width="8.14" customWidth="1"/>
    <col min="5" max="6" width="8.14" style="7" customWidth="1"/>
    <col min="7" max="7" width="36" hidden="1" customWidth="1"/>
    <col min="8" max="8" width="12" hidden="1" customWidth="1"/>
  </cols>
  <sheetData>
    <row r="1" spans="1:8" x14ac:dyDescent="0.25">
      <c r="A1" s="1" t="s">
        <v>337</v>
      </c>
      <c r="E1" s="7"/>
      <c r="F1" s="7"/>
      <c r="G1" s="1" t="s">
        <v>69</v>
      </c>
      <c r="H1" s="1" t="s">
        <v>94</v>
      </c>
    </row>
    <row r="2" spans="1:8" x14ac:dyDescent="0.25">
      <c r="A2" s="3" t="s">
        <v>95</v>
      </c>
      <c r="B2" s="4" t="s">
        <v>96</v>
      </c>
      <c r="C2" s="3" t="s">
        <v>97</v>
      </c>
      <c r="D2" s="3" t="s">
        <v>98</v>
      </c>
      <c r="E2" s="8" t="s">
        <v>99</v>
      </c>
      <c r="F2" s="8" t="s">
        <v>100</v>
      </c>
      <c r="G2" s="3" t="s">
        <v>101</v>
      </c>
      <c r="H2" s="3" t="s">
        <v>102</v>
      </c>
    </row>
    <row r="3" spans="1:8" x14ac:dyDescent="0.25">
      <c r="B3" s="6" t="s">
        <v>338</v>
      </c>
      <c r="E3" s="7"/>
      <c r="F3" s="7"/>
      <c r="G3" s="5" t="s">
        <v>339</v>
      </c>
      <c r="H3" s="5" t="s">
        <v>105</v>
      </c>
    </row>
    <row r="4" spans="1:8" x14ac:dyDescent="0.25">
      <c r="B4" s="6" t="s">
        <v>340</v>
      </c>
      <c r="C4" s="5" t="s">
        <v>107</v>
      </c>
      <c r="E4" s="7"/>
      <c r="F4" s="9" t="str">
        <f>IF(ISBLANK(D4),"",IF(NOT(ISNUMBER(D4)),"קלט לא תקין",IF(D4&lt;0,"קלט לא תקין",IF(ISBLANK(E4),"",IF(OR(E4="כלול",E4="לא רלוונטי"),0,IF(NOT(ISNUMBER(E4)),"קלט לא תקין",IF(E4&lt;0,"קלט לא תקין",ROUND(D4*E4,2))))))))</f>
        <v/>
      </c>
      <c r="G4" s="5" t="s">
        <v>341</v>
      </c>
      <c r="H4" s="5" t="s">
        <v>109</v>
      </c>
    </row>
    <row r="5" spans="1:8" x14ac:dyDescent="0.25">
      <c r="B5" s="6" t="s">
        <v>342</v>
      </c>
      <c r="C5" s="5" t="s">
        <v>122</v>
      </c>
      <c r="E5" s="7"/>
      <c r="F5" s="9" t="str">
        <f>IF(ISBLANK(D5),"",IF(NOT(ISNUMBER(D5)),"קלט לא תקין",IF(D5&lt;0,"קלט לא תקין",IF(ISBLANK(E5),"",IF(OR(E5="כלול",E5="לא רלוונטי"),0,IF(NOT(ISNUMBER(E5)),"קלט לא תקין",IF(E5&lt;0,"קלט לא תקין",ROUND(D5*E5,2))))))))</f>
        <v/>
      </c>
      <c r="G5" s="5" t="s">
        <v>343</v>
      </c>
      <c r="H5" s="5" t="s">
        <v>109</v>
      </c>
    </row>
    <row r="6" spans="1:8" x14ac:dyDescent="0.25">
      <c r="B6" s="6" t="s">
        <v>344</v>
      </c>
      <c r="C6" s="5" t="s">
        <v>122</v>
      </c>
      <c r="E6" s="7"/>
      <c r="F6" s="9" t="str">
        <f>IF(ISBLANK(D6),"",IF(NOT(ISNUMBER(D6)),"קלט לא תקין",IF(D6&lt;0,"קלט לא תקין",IF(ISBLANK(E6),"",IF(OR(E6="כלול",E6="לא רלוונטי"),0,IF(NOT(ISNUMBER(E6)),"קלט לא תקין",IF(E6&lt;0,"קלט לא תקין",ROUND(D6*E6,2))))))))</f>
        <v/>
      </c>
      <c r="G6" s="5" t="s">
        <v>345</v>
      </c>
      <c r="H6" s="5" t="s">
        <v>109</v>
      </c>
    </row>
    <row r="7" spans="1:8" x14ac:dyDescent="0.25">
      <c r="A7" s="5" t="s">
        <v>126</v>
      </c>
      <c r="E7" s="7"/>
      <c r="F7" s="9">
        <f>SUM(F4,F5,F6)</f>
        <v>0</v>
      </c>
      <c r="H7" s="5" t="s">
        <v>127</v>
      </c>
    </row>
  </sheetData>
  <dataValidations count="4">
    <dataValidation type="decimal" operator="greaterThanOrEqual" allowBlank="1" showErrorMessage="1" error="יש להזין מספר לא שלילי" sqref="D4:D6">
      <formula1>0</formula1>
    </dataValidation>
    <dataValidation type="custom" allowBlank="1" showErrorMessage="1" error="מספר לא שלילי, כלול או לא רלוונטי בלבד" sqref="E4">
      <formula1>OR(ISBLANK(E4),AND(ISNUMBER(E4),E4&gt;=0),E4="כלול",E4="לא רלוונטי")</formula1>
    </dataValidation>
    <dataValidation type="custom" allowBlank="1" showErrorMessage="1" error="מספר לא שלילי, כלול או לא רלוונטי בלבד" sqref="E5">
      <formula1>OR(ISBLANK(E5),AND(ISNUMBER(E5),E5&gt;=0),E5="כלול",E5="לא רלוונטי")</formula1>
    </dataValidation>
    <dataValidation type="custom" allowBlank="1" showErrorMessage="1" error="מספר לא שלילי, כלול או לא רלוונטי בלבד" sqref="E6">
      <formula1>OR(ISBLANK(E6),AND(ISNUMBER(E6),E6&gt;=0),E6="כלול",E6="לא רלוונטי")</formula1>
    </dataValidation>
  </dataValidations>
  <pageMargins left="0.25" right="0.25" top="0.75" bottom="0.75" header="0" footer="0"/>
  <pageSetup paperSize="9" orientation="portrait" fitToWidth="1" fitToHeight="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5"/>
  <sheetViews>
    <sheetView workbookViewId="0" rightToLeft="1"/>
  </sheetViews>
  <sheetFormatPr defaultRowHeight="15" outlineLevelRow="0" outlineLevelCol="0" x14ac:dyDescent="55"/>
  <cols>
    <col min="1" max="1" width="7.29" customWidth="1"/>
    <col min="2" max="2" width="66.29" customWidth="1"/>
    <col min="3" max="4" width="8.14" customWidth="1"/>
    <col min="5" max="6" width="8.14" style="7" customWidth="1"/>
    <col min="7" max="7" width="36" hidden="1" customWidth="1"/>
    <col min="8" max="8" width="12" hidden="1" customWidth="1"/>
  </cols>
  <sheetData>
    <row r="1" spans="1:8" x14ac:dyDescent="0.25">
      <c r="A1" s="1" t="s">
        <v>346</v>
      </c>
      <c r="E1" s="7"/>
      <c r="F1" s="7"/>
      <c r="G1" s="1" t="s">
        <v>72</v>
      </c>
      <c r="H1" s="1" t="s">
        <v>94</v>
      </c>
    </row>
    <row r="2" spans="1:8" x14ac:dyDescent="0.25">
      <c r="A2" s="3" t="s">
        <v>95</v>
      </c>
      <c r="B2" s="4" t="s">
        <v>96</v>
      </c>
      <c r="C2" s="3" t="s">
        <v>97</v>
      </c>
      <c r="D2" s="3" t="s">
        <v>98</v>
      </c>
      <c r="E2" s="8" t="s">
        <v>99</v>
      </c>
      <c r="F2" s="8" t="s">
        <v>100</v>
      </c>
      <c r="G2" s="3" t="s">
        <v>101</v>
      </c>
      <c r="H2" s="3" t="s">
        <v>102</v>
      </c>
    </row>
    <row r="3" spans="1:8" x14ac:dyDescent="0.25">
      <c r="B3" s="6" t="s">
        <v>347</v>
      </c>
      <c r="E3" s="7"/>
      <c r="F3" s="7"/>
      <c r="G3" s="5" t="s">
        <v>348</v>
      </c>
      <c r="H3" s="5" t="s">
        <v>105</v>
      </c>
    </row>
    <row r="4" spans="1:8" x14ac:dyDescent="0.25">
      <c r="B4" s="6" t="s">
        <v>349</v>
      </c>
      <c r="C4" s="5" t="s">
        <v>115</v>
      </c>
      <c r="E4" s="7"/>
      <c r="F4" s="9" t="str">
        <f>IF(ISBLANK(D4),"",IF(NOT(ISNUMBER(D4)),"קלט לא תקין",IF(D4&lt;0,"קלט לא תקין",IF(ISBLANK(E4),"",IF(OR(E4="כלול",E4="לא רלוונטי"),0,IF(NOT(ISNUMBER(E4)),"קלט לא תקין",IF(E4&lt;0,"קלט לא תקין",ROUND(D4*E4,2))))))))</f>
        <v/>
      </c>
      <c r="G4" s="5" t="s">
        <v>350</v>
      </c>
      <c r="H4" s="5" t="s">
        <v>109</v>
      </c>
    </row>
    <row r="5" spans="1:8" x14ac:dyDescent="0.25">
      <c r="A5" s="5" t="s">
        <v>126</v>
      </c>
      <c r="E5" s="7"/>
      <c r="F5" s="9">
        <f>SUM(F4)</f>
        <v>0</v>
      </c>
      <c r="H5" s="5" t="s">
        <v>127</v>
      </c>
    </row>
  </sheetData>
  <dataValidations count="2">
    <dataValidation type="decimal" operator="greaterThanOrEqual" allowBlank="1" showErrorMessage="1" error="יש להזין מספר לא שלילי" sqref="D4">
      <formula1>0</formula1>
    </dataValidation>
    <dataValidation type="custom" allowBlank="1" showErrorMessage="1" error="מספר לא שלילי, כלול או לא רלוונטי בלבד" sqref="E4">
      <formula1>OR(ISBLANK(E4),AND(ISNUMBER(E4),E4&gt;=0),E4="כלול",E4="לא רלוונטי")</formula1>
    </dataValidation>
  </dataValidations>
  <pageMargins left="0.25" right="0.25" top="0.75" bottom="0.75" header="0" footer="0"/>
  <pageSetup paperSize="9" orientation="portrait" fitToWidth="1" fitToHeight="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5"/>
  <sheetViews>
    <sheetView workbookViewId="0" rightToLeft="1"/>
  </sheetViews>
  <sheetFormatPr defaultRowHeight="15" outlineLevelRow="0" outlineLevelCol="0" x14ac:dyDescent="55"/>
  <cols>
    <col min="1" max="1" width="7.29" customWidth="1"/>
    <col min="2" max="2" width="66.29" customWidth="1"/>
    <col min="3" max="4" width="8.14" customWidth="1"/>
    <col min="5" max="6" width="8.14" style="7" customWidth="1"/>
    <col min="7" max="7" width="36" hidden="1" customWidth="1"/>
    <col min="8" max="8" width="12" hidden="1" customWidth="1"/>
  </cols>
  <sheetData>
    <row r="1" spans="1:8" x14ac:dyDescent="0.25">
      <c r="A1" s="1" t="s">
        <v>351</v>
      </c>
      <c r="E1" s="7"/>
      <c r="F1" s="7"/>
      <c r="G1" s="1" t="s">
        <v>75</v>
      </c>
      <c r="H1" s="1" t="s">
        <v>94</v>
      </c>
    </row>
    <row r="2" spans="1:8" x14ac:dyDescent="0.25">
      <c r="A2" s="3" t="s">
        <v>95</v>
      </c>
      <c r="B2" s="4" t="s">
        <v>96</v>
      </c>
      <c r="C2" s="3" t="s">
        <v>97</v>
      </c>
      <c r="D2" s="3" t="s">
        <v>98</v>
      </c>
      <c r="E2" s="8" t="s">
        <v>99</v>
      </c>
      <c r="F2" s="8" t="s">
        <v>100</v>
      </c>
      <c r="G2" s="3" t="s">
        <v>101</v>
      </c>
      <c r="H2" s="3" t="s">
        <v>102</v>
      </c>
    </row>
    <row r="3" spans="1:8" x14ac:dyDescent="0.25">
      <c r="B3" s="6" t="s">
        <v>347</v>
      </c>
      <c r="E3" s="7"/>
      <c r="F3" s="7"/>
      <c r="G3" s="5" t="s">
        <v>352</v>
      </c>
      <c r="H3" s="5" t="s">
        <v>105</v>
      </c>
    </row>
    <row r="4" spans="1:8" x14ac:dyDescent="0.25">
      <c r="B4" s="6" t="s">
        <v>353</v>
      </c>
      <c r="C4" s="5" t="s">
        <v>122</v>
      </c>
      <c r="E4" s="7"/>
      <c r="F4" s="9" t="str">
        <f>IF(ISBLANK(D4),"",IF(NOT(ISNUMBER(D4)),"קלט לא תקין",IF(D4&lt;0,"קלט לא תקין",IF(ISBLANK(E4),"",IF(OR(E4="כלול",E4="לא רלוונטי"),0,IF(NOT(ISNUMBER(E4)),"קלט לא תקין",IF(E4&lt;0,"קלט לא תקין",ROUND(D4*E4,2))))))))</f>
        <v/>
      </c>
      <c r="G4" s="5" t="s">
        <v>354</v>
      </c>
      <c r="H4" s="5" t="s">
        <v>109</v>
      </c>
    </row>
    <row r="5" spans="1:8" x14ac:dyDescent="0.25">
      <c r="A5" s="5" t="s">
        <v>126</v>
      </c>
      <c r="E5" s="7"/>
      <c r="F5" s="9">
        <f>SUM(F4)</f>
        <v>0</v>
      </c>
      <c r="H5" s="5" t="s">
        <v>127</v>
      </c>
    </row>
  </sheetData>
  <dataValidations count="2">
    <dataValidation type="decimal" operator="greaterThanOrEqual" allowBlank="1" showErrorMessage="1" error="יש להזין מספר לא שלילי" sqref="D4">
      <formula1>0</formula1>
    </dataValidation>
    <dataValidation type="custom" allowBlank="1" showErrorMessage="1" error="מספר לא שלילי, כלול או לא רלוונטי בלבד" sqref="E4">
      <formula1>OR(ISBLANK(E4),AND(ISNUMBER(E4),E4&gt;=0),E4="כלול",E4="לא רלוונטי")</formula1>
    </dataValidation>
  </dataValidations>
  <pageMargins left="0.25" right="0.25" top="0.75" bottom="0.75" header="0" footer="0"/>
  <pageSetup paperSize="9" orientation="portrait" fitToWidth="1" fitToHeight="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5"/>
  <sheetViews>
    <sheetView workbookViewId="0" rightToLeft="1"/>
  </sheetViews>
  <sheetFormatPr defaultRowHeight="15" outlineLevelRow="0" outlineLevelCol="0" x14ac:dyDescent="55"/>
  <cols>
    <col min="1" max="1" width="7.29" customWidth="1"/>
    <col min="2" max="2" width="66.29" customWidth="1"/>
    <col min="3" max="4" width="8.14" customWidth="1"/>
    <col min="5" max="6" width="8.14" style="7" customWidth="1"/>
    <col min="7" max="7" width="36" hidden="1" customWidth="1"/>
    <col min="8" max="8" width="12" hidden="1" customWidth="1"/>
  </cols>
  <sheetData>
    <row r="1" spans="1:8" x14ac:dyDescent="0.25">
      <c r="A1" s="1" t="s">
        <v>355</v>
      </c>
      <c r="E1" s="7"/>
      <c r="F1" s="7"/>
      <c r="G1" s="1" t="s">
        <v>78</v>
      </c>
      <c r="H1" s="1" t="s">
        <v>94</v>
      </c>
    </row>
    <row r="2" spans="1:8" x14ac:dyDescent="0.25">
      <c r="A2" s="3" t="s">
        <v>95</v>
      </c>
      <c r="B2" s="4" t="s">
        <v>96</v>
      </c>
      <c r="C2" s="3" t="s">
        <v>97</v>
      </c>
      <c r="D2" s="3" t="s">
        <v>98</v>
      </c>
      <c r="E2" s="8" t="s">
        <v>99</v>
      </c>
      <c r="F2" s="8" t="s">
        <v>100</v>
      </c>
      <c r="G2" s="3" t="s">
        <v>101</v>
      </c>
      <c r="H2" s="3" t="s">
        <v>102</v>
      </c>
    </row>
    <row r="3" spans="1:8" x14ac:dyDescent="0.25">
      <c r="B3" s="6" t="s">
        <v>356</v>
      </c>
      <c r="E3" s="7"/>
      <c r="F3" s="7"/>
      <c r="G3" s="5" t="s">
        <v>357</v>
      </c>
      <c r="H3" s="5" t="s">
        <v>105</v>
      </c>
    </row>
    <row r="4" spans="1:8" x14ac:dyDescent="0.25">
      <c r="B4" s="6" t="s">
        <v>358</v>
      </c>
      <c r="C4" s="5" t="s">
        <v>158</v>
      </c>
      <c r="E4" s="7"/>
      <c r="F4" s="9" t="str">
        <f>IF(ISBLANK(D4),"",IF(NOT(ISNUMBER(D4)),"קלט לא תקין",IF(D4&lt;0,"קלט לא תקין",IF(ISBLANK(E4),"",IF(OR(E4="כלול",E4="לא רלוונטי"),0,IF(NOT(ISNUMBER(E4)),"קלט לא תקין",IF(E4&lt;0,"קלט לא תקין",ROUND(D4*E4,2))))))))</f>
        <v/>
      </c>
      <c r="G4" s="5" t="s">
        <v>359</v>
      </c>
      <c r="H4" s="5" t="s">
        <v>109</v>
      </c>
    </row>
    <row r="5" spans="1:8" x14ac:dyDescent="0.25">
      <c r="A5" s="5" t="s">
        <v>126</v>
      </c>
      <c r="E5" s="7"/>
      <c r="F5" s="9">
        <f>SUM(F4)</f>
        <v>0</v>
      </c>
      <c r="H5" s="5" t="s">
        <v>127</v>
      </c>
    </row>
  </sheetData>
  <dataValidations count="2">
    <dataValidation type="decimal" operator="greaterThanOrEqual" allowBlank="1" showErrorMessage="1" error="יש להזין מספר לא שלילי" sqref="D4">
      <formula1>0</formula1>
    </dataValidation>
    <dataValidation type="custom" allowBlank="1" showErrorMessage="1" error="מספר לא שלילי, כלול או לא רלוונטי בלבד" sqref="E4">
      <formula1>OR(ISBLANK(E4),AND(ISNUMBER(E4),E4&gt;=0),E4="כלול",E4="לא רלוונטי")</formula1>
    </dataValidation>
  </dataValidations>
  <pageMargins left="0.25" right="0.25" top="0.75" bottom="0.75" header="0" footer="0"/>
  <pageSetup paperSize="9" orientation="portrait" fitToWidth="1" fitToHeight="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6"/>
  <sheetViews>
    <sheetView workbookViewId="0" rightToLeft="1"/>
  </sheetViews>
  <sheetFormatPr defaultRowHeight="15" outlineLevelRow="0" outlineLevelCol="0" x14ac:dyDescent="55"/>
  <cols>
    <col min="1" max="1" width="7.29" customWidth="1"/>
    <col min="2" max="2" width="66.29" customWidth="1"/>
    <col min="3" max="4" width="8.14" customWidth="1"/>
    <col min="5" max="6" width="8.14" style="7" customWidth="1"/>
    <col min="7" max="7" width="36" hidden="1" customWidth="1"/>
    <col min="8" max="8" width="12" hidden="1" customWidth="1"/>
  </cols>
  <sheetData>
    <row r="1" spans="1:8" x14ac:dyDescent="0.25">
      <c r="A1" s="1" t="s">
        <v>360</v>
      </c>
      <c r="E1" s="7"/>
      <c r="F1" s="7"/>
      <c r="G1" s="1" t="s">
        <v>81</v>
      </c>
      <c r="H1" s="1" t="s">
        <v>94</v>
      </c>
    </row>
    <row r="2" spans="1:8" x14ac:dyDescent="0.25">
      <c r="A2" s="3" t="s">
        <v>95</v>
      </c>
      <c r="B2" s="4" t="s">
        <v>96</v>
      </c>
      <c r="C2" s="3" t="s">
        <v>97</v>
      </c>
      <c r="D2" s="3" t="s">
        <v>98</v>
      </c>
      <c r="E2" s="8" t="s">
        <v>99</v>
      </c>
      <c r="F2" s="8" t="s">
        <v>100</v>
      </c>
      <c r="G2" s="3" t="s">
        <v>101</v>
      </c>
      <c r="H2" s="3" t="s">
        <v>102</v>
      </c>
    </row>
    <row r="3" spans="1:8" x14ac:dyDescent="0.25">
      <c r="B3" s="6" t="s">
        <v>347</v>
      </c>
      <c r="E3" s="7"/>
      <c r="F3" s="7"/>
      <c r="G3" s="5" t="s">
        <v>361</v>
      </c>
      <c r="H3" s="5" t="s">
        <v>105</v>
      </c>
    </row>
    <row r="4" spans="1:8" x14ac:dyDescent="0.25">
      <c r="B4" s="6" t="s">
        <v>362</v>
      </c>
      <c r="C4" s="5" t="s">
        <v>115</v>
      </c>
      <c r="E4" s="7"/>
      <c r="F4" s="9" t="str">
        <f>IF(ISBLANK(D4),"",IF(NOT(ISNUMBER(D4)),"קלט לא תקין",IF(D4&lt;0,"קלט לא תקין",IF(ISBLANK(E4),"",IF(OR(E4="כלול",E4="לא רלוונטי"),0,IF(NOT(ISNUMBER(E4)),"קלט לא תקין",IF(E4&lt;0,"קלט לא תקין",ROUND(D4*E4,2))))))))</f>
        <v/>
      </c>
      <c r="G4" s="5" t="s">
        <v>363</v>
      </c>
      <c r="H4" s="5" t="s">
        <v>109</v>
      </c>
    </row>
    <row r="5" spans="1:8" x14ac:dyDescent="0.25">
      <c r="B5" s="6" t="s">
        <v>364</v>
      </c>
      <c r="C5" s="5" t="s">
        <v>115</v>
      </c>
      <c r="E5" s="7"/>
      <c r="F5" s="9" t="str">
        <f>IF(ISBLANK(D5),"",IF(NOT(ISNUMBER(D5)),"קלט לא תקין",IF(D5&lt;0,"קלט לא תקין",IF(ISBLANK(E5),"",IF(OR(E5="כלול",E5="לא רלוונטי"),0,IF(NOT(ISNUMBER(E5)),"קלט לא תקין",IF(E5&lt;0,"קלט לא תקין",ROUND(D5*E5,2))))))))</f>
        <v/>
      </c>
      <c r="G5" s="5" t="s">
        <v>365</v>
      </c>
      <c r="H5" s="5" t="s">
        <v>109</v>
      </c>
    </row>
    <row r="6" spans="1:8" x14ac:dyDescent="0.25">
      <c r="A6" s="5" t="s">
        <v>126</v>
      </c>
      <c r="E6" s="7"/>
      <c r="F6" s="9">
        <f>SUM(F4,F5)</f>
        <v>0</v>
      </c>
      <c r="H6" s="5" t="s">
        <v>127</v>
      </c>
    </row>
  </sheetData>
  <dataValidations count="3">
    <dataValidation type="decimal" operator="greaterThanOrEqual" allowBlank="1" showErrorMessage="1" error="יש להזין מספר לא שלילי" sqref="D4:D5">
      <formula1>0</formula1>
    </dataValidation>
    <dataValidation type="custom" allowBlank="1" showErrorMessage="1" error="מספר לא שלילי, כלול או לא רלוונטי בלבד" sqref="E4">
      <formula1>OR(ISBLANK(E4),AND(ISNUMBER(E4),E4&gt;=0),E4="כלול",E4="לא רלוונטי")</formula1>
    </dataValidation>
    <dataValidation type="custom" allowBlank="1" showErrorMessage="1" error="מספר לא שלילי, כלול או לא רלוונטי בלבד" sqref="E5">
      <formula1>OR(ISBLANK(E5),AND(ISNUMBER(E5),E5&gt;=0),E5="כלול",E5="לא רלוונטי")</formula1>
    </dataValidation>
  </dataValidations>
  <pageMargins left="0.25" right="0.25" top="0.75" bottom="0.75" header="0" footer="0"/>
  <pageSetup paperSize="9" orientation="portrait" fitToWidth="1" fitToHeight="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5"/>
  <sheetViews>
    <sheetView workbookViewId="0" rightToLeft="1"/>
  </sheetViews>
  <sheetFormatPr defaultRowHeight="15" outlineLevelRow="0" outlineLevelCol="0" x14ac:dyDescent="55"/>
  <cols>
    <col min="1" max="1" width="7.29" customWidth="1"/>
    <col min="2" max="2" width="66.29" customWidth="1"/>
    <col min="3" max="4" width="8.14" customWidth="1"/>
    <col min="5" max="6" width="8.14" style="7" customWidth="1"/>
    <col min="7" max="7" width="36" hidden="1" customWidth="1"/>
    <col min="8" max="8" width="12" hidden="1" customWidth="1"/>
  </cols>
  <sheetData>
    <row r="1" spans="1:8" x14ac:dyDescent="0.25">
      <c r="A1" s="1" t="s">
        <v>366</v>
      </c>
      <c r="E1" s="7"/>
      <c r="F1" s="7"/>
      <c r="G1" s="1" t="s">
        <v>84</v>
      </c>
      <c r="H1" s="1" t="s">
        <v>94</v>
      </c>
    </row>
    <row r="2" spans="1:8" x14ac:dyDescent="0.25">
      <c r="A2" s="3" t="s">
        <v>95</v>
      </c>
      <c r="B2" s="4" t="s">
        <v>96</v>
      </c>
      <c r="C2" s="3" t="s">
        <v>97</v>
      </c>
      <c r="D2" s="3" t="s">
        <v>98</v>
      </c>
      <c r="E2" s="8" t="s">
        <v>99</v>
      </c>
      <c r="F2" s="8" t="s">
        <v>100</v>
      </c>
      <c r="G2" s="3" t="s">
        <v>101</v>
      </c>
      <c r="H2" s="3" t="s">
        <v>102</v>
      </c>
    </row>
    <row r="3" spans="1:8" x14ac:dyDescent="0.25">
      <c r="B3" s="6" t="s">
        <v>367</v>
      </c>
      <c r="E3" s="7"/>
      <c r="F3" s="7"/>
      <c r="G3" s="5" t="s">
        <v>368</v>
      </c>
      <c r="H3" s="5" t="s">
        <v>105</v>
      </c>
    </row>
    <row r="4" spans="1:8" x14ac:dyDescent="0.25">
      <c r="B4" s="6" t="s">
        <v>369</v>
      </c>
      <c r="C4" s="5" t="s">
        <v>122</v>
      </c>
      <c r="E4" s="7"/>
      <c r="F4" s="9" t="str">
        <f>IF(ISBLANK(D4),"",IF(NOT(ISNUMBER(D4)),"קלט לא תקין",IF(D4&lt;0,"קלט לא תקין",IF(ISBLANK(E4),"",IF(OR(E4="כלול",E4="לא רלוונטי"),0,IF(NOT(ISNUMBER(E4)),"קלט לא תקין",IF(E4&lt;0,"קלט לא תקין",ROUND(D4*E4,2))))))))</f>
        <v/>
      </c>
      <c r="G4" s="5" t="s">
        <v>370</v>
      </c>
      <c r="H4" s="5" t="s">
        <v>109</v>
      </c>
    </row>
    <row r="5" spans="1:8" x14ac:dyDescent="0.25">
      <c r="A5" s="5" t="s">
        <v>126</v>
      </c>
      <c r="E5" s="7"/>
      <c r="F5" s="9">
        <f>SUM(F4)</f>
        <v>0</v>
      </c>
      <c r="H5" s="5" t="s">
        <v>127</v>
      </c>
    </row>
  </sheetData>
  <dataValidations count="2">
    <dataValidation type="decimal" operator="greaterThanOrEqual" allowBlank="1" showErrorMessage="1" error="יש להזין מספר לא שלילי" sqref="D4">
      <formula1>0</formula1>
    </dataValidation>
    <dataValidation type="custom" allowBlank="1" showErrorMessage="1" error="מספר לא שלילי, כלול או לא רלוונטי בלבד" sqref="E4">
      <formula1>OR(ISBLANK(E4),AND(ISNUMBER(E4),E4&gt;=0),E4="כלול",E4="לא רלוונטי")</formula1>
    </dataValidation>
  </dataValidations>
  <pageMargins left="0.25" right="0.25" top="0.75" bottom="0.75" header="0" footer="0"/>
  <pageSetup paperSize="9" orientation="portrait" fitToWidth="1" fitToHeight="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5"/>
  <sheetViews>
    <sheetView workbookViewId="0" rightToLeft="1"/>
  </sheetViews>
  <sheetFormatPr defaultRowHeight="15" outlineLevelRow="0" outlineLevelCol="0" x14ac:dyDescent="55"/>
  <cols>
    <col min="1" max="1" width="7.29" customWidth="1"/>
    <col min="2" max="2" width="66.29" customWidth="1"/>
    <col min="3" max="4" width="8.14" customWidth="1"/>
    <col min="5" max="6" width="8.14" style="7" customWidth="1"/>
    <col min="7" max="7" width="36" hidden="1" customWidth="1"/>
    <col min="8" max="8" width="12" hidden="1" customWidth="1"/>
  </cols>
  <sheetData>
    <row r="1" spans="1:8" x14ac:dyDescent="0.25">
      <c r="A1" s="1" t="s">
        <v>371</v>
      </c>
      <c r="E1" s="7"/>
      <c r="F1" s="7"/>
      <c r="G1" s="1" t="s">
        <v>87</v>
      </c>
      <c r="H1" s="1" t="s">
        <v>94</v>
      </c>
    </row>
    <row r="2" spans="1:8" x14ac:dyDescent="0.25">
      <c r="A2" s="3" t="s">
        <v>95</v>
      </c>
      <c r="B2" s="4" t="s">
        <v>96</v>
      </c>
      <c r="C2" s="3" t="s">
        <v>97</v>
      </c>
      <c r="D2" s="3" t="s">
        <v>98</v>
      </c>
      <c r="E2" s="8" t="s">
        <v>99</v>
      </c>
      <c r="F2" s="8" t="s">
        <v>100</v>
      </c>
      <c r="G2" s="3" t="s">
        <v>101</v>
      </c>
      <c r="H2" s="3" t="s">
        <v>102</v>
      </c>
    </row>
    <row r="3" spans="1:8" x14ac:dyDescent="0.25">
      <c r="B3" s="6" t="s">
        <v>347</v>
      </c>
      <c r="E3" s="7"/>
      <c r="F3" s="7"/>
      <c r="G3" s="5" t="s">
        <v>372</v>
      </c>
      <c r="H3" s="5" t="s">
        <v>105</v>
      </c>
    </row>
    <row r="4" spans="1:8" x14ac:dyDescent="0.25">
      <c r="B4" s="6" t="s">
        <v>373</v>
      </c>
      <c r="C4" s="5" t="s">
        <v>122</v>
      </c>
      <c r="E4" s="7"/>
      <c r="F4" s="9" t="str">
        <f>IF(ISBLANK(D4),"",IF(NOT(ISNUMBER(D4)),"קלט לא תקין",IF(D4&lt;0,"קלט לא תקין",IF(ISBLANK(E4),"",IF(OR(E4="כלול",E4="לא רלוונטי"),0,IF(NOT(ISNUMBER(E4)),"קלט לא תקין",IF(E4&lt;0,"קלט לא תקין",ROUND(D4*E4,2))))))))</f>
        <v/>
      </c>
      <c r="G4" s="5" t="s">
        <v>374</v>
      </c>
      <c r="H4" s="5" t="s">
        <v>109</v>
      </c>
    </row>
    <row r="5" spans="1:8" x14ac:dyDescent="0.25">
      <c r="A5" s="5" t="s">
        <v>126</v>
      </c>
      <c r="E5" s="7"/>
      <c r="F5" s="9">
        <f>SUM(F4)</f>
        <v>0</v>
      </c>
      <c r="H5" s="5" t="s">
        <v>127</v>
      </c>
    </row>
  </sheetData>
  <dataValidations count="2">
    <dataValidation type="decimal" operator="greaterThanOrEqual" allowBlank="1" showErrorMessage="1" error="יש להזין מספר לא שלילי" sqref="D4">
      <formula1>0</formula1>
    </dataValidation>
    <dataValidation type="custom" allowBlank="1" showErrorMessage="1" error="מספר לא שלילי, כלול או לא רלוונטי בלבד" sqref="E4">
      <formula1>OR(ISBLANK(E4),AND(ISNUMBER(E4),E4&gt;=0),E4="כלול",E4="לא רלוונטי")</formula1>
    </dataValidation>
  </dataValidations>
  <pageMargins left="0.25" right="0.25" top="0.75" bottom="0.75" header="0" footer="0"/>
  <pageSetup paperSize="9" orientation="portrait" fitToWidth="1" fitToHeight="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6"/>
  <sheetViews>
    <sheetView workbookViewId="0" rightToLeft="1"/>
  </sheetViews>
  <sheetFormatPr defaultRowHeight="15" outlineLevelRow="0" outlineLevelCol="0" x14ac:dyDescent="55"/>
  <cols>
    <col min="1" max="1" width="7.29" customWidth="1"/>
    <col min="2" max="2" width="66.29" customWidth="1"/>
    <col min="3" max="4" width="8.14" customWidth="1"/>
    <col min="5" max="6" width="8.14" style="7" customWidth="1"/>
    <col min="7" max="7" width="36" hidden="1" customWidth="1"/>
    <col min="8" max="8" width="12" hidden="1" customWidth="1"/>
  </cols>
  <sheetData>
    <row r="1" spans="1:8" x14ac:dyDescent="0.25">
      <c r="A1" s="1" t="s">
        <v>375</v>
      </c>
      <c r="E1" s="7"/>
      <c r="F1" s="7"/>
      <c r="G1" s="1" t="s">
        <v>90</v>
      </c>
      <c r="H1" s="1" t="s">
        <v>94</v>
      </c>
    </row>
    <row r="2" spans="1:8" x14ac:dyDescent="0.25">
      <c r="A2" s="3" t="s">
        <v>95</v>
      </c>
      <c r="B2" s="4" t="s">
        <v>96</v>
      </c>
      <c r="C2" s="3" t="s">
        <v>97</v>
      </c>
      <c r="D2" s="3" t="s">
        <v>98</v>
      </c>
      <c r="E2" s="8" t="s">
        <v>99</v>
      </c>
      <c r="F2" s="8" t="s">
        <v>100</v>
      </c>
      <c r="G2" s="3" t="s">
        <v>101</v>
      </c>
      <c r="H2" s="3" t="s">
        <v>102</v>
      </c>
    </row>
    <row r="3" spans="1:8" x14ac:dyDescent="0.25">
      <c r="B3" s="6" t="s">
        <v>271</v>
      </c>
      <c r="E3" s="7"/>
      <c r="F3" s="7"/>
      <c r="G3" s="5" t="s">
        <v>376</v>
      </c>
      <c r="H3" s="5" t="s">
        <v>105</v>
      </c>
    </row>
    <row r="4" spans="1:8" x14ac:dyDescent="0.25">
      <c r="B4" s="6" t="s">
        <v>377</v>
      </c>
      <c r="C4" s="5" t="s">
        <v>139</v>
      </c>
      <c r="E4" s="7"/>
      <c r="F4" s="9" t="str">
        <f>IF(ISBLANK(D4),"",IF(NOT(ISNUMBER(D4)),"קלט לא תקין",IF(D4&lt;0,"קלט לא תקין",IF(ISBLANK(E4),"",IF(OR(E4="כלול",E4="לא רלוונטי"),0,IF(NOT(ISNUMBER(E4)),"קלט לא תקין",IF(E4&lt;0,"קלט לא תקין",ROUND(D4*E4,2))))))))</f>
        <v/>
      </c>
      <c r="G4" s="5" t="s">
        <v>378</v>
      </c>
      <c r="H4" s="5" t="s">
        <v>109</v>
      </c>
    </row>
    <row r="5" spans="1:8" x14ac:dyDescent="0.25">
      <c r="B5" s="6" t="s">
        <v>379</v>
      </c>
      <c r="C5" s="5" t="s">
        <v>122</v>
      </c>
      <c r="E5" s="7"/>
      <c r="F5" s="9" t="str">
        <f>IF(ISBLANK(D5),"",IF(NOT(ISNUMBER(D5)),"קלט לא תקין",IF(D5&lt;0,"קלט לא תקין",IF(ISBLANK(E5),"",IF(OR(E5="כלול",E5="לא רלוונטי"),0,IF(NOT(ISNUMBER(E5)),"קלט לא תקין",IF(E5&lt;0,"קלט לא תקין",ROUND(D5*E5,2))))))))</f>
        <v/>
      </c>
      <c r="G5" s="5" t="s">
        <v>380</v>
      </c>
      <c r="H5" s="5" t="s">
        <v>109</v>
      </c>
    </row>
    <row r="6" spans="1:8" x14ac:dyDescent="0.25">
      <c r="A6" s="5" t="s">
        <v>126</v>
      </c>
      <c r="E6" s="7"/>
      <c r="F6" s="9">
        <f>SUM(F4,F5)</f>
        <v>0</v>
      </c>
      <c r="H6" s="5" t="s">
        <v>127</v>
      </c>
    </row>
  </sheetData>
  <dataValidations count="3">
    <dataValidation type="decimal" operator="greaterThanOrEqual" allowBlank="1" showErrorMessage="1" error="יש להזין מספר לא שלילי" sqref="D4:D5">
      <formula1>0</formula1>
    </dataValidation>
    <dataValidation type="custom" allowBlank="1" showErrorMessage="1" error="מספר לא שלילי, כלול או לא רלוונטי בלבד" sqref="E4">
      <formula1>OR(ISBLANK(E4),AND(ISNUMBER(E4),E4&gt;=0),E4="כלול",E4="לא רלוונטי")</formula1>
    </dataValidation>
    <dataValidation type="custom" allowBlank="1" showErrorMessage="1" error="מספר לא שלילי, כלול או לא רלוונטי בלבד" sqref="E5">
      <formula1>OR(ISBLANK(E5),AND(ISNUMBER(E5),E5&gt;=0),E5="כלול",E5="לא רלוונטי")</formula1>
    </dataValidation>
  </dataValidations>
  <pageMargins left="0.25" right="0.25" top="0.75" bottom="0.75" header="0" footer="0"/>
  <pageSetup paperSize="9" orientation="portrait"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פרטי מסמך</vt:lpstr>
      <vt:lpstr>_BOQ_META</vt:lpstr>
      <vt:lpstr>פרק 1</vt:lpstr>
      <vt:lpstr>פרק 2</vt:lpstr>
      <vt:lpstr>פרק 3</vt:lpstr>
      <vt:lpstr>פרק 4</vt:lpstr>
      <vt:lpstr>פרק 5</vt:lpstr>
      <vt:lpstr>פרק 6</vt:lpstr>
      <vt:lpstr>פרק 7</vt:lpstr>
      <vt:lpstr>פרק 8</vt:lpstr>
      <vt:lpstr>פרק 9</vt:lpstr>
      <vt:lpstr>פרק 10</vt:lpstr>
      <vt:lpstr>פרק 11</vt:lpstr>
      <vt:lpstr>פרק 12</vt:lpstr>
      <vt:lpstr>פרק 13</vt:lpstr>
      <vt:lpstr>פרק 14</vt:lpstr>
      <vt:lpstr>פרק 15</vt:lpstr>
      <vt:lpstr>פרק 16</vt:lpstr>
      <vt:lpstr>פרק 17</vt:lpstr>
      <vt:lpstr>פרק 18</vt:lpstr>
      <vt:lpstr>פרק 19</vt:lpstr>
      <vt:lpstr>פרק 20</vt:lpstr>
      <vt:lpstr>פרק 21</vt:lpstr>
      <vt:lpstr>פרק 22</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2026-10-27T09:39:43Z</dcterms:created>
  <dcterms:modified xsi:type="dcterms:W3CDTF">2026-10-27T09:39:43Z</dcterms:modified>
</cp:coreProperties>
</file>