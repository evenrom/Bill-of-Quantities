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87e2375b34ae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פרק פעיל" sheetId="1" ns1:id="R88e6efcb5e444779"/>
    <sheet name="פרק כבוי" sheetId="2" ns1:id="Rfa563489a44f4df9" state="hidden"/>
    <sheet name="_BOQ_META" sheetId="3" ns1:id="Re57298a7259e4010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&quot;₪&quot;"/>
  </x:numFmts>
  <x:fonts count="3">
    <x:font>
      <x:sz val="11"/>
      <x:name val="Carlito"/>
    </x:font>
    <x:font>
      <x:sz val="12"/>
      <x:name val="Assistant"/>
    </x:font>
    <x:font>
      <x:b/>
      <x:sz val="12"/>
      <x:name val="Assistant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c40f13f6b440d" /><Relationship Type="http://schemas.openxmlformats.org/officeDocument/2006/relationships/theme" Target="/xl/theme/theme1.xml" Id="R0d7f9609610a4c71" /><Relationship Type="http://schemas.microsoft.com/office/2022/11/relationships/FeaturePropertyBag" Target="/xl/featurePropertyBag/featurePropertyBag.xml" Id="Reee4fd4f532c4d83" /><Relationship Type="http://schemas.openxmlformats.org/officeDocument/2006/relationships/sharedStrings" Target="/xl/sharedStrings.xml" Id="Ra21fa8181fb14b76" /><Relationship Type="http://schemas.openxmlformats.org/officeDocument/2006/relationships/worksheet" Target="/xl/worksheets/sheet1.xml" Id="R88e6efcb5e444779" /><Relationship Type="http://schemas.openxmlformats.org/officeDocument/2006/relationships/worksheet" Target="/xl/worksheets/sheet2.xml" Id="Rfa563489a44f4df9" /><Relationship Type="http://schemas.openxmlformats.org/officeDocument/2006/relationships/worksheet" Target="/xl/worksheets/sheet3.xml" Id="Re57298a7259e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9" hidden="0" customWidth="1"/>
    <col min="2" max="2" width="60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8" hidden="1" customWidth="1"/>
    <col min="8" max="8" width="18" hidden="1" customWidth="1"/>
  </cols>
  <sheetData>
    <row r="1" ht="34" customHeight="1">
      <c r="A1" s="6" t="str">
        <v>סעיף</v>
      </c>
      <c r="B1" s="6" t="str">
        <v>תיאור עבודה</v>
      </c>
      <c r="C1" s="6" t="str">
        <v>יחידה</v>
      </c>
      <c r="D1" s="6" t="str">
        <v>כמות</v>
      </c>
      <c r="E1" s="6" t="str">
        <v>מחיר יחידה</v>
      </c>
      <c r="F1" s="6" t="str">
        <v>סה״כ</v>
      </c>
      <c r="G1" s="6" t="str">
        <v>row_id</v>
      </c>
      <c r="H1" s="6" t="str">
        <v>row_type</v>
      </c>
    </row>
    <row r="2" ht="60" customHeight="1">
      <c r="A2" s="4" t="str">
        <v>1.01</v>
      </c>
      <c r="B2" s="4" t="str">
        <v>דלת ניסוי
מידות: {מידות}; תכנית: {הפניה}</v>
      </c>
      <c r="C2" s="4" t="str">
        <v>יח'</v>
      </c>
      <c r="D2" s="4" t="n">
        <v>2.5</v>
      </c>
      <c r="E2" s="7" t="n">
        <v>12.34</v>
      </c>
      <c r="F2" s="7" t="n">
        <f>IF(OR(ISBLANK(D2),ISBLANK(E2)),"",IF(NOT(ISNUMBER(D2)),"קלט לא תקין",IF(D2&lt;0,"קלט לא תקין",IF(ISNUMBER(E2),IF(E2&lt;0,"קלט לא תקין",ROUND(D2*E2,2)),IF(OR(E2="כלול",E2="לא רלוונטי"),0,"קלט לא תקין")))))</f>
        <v>30.85</v>
      </c>
      <c r="G2" s="4" t="str">
        <v>row-001</v>
      </c>
      <c r="H2" s="4" t="str">
        <v>item</v>
      </c>
    </row>
    <row r="3" ht="34" customHeight="1">
      <c r="A3" s="4"/>
      <c r="B3" s="4" t="str">
        <v>הערת ניסוי ללא תמחור</v>
      </c>
      <c r="C3" s="4"/>
      <c r="D3" s="4"/>
      <c r="E3" s="7"/>
      <c r="F3" s="7"/>
      <c r="G3" s="4" t="str">
        <v>row-002</v>
      </c>
      <c r="H3" s="4" t="str">
        <v>note</v>
      </c>
    </row>
    <row r="4" ht="34" customHeight="1">
      <c r="A4" s="4" t="str">
        <v>1.02</v>
      </c>
      <c r="B4" s="4" t="str">
        <v>בדיקת מחיר ריק</v>
      </c>
      <c r="C4" s="4" t="str">
        <v>מ״ר</v>
      </c>
      <c r="D4" s="4" t="n">
        <v>3</v>
      </c>
      <c r="E4" s="7"/>
      <c r="F4" s="7" t="str">
        <f>IF(OR(ISBLANK(D4),ISBLANK(E4)),"",IF(NOT(ISNUMBER(D4)),"קלט לא תקין",IF(D4&lt;0,"קלט לא תקין",IF(ISNUMBER(E4),IF(E4&lt;0,"קלט לא תקין",ROUND(D4*E4,2)),IF(OR(E4="כלול",E4="לא רלוונטי"),0,"קלט לא תקין")))))</f>
      </c>
      <c r="G4" s="4" t="str">
        <v>row-003</v>
      </c>
      <c r="H4" s="4" t="str">
        <v>item</v>
      </c>
    </row>
    <row r="5" ht="34" customHeight="1">
      <c r="A5" s="4" t="str">
        <v>1.03</v>
      </c>
      <c r="B5" s="4" t="str">
        <v>בדיקת אפס</v>
      </c>
      <c r="C5" s="4" t="str">
        <v>יח'</v>
      </c>
      <c r="D5" s="4" t="n">
        <v>1</v>
      </c>
      <c r="E5" s="7" t="n">
        <v>0</v>
      </c>
      <c r="F5" s="7" t="n">
        <f>IF(OR(ISBLANK(D5),ISBLANK(E5)),"",IF(NOT(ISNUMBER(D5)),"קלט לא תקין",IF(D5&lt;0,"קלט לא תקין",IF(ISNUMBER(E5),IF(E5&lt;0,"קלט לא תקין",ROUND(D5*E5,2)),IF(OR(E5="כלול",E5="לא רלוונטי"),0,"קלט לא תקין")))))</f>
        <v>0</v>
      </c>
      <c r="G5" s="4" t="str">
        <v>row-004</v>
      </c>
      <c r="H5" s="4" t="str">
        <v>item</v>
      </c>
    </row>
    <row r="6" ht="34" customHeight="1">
      <c r="A6" s="4" t="str">
        <v>1.04</v>
      </c>
      <c r="B6" s="4" t="str">
        <v>בדיקת כלול</v>
      </c>
      <c r="C6" s="4" t="str">
        <v>יח'</v>
      </c>
      <c r="D6" s="4" t="n">
        <v>2</v>
      </c>
      <c r="E6" s="7" t="str">
        <v>כלול</v>
      </c>
      <c r="F6" s="7" t="n">
        <f>IF(OR(ISBLANK(D6),ISBLANK(E6)),"",IF(NOT(ISNUMBER(D6)),"קלט לא תקין",IF(D6&lt;0,"קלט לא תקין",IF(ISNUMBER(E6),IF(E6&lt;0,"קלט לא תקין",ROUND(D6*E6,2)),IF(OR(E6="כלול",E6="לא רלוונטי"),0,"קלט לא תקין")))))</f>
        <v>0</v>
      </c>
      <c r="G6" s="4" t="str">
        <v>row-005</v>
      </c>
      <c r="H6" s="4" t="str">
        <v>item</v>
      </c>
    </row>
    <row r="7" ht="34" customHeight="1">
      <c r="A7" s="4" t="str">
        <v>1.05</v>
      </c>
      <c r="B7" s="4" t="str">
        <v>בדיקת לא רלוונטי</v>
      </c>
      <c r="C7" s="4" t="str">
        <v>יח'</v>
      </c>
      <c r="D7" s="4" t="n">
        <v>1</v>
      </c>
      <c r="E7" s="7" t="str">
        <v>לא רלוונטי</v>
      </c>
      <c r="F7" s="7" t="n">
        <f>IF(OR(ISBLANK(D7),ISBLANK(E7)),"",IF(NOT(ISNUMBER(D7)),"קלט לא תקין",IF(D7&lt;0,"קלט לא תקין",IF(ISNUMBER(E7),IF(E7&lt;0,"קלט לא תקין",ROUND(D7*E7,2)),IF(OR(E7="כלול",E7="לא רלוונטי"),0,"קלט לא תקין")))))</f>
        <v>0</v>
      </c>
      <c r="G7" s="4" t="str">
        <v>row-006</v>
      </c>
      <c r="H7" s="4" t="str">
        <v>item</v>
      </c>
    </row>
    <row r="8" ht="34" customHeight="1">
      <c r="A8" s="4" t="str">
        <v>1.06</v>
      </c>
      <c r="B8" s="4" t="str">
        <v>בדיקת כמות חסרה</v>
      </c>
      <c r="C8" s="4" t="str">
        <v>יח'</v>
      </c>
      <c r="D8" s="4"/>
      <c r="E8" s="7" t="n">
        <v>10</v>
      </c>
      <c r="F8" s="7" t="str">
        <f>IF(OR(ISBLANK(D8),ISBLANK(E8)),"",IF(NOT(ISNUMBER(D8)),"קלט לא תקין",IF(D8&lt;0,"קלט לא תקין",IF(ISNUMBER(E8),IF(E8&lt;0,"קלט לא תקין",ROUND(D8*E8,2)),IF(OR(E8="כלול",E8="לא רלוונטי"),0,"קלט לא תקין")))))</f>
      </c>
      <c r="G8" s="4" t="str">
        <v>row-007</v>
      </c>
      <c r="H8" s="4" t="str">
        <v>item</v>
      </c>
    </row>
    <row r="9" ht="34" customHeight="1">
      <c r="A9" s="4" t="str">
        <v>1.07</v>
      </c>
      <c r="B9" s="4" t="str">
        <v>בדיקת מחיר לא תקין</v>
      </c>
      <c r="C9" s="4" t="str">
        <v>יח'</v>
      </c>
      <c r="D9" s="4" t="n">
        <v>1</v>
      </c>
      <c r="E9" s="7" t="str">
        <v>טקסט שגוי</v>
      </c>
      <c r="F9" s="7" t="str">
        <f>IF(OR(ISBLANK(D9),ISBLANK(E9)),"",IF(NOT(ISNUMBER(D9)),"קלט לא תקין",IF(D9&lt;0,"קלט לא תקין",IF(ISNUMBER(E9),IF(E9&lt;0,"קלט לא תקין",ROUND(D9*E9,2)),IF(OR(E9="כלול",E9="לא רלוונטי"),0,"קלט לא תקין")))))</f>
        <v>קלט לא תקין</v>
      </c>
      <c r="G9" s="4" t="str">
        <v>row-008</v>
      </c>
      <c r="H9" s="4" t="str">
        <v>item</v>
      </c>
    </row>
    <row r="10" ht="34" customHeight="1">
      <c r="A10" s="4" t="str">
        <v>1.08</v>
      </c>
      <c r="B10" s="4" t="str">
        <v>בדיקת עיגול</v>
      </c>
      <c r="C10" s="4" t="str">
        <v>יח'</v>
      </c>
      <c r="D10" s="4" t="n">
        <v>0.5</v>
      </c>
      <c r="E10" s="7" t="n">
        <v>0.01</v>
      </c>
      <c r="F10" s="7" t="n">
        <f>IF(OR(ISBLANK(D10),ISBLANK(E10)),"",IF(NOT(ISNUMBER(D10)),"קלט לא תקין",IF(D10&lt;0,"קלט לא תקין",IF(ISNUMBER(E10),IF(E10&lt;0,"קלט לא תקין",ROUND(D10*E10,2)),IF(OR(E10="כלול",E10="לא רלוונטי"),0,"קלט לא תקין")))))</f>
        <v>0.01</v>
      </c>
      <c r="G10" s="4" t="str">
        <v>row-009</v>
      </c>
      <c r="H10" s="4" t="str">
        <v>item</v>
      </c>
    </row>
    <row r="11" ht="34" customHeight="1">
      <c r="A11" s="4"/>
      <c r="B11" s="4" t="str">
        <v>סה״כ חלקי</v>
      </c>
      <c r="C11" s="4"/>
      <c r="D11" s="4"/>
      <c r="E11" s="7"/>
      <c r="F11" s="7" t="n">
        <f>SUM(F2:F10)</f>
        <v>30.860000000000003</v>
      </c>
      <c r="G11" s="4"/>
      <c r="H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9" hidden="0" customWidth="1"/>
    <col min="2" max="2" width="60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8" hidden="1" customWidth="1"/>
    <col min="8" max="8" width="18" hidden="1" customWidth="1"/>
  </cols>
  <sheetData>
    <row r="1" ht="34" customHeight="1">
      <c r="A1" s="6" t="str">
        <v>סעיף</v>
      </c>
      <c r="B1" s="6" t="str">
        <v>תיאור עבודה</v>
      </c>
      <c r="C1" s="6" t="str">
        <v>יחידה</v>
      </c>
      <c r="D1" s="6" t="str">
        <v>כמות</v>
      </c>
      <c r="E1" s="6" t="str">
        <v>מחיר יחידה</v>
      </c>
      <c r="F1" s="6" t="str">
        <v>סה״כ</v>
      </c>
      <c r="G1" s="6" t="str">
        <v>row_id</v>
      </c>
      <c r="H1" s="6" t="str">
        <v>row_type</v>
      </c>
    </row>
    <row r="2" ht="34" customHeight="1">
      <c r="A2" s="4"/>
      <c r="B2" s="4" t="str">
        <v>תוכן פרק כבוי נשמר להמשך עריכה</v>
      </c>
      <c r="C2" s="4" t="str">
        <v>מ״ר</v>
      </c>
      <c r="D2" s="4" t="n">
        <v>7</v>
      </c>
      <c r="E2" s="7"/>
      <c r="F2" s="7"/>
      <c r="G2" s="4" t="str">
        <v>row-010</v>
      </c>
      <c r="H2" s="4" t="str">
        <v>item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2" t="str">
        <x:v>BOQ_WORKBOOK</x:v>
      </x:c>
      <x:c r="B1" s="2" t="n">
        <x:v>1</x:v>
      </x:c>
      <x:c r="C1" s="2"/>
      <x:c r="D1" s="2"/>
    </x:row>
    <x:row r="2" ht="28" customHeight="1">
      <x:c r="A2" s="2" t="str">
        <x:v>document_id</x:v>
      </x:c>
      <x:c r="B2" s="2" t="str">
        <x:v>probe-20261026</x:v>
      </x:c>
      <x:c r="C2" s="2"/>
      <x:c r="D2" s="2"/>
    </x:row>
    <x:row r="3" ht="28" customHeight="1">
      <x:c r="A3" s="2" t="str">
        <x:v>kind</x:v>
      </x:c>
      <x:c r="B3" s="2" t="str">
        <x:v>project</x:v>
      </x:c>
      <x:c r="C3" s="2"/>
      <x:c r="D3" s="2"/>
    </x:row>
    <x:row r="4" ht="28" customHeight="1">
      <x:c r="A4" s="2" t="str">
        <x:v>project_name</x:v>
      </x:c>
      <x:c r="B4" s="2" t="str">
        <x:v>ניסוי סינתטי בלבד</x:v>
      </x:c>
      <x:c r="C4" s="2"/>
      <x:c r="D4" s="2"/>
    </x:row>
    <x:row r="5" ht="28" customHeight="1">
      <x:c r="A5" s="2" t="str">
        <x:v>vat_rate</x:v>
      </x:c>
      <x:c r="B5" s="2" t="n">
        <x:v>0.18</x:v>
      </x:c>
      <x:c r="C5" s="2"/>
      <x:c r="D5" s="2"/>
    </x:row>
    <x:row r="6" ht="28" customHeight="1">
      <x:c r="A6" s="2" t="str">
        <x:v>chapter_id</x:v>
      </x:c>
      <x:c r="B6" s="2" t="str">
        <x:v>sheet_name</x:v>
      </x:c>
      <x:c r="C6" s="2" t="str">
        <x:v>active</x:v>
      </x:c>
      <x:c r="D6" s="2" t="str">
        <x:v>order</x:v>
      </x:c>
    </x:row>
    <x:row r="7" ht="28" customHeight="1">
      <x:c r="A7" s="2" t="str">
        <x:v>chapter-001</x:v>
      </x:c>
      <x:c r="B7" s="2" t="str">
        <x:v>פרק פעיל</x:v>
      </x:c>
      <x:c r="C7" s="8" t="b">
        <x:v>1</x:v>
      </x:c>
      <x:c r="D7" s="2" t="n">
        <x:v>0</x:v>
      </x:c>
    </x:row>
    <x:row r="8" ht="28" customHeight="1">
      <x:c r="A8" s="2" t="str">
        <x:v>chapter-002</x:v>
      </x:c>
      <x:c r="B8" s="2" t="str">
        <x:v>פרק כבוי</x:v>
      </x:c>
      <x:c r="C8" s="8" t="b">
        <x:v>0</x:v>
      </x:c>
      <x:c r="D8" s="2" t="n">
        <x:v>1</x:v>
      </x:c>
    </x:row>
  </x:sheetData>
  <x:pageMargins left="0.7" right="0.7" top="0.75" bottom="0.75" header="0.3" footer="0.3"/>
</x:worksheet>
</file>