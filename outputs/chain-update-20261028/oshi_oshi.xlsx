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פירוק והריסה" state="visible" r:id="rId7"/>
    <sheet sheetId="5" name="בנייה ומחיצות פנים" state="visible" r:id="rId8"/>
    <sheet sheetId="6" name="אינסטלציה ותברואה" state="visible" r:id="rId9"/>
    <sheet sheetId="7" name="חשמל והכנות תקשורת" state="visible" r:id="rId10"/>
    <sheet sheetId="8" name="הכנות רצפה והגבהות" state="visible" r:id="rId11"/>
    <sheet sheetId="9" name="איטום" state="visible" r:id="rId12"/>
    <sheet sheetId="10" name="דלתות פנים" state="visible" r:id="rId13"/>
    <sheet sheetId="11" name="ריצוף וחיפוי אושי־אושי" state="visible" r:id="rId14"/>
    <sheet sheetId="12" name="תקרות והנמכות" state="visible" r:id="rId15"/>
    <sheet sheetId="13" name="צבע וגמרים דקורטיביים" state="visible" r:id="rId16"/>
    <sheet sheetId="14" name="נגרות אושי־אושי" state="visible" r:id="rId17"/>
    <sheet sheetId="15" name="מסגרות אושי־אושי" state="visible" r:id="rId18"/>
    <sheet sheetId="16" name="אלומיניום וזיגוג אושי־אושי" state="visible" r:id="rId19"/>
    <sheet sheetId="17" name="משטחים מיוחדים" state="visible" r:id="rId20"/>
    <sheet sheetId="18" name="אספקות גמר נפרדות" state="visible" r:id="rId21"/>
    <sheet sheetId="19" name="מיזוג ואוורור" state="visible" r:id="rId22"/>
    <sheet sheetId="20" name="ציוד מטבח ונירוסטה" state="visible" r:id="rId23"/>
    <sheet sheetId="21" name="הכנות ומערכת גז" state="visible" r:id="rId24"/>
    <sheet sheetId="22" name="כיבוי וגילוי" state="visible" r:id="rId25"/>
    <sheet sheetId="23" name="אביזרי נגישות" state="visible" r:id="rId26"/>
    <sheet sheetId="24" name="שילוט ומיתוג" state="visible" r:id="rId27"/>
    <sheet sheetId="25" name="ריהוט וישיבה" state="visible" r:id="rId28"/>
    <sheet sheetId="26" name="ריכוז עלויות" state="visible" r:id="rId29"/>
  </sheets>
  <definedNames>
    <definedName name="_xlnm.Print_Area" localSheetId="0">'שער'!$A1:$F13</definedName>
    <definedName name="_xlnm.Print_Area" localSheetId="1">'מקרא והנחיות'!$A1:$F36</definedName>
    <definedName name="_xlnm.Print_Area" localSheetId="3">'פירוק והריסה'!$A1:$F13</definedName>
    <definedName name="_xlnm.Print_Area" localSheetId="4">'בנייה ומחיצות פנים'!$A1:$F11</definedName>
    <definedName name="_xlnm.Print_Area" localSheetId="5">'אינסטלציה ותברואה'!$A1:$F13</definedName>
    <definedName name="_xlnm.Print_Area" localSheetId="6">'חשמל והכנות תקשורת'!$A1:$F15</definedName>
    <definedName name="_xlnm.Print_Area" localSheetId="7">'הכנות רצפה והגבהות'!$A1:$F7</definedName>
    <definedName name="_xlnm.Print_Area" localSheetId="8">'איטום'!$A1:$F7</definedName>
    <definedName name="_xlnm.Print_Area" localSheetId="9">'דלתות פנים'!$A1:$F7</definedName>
    <definedName name="_xlnm.Print_Area" localSheetId="10">'ריצוף וחיפוי אושי־אושי'!$A1:$F16</definedName>
    <definedName name="_xlnm.Print_Area" localSheetId="11">'תקרות והנמכות'!$A1:$F9</definedName>
    <definedName name="_xlnm.Print_Area" localSheetId="12">'צבע וגמרים דקורטיביים'!$A1:$F9</definedName>
    <definedName name="_xlnm.Print_Area" localSheetId="13">'נגרות אושי־אושי'!$A1:$F21</definedName>
    <definedName name="_xlnm.Print_Area" localSheetId="14">'מסגרות אושי־אושי'!$A1:$F18</definedName>
    <definedName name="_xlnm.Print_Area" localSheetId="15">'אלומיניום וזיגוג אושי־אושי'!$A1:$F8</definedName>
    <definedName name="_xlnm.Print_Area" localSheetId="16">'משטחים מיוחדים'!$A1:$F9</definedName>
    <definedName name="_xlnm.Print_Area" localSheetId="17">'אספקות גמר נפרדות'!$A1:$F8</definedName>
    <definedName name="_xlnm.Print_Area" localSheetId="18">'מיזוג ואוורור'!$A1:$F7</definedName>
    <definedName name="_xlnm.Print_Area" localSheetId="19">'ציוד מטבח ונירוסטה'!$A1:$F7</definedName>
    <definedName name="_xlnm.Print_Area" localSheetId="20">'הכנות ומערכת גז'!$A1:$F7</definedName>
    <definedName name="_xlnm.Print_Area" localSheetId="21">'כיבוי וגילוי'!$A1:$F8</definedName>
    <definedName name="_xlnm.Print_Area" localSheetId="22">'אביזרי נגישות'!$A1:$F7</definedName>
    <definedName name="_xlnm.Print_Area" localSheetId="23">'שילוט ומיתוג'!$A1:$F7</definedName>
    <definedName name="_xlnm.Print_Area" localSheetId="24">'ריהוט וישיבה'!$A1:$F8</definedName>
    <definedName name="_xlnm.Print_Area" localSheetId="25">'ריכוז עלויות'!$A1:$F28</definedName>
  </definedNames>
  <calcPr calcId="171027" fullCalcOnLoad="1"/>
</workbook>
</file>

<file path=xl/sharedStrings.xml><?xml version="1.0" encoding="utf-8"?>
<sst xmlns="http://schemas.openxmlformats.org/spreadsheetml/2006/main" count="1005" uniqueCount="455">
  <si>
    <t>פירוט טכני וכתב כמויות</t>
  </si>
  <si>
    <t/>
  </si>
  <si>
    <t>2026-10-28</t>
  </si>
  <si>
    <t>נחלת יצחק 34 ת"א | טל- 0505241244</t>
  </si>
  <si>
    <t>spacer</t>
  </si>
  <si>
    <t>מקרא ותוכן עניינים</t>
  </si>
  <si>
    <t>פרק</t>
  </si>
  <si>
    <t>שם הפרק</t>
  </si>
  <si>
    <t>עמוד</t>
  </si>
  <si>
    <t>פירוק והריסה</t>
  </si>
  <si>
    <t>בנייה ומחיצות פנים</t>
  </si>
  <si>
    <t>אינסטלציה ותברואה</t>
  </si>
  <si>
    <t>חשמל והכנות תקשורת</t>
  </si>
  <si>
    <t>הכנות רצפה והגבהות</t>
  </si>
  <si>
    <t>איטום</t>
  </si>
  <si>
    <t>דלתות פנים</t>
  </si>
  <si>
    <t>ריצוף וחיפוי אושי־אושי</t>
  </si>
  <si>
    <t>תקרות והנמכות</t>
  </si>
  <si>
    <t>צבע וגמרים דקורטיביים</t>
  </si>
  <si>
    <t>נגרות אושי־אושי</t>
  </si>
  <si>
    <t>מסגרות אושי־אושי</t>
  </si>
  <si>
    <t>אלומיניום וזיגוג אושי־אושי</t>
  </si>
  <si>
    <t>משטחים מיוחדים</t>
  </si>
  <si>
    <t>אספקות גמר נפרדות</t>
  </si>
  <si>
    <t>מיזוג ואוורור</t>
  </si>
  <si>
    <t>ציוד מטבח ונירוסטה</t>
  </si>
  <si>
    <t>הכנות ומערכת גז</t>
  </si>
  <si>
    <t>כיבוי וגילוי</t>
  </si>
  <si>
    <t>אביזרי נגישות</t>
  </si>
  <si>
    <t>מקרא והנחיות — המשך</t>
  </si>
  <si>
    <t>שילוט ומיתוג</t>
  </si>
  <si>
    <t>ריהוט וישיבה</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</si>
  <si>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</si>
  <si>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</si>
  <si>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</si>
  <si>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מפרטי הרשת שנקבעו בשורות נשמרים. רק פרטי סניף ובחירות שנותרו פתוחות יושלמו לפי מסמכי הפרויקט וההכרעות המאושרים; אין למלא מחלוקת מערך של סניף קודם ללא אישור.</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</si>
  <si>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</si>
  <si>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</si>
  <si>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</si>
  <si>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contractor</t>
  </si>
  <si>
    <t>f971a04a-e247-46b2-8780-bc2c94895d90</t>
  </si>
  <si>
    <t>8c264356-3144-4600-a0dd-99e491db6035</t>
  </si>
  <si>
    <t>oshi_oshi</t>
  </si>
  <si>
    <t>["89cf1821-72b3-4c89-91dc-dda7acdc2f13","cf61fba7-00ad-4d66-b23a-f20511104b42","0821a825-0557-4b30-bd61-a657a755cdce","f8e394a4-d615-44e1-9ee5-d336cee69506","b282e2b0-fec5-4a21-9b10-da97a8a97b3c","f0f7e86c-8794-4f60-91b2-ae611061df89","ae7bf8ae-4c15-44e2-9253-ec5246f86911","fcfab07d-8db2-4c1a-85fc-8ffdd92e5928","a034dc64-5238-4f6d-ac72-e171735cebcd","f5b9b0f2-a675-4189-835c-77177ec23456","1ef12c57-6844-4377-9536-1c8832d9430a","c88f8c19-50d0-4f8f-bf05-4ec81294ad24","db68935b-099f-4748-8872-86df3c0cdc54","c69dceb1-4be0-4306-a4d6-cee141b1b67c","6114ed4a-0542-455f-a7ed-1f5a61b2a057","f66b1b6b-82c7-4ecf-89c7-694d49025855","271c19a0-eccc-4801-a1e3-45ed2d1f81f9","6242246f-f711-4c70-a8a1-f1b154b12de4","16cc9239-2691-4917-b952-d47f6582819f","08aadde9-c0a6-438e-a608-b7f230bf1427","500fce2c-0b40-4874-945f-b08548d24364","38398255-8c0d-429c-bcac-98b4a88d3016"]</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</si>
  <si>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</si>
  <si>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</si>
  <si>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והנחיות","cell":"A31"},{"sheet":"מקרא והנחיות","cell":"A32"},{"sheet":"מקרא והנחיות","cell":"A33"},{"sheet":"מקרא והנחיות","cell":"A34"},{"sheet":"מקרא והנחיות","cell":"A35"}]}</t>
  </si>
  <si>
    <t>{"width":2836,"height":771,"sha256":"11e4cb844c2fce059d04ea30f256087da08ced63e5ed936793dfe2e25a583992"}</t>
  </si>
  <si>
    <t>chapterId</t>
  </si>
  <si>
    <t>sheet</t>
  </si>
  <si>
    <t>active</t>
  </si>
  <si>
    <t>rowIds</t>
  </si>
  <si>
    <t>89cf1821-72b3-4c89-91dc-dda7acdc2f13</t>
  </si>
  <si>
    <t>["c0d5aee2-4c84-4ad3-9e2b-d7c0a9492955","2858f0be-e9d1-4d79-85c1-02d2fa01d511","bfb510ee-fd38-45a8-8407-63f83b2cbc9d","ea4ec611-5c31-443c-9cc8-3b29aa60fb4f","3f0127a7-21fa-4f65-a78a-3847c0f49d84","099ce812-b36f-4b53-9b46-cdf7d8c82752","a3f31d66-b815-4793-8db0-ee6176920241","bbcba1a1-129b-4ee6-bd25-69a95a000901","6183dc62-52e2-4662-a1c3-553ac0ed70a9"]</t>
  </si>
  <si>
    <t>cf61fba7-00ad-4d66-b23a-f20511104b42</t>
  </si>
  <si>
    <t>["e9363238-00e2-49ad-bf3f-177d43e5e746","c7a971e5-e154-4ab9-90b2-530cbf7c54a9","da3762b4-478a-409f-b339-27827d6958b9","a1a0e11e-6a7d-431e-971e-a354902b8ca0","ff54d41f-863c-44e7-9b18-e3c1cbf2cc1c","59e45f4c-c08a-40e0-bbe5-c77b8428dd71","2ebb6518-d976-4be1-8423-a37d18804655"]</t>
  </si>
  <si>
    <t>0821a825-0557-4b30-bd61-a657a755cdce</t>
  </si>
  <si>
    <t>["a7ab8dfb-2c0a-48e6-b44b-800dc91b9939","dc9c9809-c204-4606-aef7-f1008e49e341","b2b72ee2-2fa9-44e7-aa39-bdddf082e3d1","3eab265c-1275-4a44-b790-b0871954a411","5b7b34cf-77b1-4822-9692-f6d95534cdfa","14251e6b-b7ce-46c8-9c6d-99b9832db87e","965b5eb5-98fb-4085-8d32-65a5049adb55","cef29ff1-613f-48e0-855e-eb296e7f3302","6365b3a7-ca7e-4e37-98a1-41740bf255d6"]</t>
  </si>
  <si>
    <t>f8e394a4-d615-44e1-9ee5-d336cee69506</t>
  </si>
  <si>
    <t>["f671a80d-911c-4daa-844e-9e29b1aeecb2","31a2e879-e495-4e9f-b2c2-008bbc51cbc8","b50b1425-a17f-4b5f-8aa1-f83a5e229ef7","10049eb0-576d-4170-98b6-e29d345d22be","381fe78a-9e9e-4ec5-907a-e3e8d2a0bdf3","bb2b4f4a-ffdd-4f27-b815-4331e3d14601","4a8f7e26-7728-4ae6-a197-237bc84c8c9a","e68ab009-c348-4fc0-a50b-5bcd4c93f05b","103626c3-c22e-447b-98fb-3dfebb9cdaeb","de8577f3-fa9c-4b4c-9cf6-05f5bdbe8c71","f0e4e920-3b04-4c22-9d93-e86d05c4d6b0"]</t>
  </si>
  <si>
    <t>b282e2b0-fec5-4a21-9b10-da97a8a97b3c</t>
  </si>
  <si>
    <t>["d739b3bc-780a-4a72-ba86-0ab69d5555d8","279664b5-0c3b-4d71-94ff-831a0ad7f0f2"]</t>
  </si>
  <si>
    <t>f0f7e86c-8794-4f60-91b2-ae611061df89</t>
  </si>
  <si>
    <t>["0b2c232b-b1ec-4d04-9327-63c5c169d60b","e3b5eca2-2a63-4dd4-9acb-ae3c70e63581"]</t>
  </si>
  <si>
    <t>ae7bf8ae-4c15-44e2-9253-ec5246f86911</t>
  </si>
  <si>
    <t>["88b108a2-ba3a-44cb-b624-e7f2d477a59b","6af4c878-c16d-4cdc-b056-b9017d9ed215"]</t>
  </si>
  <si>
    <t>fcfab07d-8db2-4c1a-85fc-8ffdd92e5928</t>
  </si>
  <si>
    <t>["035dd93f-ff8c-4c4f-82e0-fb95305e9064","e90f467b-62ad-4dc5-8390-2824cd47051d","2a77b2b0-bd89-484c-aefa-7649237266a3","529a5c22-b175-444b-a0a1-a79b20edce82","762c2a92-e28a-48bc-b6d4-aa7890919569","f33b6302-5f9a-4646-afa0-50840c5212fb","814e0b35-7c45-4f2e-9d46-c65e831796f3","11915dd1-408c-46c9-8a03-20d139f5f017"]</t>
  </si>
  <si>
    <t>a034dc64-5238-4f6d-ac72-e171735cebcd</t>
  </si>
  <si>
    <t>["b018f255-7f74-4926-bd9d-03ca8de14c5f","90d00fb0-cde4-4ea7-96e7-6fb4866f2cbf","6931ce28-5fc3-4d9d-9a0a-6f3b1dcc9430","a6e52682-36e0-454b-96bd-ee2696af011f","bbacb34f-969a-4784-82e4-352b2d5757d0"]</t>
  </si>
  <si>
    <t>f5b9b0f2-a675-4189-835c-77177ec23456</t>
  </si>
  <si>
    <t>["65d9619e-f59f-4ffb-979d-4f212dc38e6e","57de838b-c1ff-4814-8a3e-fc2ecf82c909","5249fb67-2ebb-416a-85de-0aeb02b82fc1","7c779bf6-5dc8-491e-a313-8a6ae8be25bd","1a5045ec-62d9-4b53-bf57-e987bd4be60d"]</t>
  </si>
  <si>
    <t>1ef12c57-6844-4377-9536-1c8832d9430a</t>
  </si>
  <si>
    <t>["e6d6b168-577f-48a1-a785-79c9ce0a98c3","505199b7-23f9-46a5-bae6-2ec608970020","72e7ba87-dc88-46de-9b6c-263b6f8a03c2","c3cd28e5-5d01-4c10-8fa1-6eb41b02e3cb","dc27ed35-c9b3-444b-a671-043c55df5ff9","fb19eebb-f858-4a25-81c9-76315e81b53b","d9d2e282-ac14-48e1-977b-b51cf959cf46","7ca31fc3-ad79-4d9c-af85-8438db16427e","6f64ed20-35c0-4c0c-ae0e-6bfddc26600c","e4142fab-622c-4c97-8e40-155fc06a2ee6","c07c12c9-f785-4ac9-ba64-8c3dd32fd7a1","f6272e14-b96a-4269-8f83-fe57fa052f79","1d16f450-db46-4817-83ae-c4be601a2593","1c434242-36b3-40c9-9d75-9f3d2131bdd2"]</t>
  </si>
  <si>
    <t>c88f8c19-50d0-4f8f-bf05-4ec81294ad24</t>
  </si>
  <si>
    <t>["ede56674-a0e0-4594-b46c-35708807b906","a91a7af2-dc99-450d-b0f0-e514181f4b96","6ac9c51a-c10d-4be4-a589-8ecbdee65bc9","e2972e79-9c46-48b0-90cc-f830e3330095","94c849cd-cf94-40cb-a323-fc827fb7177d","9c0d69cf-954b-4d90-80d9-eef1f2aa6d8a","be913337-5e8d-4009-8a1b-7543b0addea3","6d89502a-e2d8-4d8f-8c15-91e7883b0455","98ed4f35-d46a-47fc-b06a-06e1cbf28e04","a02b0c22-f069-471d-aac4-106aec900ad0","7bc1bad8-a136-40ed-a037-d1a04cc009a2"]</t>
  </si>
  <si>
    <t>db68935b-099f-4748-8872-86df3c0cdc54</t>
  </si>
  <si>
    <t>["1ea82966-c69b-4c57-ab84-7be26dd80dd7","99cb4301-2cf4-4688-afe7-32f8d8fbde3d","fefbffb3-a85b-4be5-9251-ca172d4de6bf","c4175152-e8a6-406f-8bda-4c454e4f5583"]</t>
  </si>
  <si>
    <t>c69dceb1-4be0-4306-a4d6-cee141b1b67c</t>
  </si>
  <si>
    <t>["0211a3d5-ce4e-46cb-82c0-2b1d9cfa8562","4e57bc45-072e-4150-b60e-fd86cf1d2ef8","83e364dc-1b36-4b81-a311-5d68d8e524f2","11c7765a-0e84-4cbf-89f1-f330a0932a0f"]</t>
  </si>
  <si>
    <t>6114ed4a-0542-455f-a7ed-1f5a61b2a057</t>
  </si>
  <si>
    <t>["05e0039a-1dac-4677-95a7-679d514b9228","d79791c7-a25c-413d-af24-d032985ea078","41ea2e75-51bf-4b18-86a4-c3a2d83568a1","f7ba6162-7a3c-409e-9652-9d29de9cd080"]</t>
  </si>
  <si>
    <t>f66b1b6b-82c7-4ecf-89c7-694d49025855</t>
  </si>
  <si>
    <t>["a6b1da0d-28be-4b30-939d-973a7d8c8ccf","4430e329-d945-41f7-a764-feb500d143c7"]</t>
  </si>
  <si>
    <t>271c19a0-eccc-4801-a1e3-45ed2d1f81f9</t>
  </si>
  <si>
    <t>["bebd7028-32ab-4e90-9cae-d17a27cbacdc","bd805dde-5240-4b77-ad6f-adb0d8432d13"]</t>
  </si>
  <si>
    <t>6242246f-f711-4c70-a8a1-f1b154b12de4</t>
  </si>
  <si>
    <t>["cf1f2c8b-f851-4583-bee3-355c9d5508ff","f37a71cd-2251-46bf-a7f4-f9a14e3dbe6f"]</t>
  </si>
  <si>
    <t>16cc9239-2691-4917-b952-d47f6582819f</t>
  </si>
  <si>
    <t>["080669c8-5251-411c-a0cf-4d05eaf25115","3d054596-1420-40d4-a88b-ed47366d45f6","107122bc-7559-4a35-aa88-0f04c5ac4ced"]</t>
  </si>
  <si>
    <t>08aadde9-c0a6-438e-a608-b7f230bf1427</t>
  </si>
  <si>
    <t>["48aa3c72-d099-44cc-94af-690fe47fbbf6","bff4b214-9be8-46d8-849c-8aea60c0700f"]</t>
  </si>
  <si>
    <t>500fce2c-0b40-4874-945f-b08548d24364</t>
  </si>
  <si>
    <t>["7427a35d-c54b-4cac-8b50-59f437a2794d","91ab0439-3352-4b64-a5ca-14e972a80379"]</t>
  </si>
  <si>
    <t>38398255-8c0d-429c-bcac-98b4a88d3016</t>
  </si>
  <si>
    <t>["88841134-2c8c-417b-8acc-6af740ad63ab","7e283deb-a816-4e49-8ff9-9746925aaea4","ac68329b-2b1b-4798-a718-ec48d7b8138e"]</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</si>
  <si>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</si>
  <si>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</si>
  <si>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</si>
  <si>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</si>
  <si>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</si>
  <si>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</si>
  <si>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</si>
  <si>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</si>
  <si>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</si>
  <si>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c0d5aee2-4c84-4ad3-9e2b-d7c0a9492955</t>
  </si>
  <si>
    <t>note</t>
  </si>
  <si>
    <t>1.01</t>
  </si>
  <si>
    <t>פירוק מחיצות פנים באזור {אזור}, כולל חיפויים, דלתות ומשקופים המיועדים לפירוק, עד גבולות העבודה המסומנים בתכנית. רכיבים לשמירה: {רכיבים}.</t>
  </si>
  <si>
    <t>מ"ר</t>
  </si>
  <si>
    <t>2858f0be-e9d1-4d79-85c1-02d2fa01d511</t>
  </si>
  <si>
    <t>item</t>
  </si>
  <si>
    <t>1.02</t>
  </si>
  <si>
    <t>פירוק תקרה או הנמכה מסוג {סוג} באזור {אזור}, לרבות התשתית המיועדת לפירוק. הטיפול בחלקים: {פינוי או שמירה להרכבה מחדש}.</t>
  </si>
  <si>
    <t>bfb510ee-fd38-45a8-8407-63f83b2cbc9d</t>
  </si>
  <si>
    <t>1.03</t>
  </si>
  <si>
    <t>פירוק ריצוף ושכבות תשתית באזור {אזור}, עד {גבול ועומק פירוק}, כהכנה לעבודות החדשות המפורטות בפרויקט.</t>
  </si>
  <si>
    <t>ea4ec611-5c31-443c-9cc8-3b29aa60fb4f</t>
  </si>
  <si>
    <t>1.04</t>
  </si>
  <si>
    <t>פירוק ופינוי ריהוט קבוע, ארונות וציוד המיועדים לפינוי באזור {אזור}; פריטים לשימוש חוזר וגבולות פירוק יפורטו לפני תחילת העבודה.</t>
  </si>
  <si>
    <t>קומפ'</t>
  </si>
  <si>
    <t>3f0127a7-21fa-4f65-a78a-3847c0f49d84</t>
  </si>
  <si>
    <t>1.05</t>
  </si>
  <si>
    <t>פירוק מערכת חשמל ואביזריה באזור {אזור}, בגבולות הנקובים בתכנון. מעגלים ואביזרים שנשארים פעילים או מיועדים להרכבה מחדש: {פירוט}.</t>
  </si>
  <si>
    <t>099ce812-b36f-4b53-9b46-cdf7d8c82752</t>
  </si>
  <si>
    <t>1.06</t>
  </si>
  <si>
    <t>פירוק צנרת ואביזרי אינסטלציה המיועדים להחלפה באזור {אזור}, בגבולות {תחילה וסיום}; הגנת וחסימת קצוות החיבור לפי התכנון.</t>
  </si>
  <si>
    <t>a3f31d66-b815-4793-8db0-ee6176920241</t>
  </si>
  <si>
    <t>1.07</t>
  </si>
  <si>
    <t>פירוק פתח מטיפוס {זיהוי}, לרבות {כנף, משקוף, זיגוג או תריס}, בגבולות {תכולה}; רכיבים לשימור: {פירוט}.</t>
  </si>
  <si>
    <t>יח'</t>
  </si>
  <si>
    <t>bbcba1a1-129b-4ee6-bd25-69a95a000901</t>
  </si>
  <si>
    <t>1.08</t>
  </si>
  <si>
    <t>פירוק שילוט קיים מטיפוס {זיהוי}, כולל רכיבי התקנה והזנה המיועדים לפירוק, ושמירה על רכיבים שסומנו להמשך שימוש.</t>
  </si>
  <si>
    <t>6183dc62-52e2-4662-a1c3-553ac0ed70a9</t>
  </si>
  <si>
    <t>סיכום חלקי פרק 1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</si>
  <si>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</si>
  <si>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</si>
  <si>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e9363238-00e2-49ad-bf3f-177d43e5e746</t>
  </si>
  <si>
    <t>2.01</t>
  </si>
  <si>
    <t xml:space="preserve">הקמת מחיצת פנים במערכת בנייה יבשה באזור {אזור}.
גובה: {גובה}; עובי ומבנה המערכת: {מפרט}; לוחות: {סוג ושכבות}; בידוד: {מפרט}; בסיס ועיגון: {פרט}.</t>
  </si>
  <si>
    <t>c7a971e5-e154-4ab9-90b2-530cbf7c54a9</t>
  </si>
  <si>
    <t>2.02</t>
  </si>
  <si>
    <t>ביצוע עיבוי או חיפוי קיר קיים במערכת {סוג}, בגובה {גובה}, באזור {אזור}, לצורך {ייעוד}, לרבות תשתית וחיבורים כמפורט.</t>
  </si>
  <si>
    <t>da3762b4-478a-409f-b339-27827d6958b9</t>
  </si>
  <si>
    <t>2.03</t>
  </si>
  <si>
    <t>הקמת מחיצה נמוכה כתשתית לדלפק או להפרדה באזור {אזור}, בגובה ובחתך {מידות}, במערכת {סוג}, לרבות {תכולה ועיגון}.</t>
  </si>
  <si>
    <t>מ.א.</t>
  </si>
  <si>
    <t>a1a0e11e-6a7d-431e-971e-a354902b8ca0</t>
  </si>
  <si>
    <t>2.04</t>
  </si>
  <si>
    <t>אספקה והתקנת מגן פינה מנירוסטה מטיפוס {טיפוס}, במידות {מידות}, עובי וגמר {מפרט}, על תשתית {סוג} ובאופן חיבור {פרט}.</t>
  </si>
  <si>
    <t>ff54d41f-863c-44e7-9b18-e3c1cbf2cc1c</t>
  </si>
  <si>
    <t>2.05</t>
  </si>
  <si>
    <t>אספקה והתקנת מגן קצה מנירוסטה מטיפוס {טיפוס}, במידות {מידות}, עובי וגמר {מפרט}, על תשתית {סוג} ובאופן חיבור {פרט}.</t>
  </si>
  <si>
    <t>59e45f4c-c08a-40e0-bbe5-c77b8428dd71</t>
  </si>
  <si>
    <t>2.06</t>
  </si>
  <si>
    <t>אספקה והתקנת משקוף נירוסטה לפתח {זיהוי וייעוד}, במידות {מידות}, עובי וגמר {מפרט}, לרבות החיבורים והעיגון שנקבעו לפריט.</t>
  </si>
  <si>
    <t>2ebb6518-d976-4be1-8423-a37d18804655</t>
  </si>
  <si>
    <t>סיכום חלקי פרק 2 להעברה</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</si>
  <si>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</si>
  <si>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a7ab8dfb-2c0a-48e6-b44b-800dc91b9939</t>
  </si>
  <si>
    <t>3.01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</si>
  <si>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</si>
  <si>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dc9c9809-c204-4606-aef7-f1008e49e341</t>
  </si>
  <si>
    <t>3.02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</si>
  <si>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</si>
  <si>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</si>
  <si>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b2b72ee2-2fa9-44e7-aa39-bdddf082e3d1</t>
  </si>
  <si>
    <t>3.03</t>
  </si>
  <si>
    <t>ביצוע נקודת מים קרים ודלוחין עבור {כיור או ציוד}, לפי תכנון הפרויקט, לרבות הצנרת ואביזרי החיבור בגבולות {תכולה}.</t>
  </si>
  <si>
    <t>3eab265c-1275-4a44-b790-b0871954a411</t>
  </si>
  <si>
    <t>3.04</t>
  </si>
  <si>
    <t>ביצוע נקודת דלוחין עצמאית עבור {ציוד או ייעוד}, לרבות חיבור וסיום לפי תכנון הפרויקט. אין לכלול שוב ניקוז שכבר נכלל בנקודת מים משולבת.</t>
  </si>
  <si>
    <t>5b7b34cf-77b1-4822-9692-f6d95534cdfa</t>
  </si>
  <si>
    <t>3.05</t>
  </si>
  <si>
    <t>ביצוע נקודת ניקוז למיזוג אוויר מטיפוס {טיפוס}, לפי תכנון המיזוג והתברואה; קצה וגבול החיבור לקבלן המיזוג: {פירוט}.</t>
  </si>
  <si>
    <t>14251e6b-b7ce-46c8-9c6d-99b9832db87e</t>
  </si>
  <si>
    <t>3.06</t>
  </si>
  <si>
    <t>התקנת תעלת ניקוז מטיפוס {טיפוס}, במידות {מידות}, על התשתית המוגדרת, וחיבורה למערכת הניקוז. אספקת התעלה, עיגון ואיטום המפגש: {חלוקת אחריות}.</t>
  </si>
  <si>
    <t>965b5eb5-98fb-4085-8d32-65a5049adb55</t>
  </si>
  <si>
    <t>3.07</t>
  </si>
  <si>
    <t>התקנת מכל הדחה סמוי וכלי סניטרי מטיפוס {טיפוס} על תשתית {בלוק או מערכת אחרת}, לרבות חיבורים ותכולת ההתקנה שנקבעה. אספקת הכלי והמכל: {אחריות}.</t>
  </si>
  <si>
    <t>cef29ff1-613f-48e0-855e-eb296e7f3302</t>
  </si>
  <si>
    <t>3.08</t>
  </si>
  <si>
    <t>אספקה והתקנת מתקן חימום מים מסוג {סוג}, בקיבול או הספק {נתון}, עם אביזרים וחיבורים כמפורט בתכנון. גבולות עבודות החשמל ועיגון המתקן: {פירוט}.</t>
  </si>
  <si>
    <t>6365b3a7-ca7e-4e37-98a1-41740bf255d6</t>
  </si>
  <si>
    <t>סיכום חלקי פרק 3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</si>
  <si>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</si>
  <si>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f671a80d-911c-4daa-844e-9e29b1aeecb2</t>
  </si>
  <si>
    <t>4.01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</si>
  <si>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</si>
  <si>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31a2e879-e495-4e9f-b2c2-008bbc51cbc8</t>
  </si>
  <si>
    <t>4.02</t>
  </si>
  <si>
    <t>ביצוע יציאה נוספת לגוף תאורה המשויך למעגל {זיהוי}, לפי תכנון החשמל; תכולת החיבור: {פירוט}.</t>
  </si>
  <si>
    <t>b50b1425-a17f-4b5f-8aa1-f83a5e229ef7</t>
  </si>
  <si>
    <t>4.03</t>
  </si>
  <si>
    <t>התקנת וחיבור גוף תאורה מטיפוס {טיפוס} על תשתית {קיימת או חדשה}, לרבות אביזרי ההתקנה המוגדרים. אספקת הגוף: {אחריות}.</t>
  </si>
  <si>
    <t>10049eb0-576d-4170-98b6-e29d345d22be</t>
  </si>
  <si>
    <t>4.04</t>
  </si>
  <si>
    <t>ביצוע נקודת כוח חד־פאזית עבור {ייעוד}, באזור {אזור}, עם האביזר והתשתית לפי תכנון החשמל ובגבולות {תכולה}.</t>
  </si>
  <si>
    <t>381fe78a-9e9e-4ec5-907a-e3e8d2a0bdf3</t>
  </si>
  <si>
    <t>4.05</t>
  </si>
  <si>
    <t>ביצוע נקודת כוח תלת־פאזית עבור {ציוד}, לפי מפרט ההזנה של מתכנן החשמל ויצרן הציוד. אביזר החיבור וגבול העבודה: {פירוט}.</t>
  </si>
  <si>
    <t>bb2b4f4a-ffdd-4f27-b815-4331e3d14601</t>
  </si>
  <si>
    <t>4.06</t>
  </si>
  <si>
    <t>ביצוע נקודת הזנה למיזוג אוויר עבור {יחידה}, בהתאם לתכנון החשמל והמיזוג, לרבות אביזר סיום וגבול חיבור {פירוט}.</t>
  </si>
  <si>
    <t>4a8f7e26-7728-4ae6-a197-237bc84c8c9a</t>
  </si>
  <si>
    <t>4.07</t>
  </si>
  <si>
    <t>ביצוע נקודת הזנה למפוח עבור {יחידה וייעוד}, בהתאם לתכנון החשמל והאוורור, לרבות אביזר סיום וגבול חיבור {פירוט}.</t>
  </si>
  <si>
    <t>e68ab009-c348-4fc0-a50b-5bcd4c93f05b</t>
  </si>
  <si>
    <t>4.08</t>
  </si>
  <si>
    <t>ביצוע תשתית תקשורת מטיפוס {סוג}, בין נקודות {קצוות}, לרבות צנרת, חוט משיכה ואביזרי סיום שנקבעו. כבילה פעילה וציוד קצה: {תכולה ואחריות}.</t>
  </si>
  <si>
    <t>103626c3-c22e-447b-98fb-3dfebb9cdaeb</t>
  </si>
  <si>
    <t>4.09</t>
  </si>
  <si>
    <t>אספקה והתקנת לוח חשמל {זיהוי}, כולל מכלול הרכיבים, הסימון, החיווט והחיבור שנקבעו בתכנון החשמל. גודל החיבור והמפרט יושלמו בפרויקט.</t>
  </si>
  <si>
    <t>de8577f3-fa9c-4b4c-9cf6-05f5bdbe8c71</t>
  </si>
  <si>
    <t>4.10</t>
  </si>
  <si>
    <t>ביצוע מערכת תאורת חירום בתכולת {היקף}, לפי תכנון החשמל והבטיחות המאושרים לפרויקט; אספקה, התקנה וחיבורים: {פירוט}.</t>
  </si>
  <si>
    <t>f0e4e920-3b04-4c22-9d93-e86d05c4d6b0</t>
  </si>
  <si>
    <t>סיכום חלקי פרק 4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</si>
  <si>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</si>
  <si>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d739b3bc-780a-4a72-ba86-0ab69d5555d8</t>
  </si>
  <si>
    <t>5.01</t>
  </si>
  <si>
    <t>ביצוע שכבת הכנה, מילוי או הגבהה באזור {אזור}, מחומר {מערכת}, בעובי ובמפלס {נתונים}, לרבות {תשתית, גמר והשלמות נכללים}, לפי פרט מאושר.</t>
  </si>
  <si>
    <t>279664b5-0c3b-4d71-94ff-831a0ad7f0f2</t>
  </si>
  <si>
    <t>סיכום חלקי פרק 5 להעברה</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</si>
  <si>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</si>
  <si>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0b2c232b-b1ec-4d04-9327-63c5c169d60b</t>
  </si>
  <si>
    <t>6.01</t>
  </si>
  <si>
    <t>ביצוע איטום באזור רטוב {זיהוי ואזור}, במערכת {מפרט מאושר}, לרבות הכנת תשתית, מפגשי קיר ורצפה, חדירות וסיומות לפי הפרט. בדיקות ותכולת ההכנה: {פירוט}.</t>
  </si>
  <si>
    <t>e3b5eca2-2a63-4dd4-9acb-ae3c70e63581</t>
  </si>
  <si>
    <t>סיכום חלקי פרק 6 להעברה</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</si>
  <si>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</si>
  <si>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88b108a2-ba3a-44cb-b624-e7f2d477a59b</t>
  </si>
  <si>
    <t>7.01</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</si>
  <si>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</si>
  <si>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6af4c878-c16d-4cdc-b056-b9017d9ed215</t>
  </si>
  <si>
    <t>סיכום חלקי פרק 7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</si>
  <si>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</si>
  <si>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035dd93f-ff8c-4c4f-82e0-fb95305e9064</t>
  </si>
  <si>
    <t>8.01</t>
  </si>
  <si>
    <t>ריצוף חלל ציבורי ואזור ישיבה {אזור}, באריחי גרניט פורצלן שחור משופשף במידות 120×60 ס״מ, עם מישקים 2 מ״מ ורובה שחורה, על תשתית {סוג לפי הסניף}. אספקת האריחים {אחריות}; גמר מפגשים וסיומות לפי פרט {הפניה}.</t>
  </si>
  <si>
    <t>e90f467b-62ad-4dc5-8390-2824cd47051d</t>
  </si>
  <si>
    <t>8.02</t>
  </si>
  <si>
    <t>ריצוף שטח מטבח או דלפק הכנת מזון {אזור}, באריחי גרניט פורצלן אנטיסליפ במידות 30×30 ס״מ, עם מישקים 3 מ״מ ורובה שחורה. סוג הרובה ודרגת ההחלקה {אישור לפרויקט לפי OS-07}; טיפול במפגשים ובנקזים לפי פרט {הפניה}.</t>
  </si>
  <si>
    <t>2a77b2b0-bd89-484c-aefa-7649237266a3</t>
  </si>
  <si>
    <t>8.03</t>
  </si>
  <si>
    <t>חיפוי קירות ועמודים באזור {אזור}, באריחי גרניט פורצלן בגוון בטון משופשף במידות 120×60 ס״מ, לגובה {גובה}, עם מישקים 6 מ״מ ורובה טמבור אפור כהה 120. גמר פינות בגרונג. תשתית ואחריות אספקת האריחים {פירוט}; אין להחיל מידת אריח זו אוטומטית על דופן דלפק חתוכה.</t>
  </si>
  <si>
    <t>529a5c22-b175-444b-a0a1-a79b20edce82</t>
  </si>
  <si>
    <t>8.04</t>
  </si>
  <si>
    <t>חיפוי דופן חיצונית קדמית של דלפק {זיהוי}, באריחי קרמיקה דקורטיבית משולבת פסי פליז, ללא פוגות, על תשתית {סוג}. מידות האריחים {מידות לפי הפרט}; במקורות מצוין 100×10 ס״מ עם אפשרות לשינוי, ולכן אינה מידה קבועה. פרופילי שלד וחיבוריהם מתומחרים בפרק המסגרות.</t>
  </si>
  <si>
    <t>762c2a92-e28a-48bc-b6d4-aa7890919569</t>
  </si>
  <si>
    <t>8.05</t>
  </si>
  <si>
    <t>חיפוי דופן פנימית לדלפק {זיהוי}, באריחי קרמיקה שחורה, לגובה {גובה}, עם מישקים 2 מ״מ ורובה שחורה. מידות האריחים {בחירה לפרויקט לפי OS-03}; תשתית וגמר מפגשים {פרט}. אין לחייב שוב חיפוי פורמייקה באותו שטח.</t>
  </si>
  <si>
    <t>f33b6302-5f9a-4646-afa0-50840c5212fb</t>
  </si>
  <si>
    <t>8.06</t>
  </si>
  <si>
    <t>התקנת פנל תואם לריצוף {חומר וגמר}, בגובה {גובה}, לאורך האזור {אזור}, לרבות פינות וסיומות לפי הפרט.</t>
  </si>
  <si>
    <t>814e0b35-7c45-4f2e-9d46-c65e831796f3</t>
  </si>
  <si>
    <t>ריצוף וחיפוי אושי־אושי (המשך)</t>
  </si>
  <si>
    <t>heading</t>
  </si>
  <si>
    <t>8.07</t>
  </si>
  <si>
    <t>חיפוי קיר באזור {אזור}, באריחי גרניט פורצלן בגוון חלודה משופשף במידות 120×60 ס״מ, לגובה {גובה}, בשילוב פרופילים שקועים בגוון פליז ברוחב 2 ס״מ בפוגות, ורובה טמבור חום 105 בפוגות האנכיות; פינות בגרונג. תשתית ואחריות אספקת אריחים ופרופילים {פירוט}. אם הפרופילים מתומחרים בנפרד יש להחריגם כאן במפורש.</t>
  </si>
  <si>
    <t>11915dd1-408c-46c9-8a03-20d139f5f017</t>
  </si>
  <si>
    <t>סיכום חלקי פרק 8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</si>
  <si>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</si>
  <si>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b018f255-7f74-4926-bd9d-03ca8de14c5f</t>
  </si>
  <si>
    <t>9.01</t>
  </si>
  <si>
    <t>ביצוע הנמכת תקרה באזור {אזור}, במערכת {סוג ושכבות}, בגובה {גובה}, לרבות התשתית, פתחים וחיזוקים המפורטים בתכנון.</t>
  </si>
  <si>
    <t>90d00fb0-cde4-4ea7-96e7-6fb4866f2cbf</t>
  </si>
  <si>
    <t>9.02</t>
  </si>
  <si>
    <t>ביצוע קרניז מטיפוס {טיפוס}, בחתך ובגובה {מידות}, באזור {אזור}, לרבות הכנה לתאורה או למיזוג לפי הפרט וללא אספקת גוף התאורה.</t>
  </si>
  <si>
    <t>6931ce28-5fc3-4d9d-9a0a-6f3b1dcc9430</t>
  </si>
  <si>
    <t>9.03</t>
  </si>
  <si>
    <t>אספקה והתקנת תקרת מגשי פח ברוחב 30 ס״מ, בגמר לבן RAL 9010, עם פרופיל סיום L, באזור מטבח או מחסן {אזור}, לרבות תשתית, תלייה ופתחים לפי התכנון. גובה ועובי הפח {מפרט הסניף}.</t>
  </si>
  <si>
    <t>a6e52682-36e0-454b-96bd-ee2696af011f</t>
  </si>
  <si>
    <t>9.04</t>
  </si>
  <si>
    <t>אספקה והתקנת תקרה אקוסטית מסוג {סוג}, במודול ובגמר {מפרט}, באזור {אזור}, לרבות התשתית והחיבורים המתאימים כמפורט בתכנון.</t>
  </si>
  <si>
    <t>bbacb34f-969a-4784-82e4-352b2d5757d0</t>
  </si>
  <si>
    <t>סיכום חלקי פרק 9 להעברה</t>
  </si>
  <si>
    <t>עבודות הצבע כוללות תיקונים, החלקה וחומרי יסוד לפי המשטח והוראות המוצר. שלושה גמרי קיר מתומחרים בנפרד: נישה באפור טמבור 1537T; קירות מחסן בלבן; טיח אפקט בטון משופשף טמבור 440 לקירות או עמודים שסומנו כך בתכנון. תקרות גבס וקרניזים שחורים לפי הסעיף הנפרד. אין להחיל גוון אחד על כל המשטחים ואין להעתיק הוראות דילול ישנות.</t>
  </si>
  <si>
    <t>65d9619e-f59f-4ffb-979d-4f212dc38e6e</t>
  </si>
  <si>
    <t>10.01</t>
  </si>
  <si>
    <t>הכנת וצביעת נישה או קטע קיר מסומן באזור {אזור}, לרבות תיקוני תשתית והחלקה, בצבע אקרילי מסוג סופרקריל בשתי שכבות לפחות ועד כיסוי מלא, בגוון אפור טמבור 1537T. חומר יסוד לפי המשטח והוראות המוצר.</t>
  </si>
  <si>
    <t>57de838b-c1ff-4814-8a3e-fc2ecf82c909</t>
  </si>
  <si>
    <t>10.02</t>
  </si>
  <si>
    <t>הכנת וצביעת תקרות גבס והנמכות באזור {אזור}, לרבות תיקוני תשתית ושפכטל אמריקאי עד החלקה, בצבע אקרילי מסוג סופרקריל בשתי שכבות לפחות ועד כיסוי מלא, בגוון שחור. קוד גוון וברק {אישור לפי OS-04}; חומר יסוד לפי המשטח והוראות המוצר. אין לכלול כאן גמר מפעלי של תקרת המגשים.</t>
  </si>
  <si>
    <t>5249fb67-2ebb-416a-85de-0aeb02b82fc1</t>
  </si>
  <si>
    <t>10.03</t>
  </si>
  <si>
    <t>ביצוע טיח דקורטיבי אפקט בטון משופשף של טמבור, בגוון 440, על קירות או עמודים מסומנים באזור {אזור}, בשתי שכבות לפחות ועד כיסוי מלא, לרבות הכנת תשתית ושפכטל עד החלקה לפי המשטח והוראות המוצר.</t>
  </si>
  <si>
    <t>7c779bf6-5dc8-491e-a313-8a6ae8be25bd</t>
  </si>
  <si>
    <t>10.04</t>
  </si>
  <si>
    <t>הכנת וצביעת קירות מחסן {זיהוי}, לרבות תיקוני תשתית והכנת משטח, בצבע אקרילי מסוג סופרקריל בשתי שכבות לפחות ועד כיסוי מלא, בגוון לבן. חומר יסוד לפי המשטח והוראות המוצר.</t>
  </si>
  <si>
    <t>1a5045ec-62d9-4b53-bf57-e987bd4be60d</t>
  </si>
  <si>
    <t>סיכום חלקי פרק 10 להעברה</t>
  </si>
  <si>
    <t>מחיר כל פריט נגרות כולל חומרים, פרזול, גמר, הובלה והרכבה שפורטו. מפרט רכיבי אלון: לוחות עץ לבוד מצופים פורניר אלון שטרייף ועץ מסיבי אלון; גמר לכה מט משי 15% ברק. ברכיבי פורמייקה: פורמקס 3199. גוון הבייץ 1067 GV; אין להחליף את האלון או דגם הפורמייקה בשדה חומר כללי. מתכת, משטחים מיוחדים, זיגוג וציוד בסעיפים נפרדים מוחרגים.</t>
  </si>
  <si>
    <t>e6d6b168-577f-48a1-a785-79c9ce0a98c3</t>
  </si>
  <si>
    <t>11.01</t>
  </si>
  <si>
    <t>אספקה והתקנת משטח הגשה ואכילה לדלפק {זיהוי}, מעץ מסיבי אלון בעובי 2 ס״מ, עם קנט קדמי 8 ס״מ וקנט אחורי 4 ס״מ, בגמר לכה מט משי 15% ברק. בייץ 1067 GV; אורך, רוחב, צורה וגובה התקנה {מידות סניף}. שלד, דפנות ומשטחים מיוחדים בסעיפים נפרדים אינם כלולים.</t>
  </si>
  <si>
    <t>505199b7-23f9-46a5-bae6-2ec608970020</t>
  </si>
  <si>
    <t>11.02</t>
  </si>
  <si>
    <t>אספקה והתקנת דופן פנימית לדלפק {זיהוי}, בגובה ובעובי {מידות}, על תשתית {סוג}, לרבות פתחים והתאמות לציוד. גמר נבחר {חיפוי קרמי לפי פרק ריצוף או פורמייקה פורמקס 3199 לפי פרט הסניף}; יש להשאיר בחירה אחת. בחיפוי קרמי הנגרות כוללת תשתית בלבד והחיפוי מתומחר בנפרד.</t>
  </si>
  <si>
    <t>72e7ba87-dc88-46de-9b6c-263b6f8a03c2</t>
  </si>
  <si>
    <t>11.03</t>
  </si>
  <si>
    <t>אספקה והתקנת חיפוי נגרות גלוי לדלפק {זיהוי}, רק בשטח המסומן לנגרות בפרט, מלוחות עץ לבוד מצופים פורניר אלון שטרייף ועץ מסיבי אלון לפי המפרט המשותף, בגמר לכה מט משי 15% ברק ובייץ 1067 GV. גובה וחלוקה {מידות}; בשטח המיועד לקרמיקה יש לתמחר תשתית בלבד בסעיף התשתית, ללא חיפוי אלון נוסף.</t>
  </si>
  <si>
    <t>c3cd28e5-5d01-4c10-8fa1-6eb41b02e3cb</t>
  </si>
  <si>
    <t>11.04</t>
  </si>
  <si>
    <t>אספקה והתקנת שער או דלת כניסה לדלפק מטיפוס {טיפוס}, במידות {מידות}, מחומר ובגמר {מפרט}, לרבות מסגרת, צירים, סגירה וחיבורים כפי שנקבעו בפרט.</t>
  </si>
  <si>
    <t>dc27ed35-c9b3-444b-a671-043c55df5ff9</t>
  </si>
  <si>
    <t>11.05</t>
  </si>
  <si>
    <t>התקנת לוחות תשתית לדופן דלפק {זיהוי}, מחומר ובעובי {מפרט}, על גבי {תשתית}, כהכנה לחיפוי {חומר}. החיפוי הסופי מתומחר בפרק הריצוף והחיפוי או בפרק המשטחים.</t>
  </si>
  <si>
    <t>fb19eebb-f858-4a25-81c9-76315e81b53b</t>
  </si>
  <si>
    <t>11.06</t>
  </si>
  <si>
    <t>אספקה והתקנת יחידת מדפים או בר תצוגה אחורי {זיהוי}, מלוחות עץ לבוד בגמר פורניר אלון שטרייף, עם קנטים קדמיים מעץ מסיבי אלון, בגמר לכה מט משי 15% ברק ובייץ 1067 GV. מידות, חלוקה וחתך קנט {מפרט סניף}. מסגרות התמיכה והמראות מתומחרות בנפרד.</t>
  </si>
  <si>
    <t>d9d2e282-ac14-48e1-977b-b51cf959cf46</t>
  </si>
  <si>
    <t>נגרות אושי־אושי (המשך)</t>
  </si>
  <si>
    <t>11.07</t>
  </si>
  <si>
    <t>אספקה והתקנת עמדת מלצרים מטיפוס {טיפוס}, במידות {מידות}, הכוללת ארון, חלוקה פנימית, דלתות ומגירות {פירוט}; חומרי פנים וחוץ, גמר ופרזול {מפרט}.</t>
  </si>
  <si>
    <t>7ca31fc3-ad79-4d9c-af85-8438db16427e</t>
  </si>
  <si>
    <t>11.08</t>
  </si>
  <si>
    <t>אספקה והתקנת עמדת משלוחים מטיפוס {טיפוס}, במידות {מידות}, מחומרים ובגמר {מפרט}, לרבות חלוקה פנימית, פרזול ופתחים המוגדרים לפריט.</t>
  </si>
  <si>
    <t>6f64ed20-35c0-4c0c-ae0e-6bfddc26600c</t>
  </si>
  <si>
    <t>11.09</t>
  </si>
  <si>
    <t>אספקה והתקנת ארון שירות מטיפוס {טיפוס}, במידות {מידות}, בחלוקה {חלוקה}, מחומרים ובגמר {מפרט}, לרבות פרזול וחיבורים. משטח עליון מתומחר בנפרד בפרק המשטחים.</t>
  </si>
  <si>
    <t>e4142fab-622c-4c97-8e40-155fc06a2ee6</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</si>
  <si>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</si>
  <si>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c07c12c9-f785-4ac9-ba64-8c3dd32fd7a1</t>
  </si>
  <si>
    <t>11.10</t>
  </si>
  <si>
    <t>פלטת שולחן מטיפוס {טיפוס א}, במידות {מידות א}, לפי המפרט המשותף, לרבות {תכולת הכנות וחיבור}.</t>
  </si>
  <si>
    <t>f6272e14-b96a-4269-8f83-fe57fa052f79</t>
  </si>
  <si>
    <t>11.11</t>
  </si>
  <si>
    <t>פלטת שולחן מטיפוס {טיפוס ב}, במידות {מידות ב}, לפי המפרט המשותף, לרבות {תכולת הכנות וחיבור}.</t>
  </si>
  <si>
    <t>1d16f450-db46-4817-83ae-c4be601a2593</t>
  </si>
  <si>
    <t>11.12</t>
  </si>
  <si>
    <t>פלטת שולחן מטיפוס {טיפוס ג}, במידות {מידות ג}, לפי המפרט המשותף, לרבות {תכולת הכנות וחיבור}.</t>
  </si>
  <si>
    <t>1c434242-36b3-40c9-9d75-9f3d2131bdd2</t>
  </si>
  <si>
    <t>סיכום חלקי פרק 11 להעברה</t>
  </si>
  <si>
    <t>עבודות המסגרות כוללות חומרי גלם, חיבורים, עיגון, הכנת שטח, צבע יסוד וגמר, הובלה והרכבה. שני גמרים מאושרים: שחור מט RAL 9005 וזהב מושחר RAL 1036. כל טיפוס מופיע בסעיף נפרד לכל גמר לצורך תמחור; ממלאים רק את הפריטים והגמרים הנדרשים בסניף ואין לחייב את שניהם לאותו רכיב. חתכים, עוביים, עיגון ותלייה לפי תכנון. נגרות, זכוכית ותאורה בסעיפים נפרדים מוחרגות.</t>
  </si>
  <si>
    <t>ede56674-a0e0-4594-b46c-35708807b906</t>
  </si>
  <si>
    <t>12.01</t>
  </si>
  <si>
    <t>אספקה והתקנת שלד מסגרות לדלפק {זיהוי}, מפרופילי ברזל {חתך ועובי לפי תכנון}, בגמר שחור מט RAL 9005, בגובה ובחלוקה {מידות}, לרבות עיגון והכנות למעבר תשתיות. נגרות, אריחים ומשטחים בסעיפים נפרדים אינם כלולים.</t>
  </si>
  <si>
    <t>a91a7af2-dc99-450d-b0f0-e514181f4b96</t>
  </si>
  <si>
    <t>12.02</t>
  </si>
  <si>
    <t>אספקה והתקנת יחידת מדפי מתכת או מתקן תצוגה {טיפוס}, מפרופילי ברזל ומשטחים {חתכים ועוביים לפי תכנון}, בגמר שחור מט RAL 9005, במידות {מידות}, לרבות תלייה ועיגון {מפרט}. אין לכלול כאן פריט זהה בגמר זהב מושחר המתומחר בסעיף נפרד.</t>
  </si>
  <si>
    <t>6ac9c51a-c10d-4be4-a589-8ecbdee65bc9</t>
  </si>
  <si>
    <t>12.03</t>
  </si>
  <si>
    <t>אספקה והתקנת מסגרת ברזל לתמיכת פריט {זיהוי}, בגמר שחור מט RAL 9005, במידות ובחתכים {מפרט תכנון}, לרבות עיגון והכנות {פירוט}. הפריט הנתמך מתומחר בנפרד.</t>
  </si>
  <si>
    <t>e2972e79-9c46-48b0-90cc-f830e3330095</t>
  </si>
  <si>
    <t>12.04</t>
  </si>
  <si>
    <t>אספקה והתקנת מחיצה או מסגרת דקורטיבית מברזל, בגמר שחור מט RAL 9005, באזור {אזור}, במידות, בחתכים ובחלוקה {מפרט תכנון}. מילוי נגרות, אריחים או זכוכית מתומחר בנפרד.</t>
  </si>
  <si>
    <t>94c849cd-cf94-40cb-a323-fc827fb7177d</t>
  </si>
  <si>
    <t>12.05</t>
  </si>
  <si>
    <t>אספקה והתקנת מסגרת ברזל תומכת לשילוט בהיקף דלפק {זיהוי}, בגמר שחור מט RAL 9005, במידות ובפרופילים {מפרט תכנון}, לרבות עיגון והכנה למעבר הזנה. אותיות, תאורה ושלט הגמר מתומחרים בנפרד.</t>
  </si>
  <si>
    <t>9c0d69cf-954b-4d90-80d9-eef1f2aa6d8a</t>
  </si>
  <si>
    <t>12.06</t>
  </si>
  <si>
    <t>אספקה והתקנת שלד מסגרות לדלפק {זיהוי}, מפרופילי ברזל {חתך ועובי לפי תכנון}, בגמר זהב מושחר RAL 1036, בגובה ובחלוקה {מידות}, לרבות עיגון והכנות למעבר תשתיות. נגרות, אריחים ומשטחים בסעיפים נפרדים אינם כלולים.</t>
  </si>
  <si>
    <t>be913337-5e8d-4009-8a1b-7543b0addea3</t>
  </si>
  <si>
    <t>מסגרות אושי־אושי (המשך)</t>
  </si>
  <si>
    <t>12.07</t>
  </si>
  <si>
    <t>אספקה והתקנת יחידת מדפי מתכת או מתקן תצוגה {טיפוס}, מפרופילי ברזל ומשטחים {חתכים ועוביים לפי תכנון}, בגמר זהב מושחר RAL 1036, במידות {מידות}, לרבות תלייה ועיגון {מפרט}. אין לכלול כאן פריט זהה בגמר שחור המתומחר בסעיף נפרד.</t>
  </si>
  <si>
    <t>6d89502a-e2d8-4d8f-8c15-91e7883b0455</t>
  </si>
  <si>
    <t>12.08</t>
  </si>
  <si>
    <t>אספקה והתקנת מסגרת ברזל לתמיכת פריט {זיהוי}, בגמר זהב מושחר RAL 1036, במידות ובחתכים {מפרט תכנון}, לרבות עיגון והכנות {פירוט}. הפריט הנתמך מתומחר בנפרד.</t>
  </si>
  <si>
    <t>98ed4f35-d46a-47fc-b06a-06e1cbf28e04</t>
  </si>
  <si>
    <t>12.09</t>
  </si>
  <si>
    <t>אספקה והתקנת מחיצה או מסגרת דקורטיבית מברזל, בגמר זהב מושחר RAL 1036, באזור {אזור}, במידות, בחתכים ובחלוקה {מפרט תכנון}. מילוי נגרות, אריחים או זכוכית מתומחר בנפרד.</t>
  </si>
  <si>
    <t>a02b0c22-f069-471d-aac4-106aec900ad0</t>
  </si>
  <si>
    <t>12.10</t>
  </si>
  <si>
    <t>אספקה והתקנת מסגרת ברזל תומכת לשילוט בהיקף דלפק {זיהוי}, בגמר זהב מושחר RAL 1036, במידות ובפרופילים {מפרט תכנון}, לרבות עיגון והכנה למעבר הזנה. אותיות, תאורה ושלט הגמר מתומחרים בנפרד.</t>
  </si>
  <si>
    <t>7bc1bad8-a136-40ed-a037-d1a04cc009a2</t>
  </si>
  <si>
    <t>סיכום חלקי פרק 12 להעברה</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</si>
  <si>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</si>
  <si>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1ea82966-c69b-4c57-ab84-7be26dd80dd7</t>
  </si>
  <si>
    <t>13.01</t>
  </si>
  <si>
    <t xml:space="preserve">אספקה והתקנת חלון, דלת או ויטרינה מטיפוס {זיהוי}, במידות {מידות}.
סוג פתיחה וחלוקה: {מפרט}; פרופיל וגמר: {מפרט}; זיגוג: {סוג ועובי}; פרזול, אטימה וסיומות: {מפרט}; פרט: {הפניה}.</t>
  </si>
  <si>
    <t>99cb4301-2cf4-4688-afe7-32f8d8fbde3d</t>
  </si>
  <si>
    <t>13.02</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</si>
  <si>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</si>
  <si>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fefbffb3-a85b-4be5-9251-ca172d4de6bf</t>
  </si>
  <si>
    <t>13.03</t>
  </si>
  <si>
    <t>אספקה והתקנת מראה מטיפוס {זיהוי}, במידות ובצורה {מידות}, בסוג ובעובי {מפרט}, עם גמר קצה וחיבור {פירוט}. מסגרת ותאורה נכללות רק אם צוינו במפורש.</t>
  </si>
  <si>
    <t>c4175152-e8a6-406f-8bda-4c454e4f5583</t>
  </si>
  <si>
    <t>סיכום חלקי פרק 13 להעברה</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</si>
  <si>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</si>
  <si>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0211a3d5-ce4e-46cb-82c0-2b1d9cfa8562</t>
  </si>
  <si>
    <t>14.01</t>
  </si>
  <si>
    <t>אספקה והתקנת משטח עבודה עבור {פריט}, מחומר ודגם {מפרט}, ברוחב ובעובי {מידות}, לרבות פתחים, קנטים וחיבורים {פירוט}, על תשתית {סוג}.</t>
  </si>
  <si>
    <t>4e57bc45-072e-4150-b60e-fd86cf1d2ef8</t>
  </si>
  <si>
    <t>14.02</t>
  </si>
  <si>
    <t>אספקה והתקנת קופינג או צוקל לדלפק או למחיצה {זיהוי}, מחומר ודגם {מפרט}, בחתך {מידות}, עם פינות, קנטים וחיבורים {פירוט}.</t>
  </si>
  <si>
    <t>83e364dc-1b36-4b81-a311-5d68d8e524f2</t>
  </si>
  <si>
    <t>14.03</t>
  </si>
  <si>
    <t>אספקה והתקנת משטח כיור לארון {זיהוי}, במידות {מידות}, מחומר ודגם {מפרט}, עם פתחים, קנטים וחיבור {פירוט}. כיור וברז: {כלולים או מוחרגים במפורש}.</t>
  </si>
  <si>
    <t>11c7765a-0e84-4cbf-89f1-f330a0932a0f</t>
  </si>
  <si>
    <t>סיכום חלקי פרק 14 להעברה</t>
  </si>
  <si>
    <t>פרק אספקות נפתח רק כשהאספקה נפרדת מהתקנה. מפרטי האריחים, הגוונים והגמרים בשורות הרשת חלים גם על האספקה המקבילה; אין לפתוח שוב בחירה חופשית במקום מפרט שנקבע. במקורות אין דגם גוף תאורה משותף ומלא לרשת: OS-08. כל טיפוס אספקה בעל תמחור שונה יקבל סעיף עצמאי. אין כמויות רכש או פחת בתבנית.</t>
  </si>
  <si>
    <t>05e0039a-1dac-4677-95a7-679d514b9228</t>
  </si>
  <si>
    <t>15.01</t>
  </si>
  <si>
    <t>אספקת אריחי ריצוף או חיפוי מטיפוס {זיהוי}, מחומר ודגם {מפרט}, במידה ובגמר {מפרט}. הובלה ופריקה: {תכולה}; התקנה מתומחרת בנפרד.</t>
  </si>
  <si>
    <t>d79791c7-a25c-413d-af24-d032985ea078</t>
  </si>
  <si>
    <t>15.02</t>
  </si>
  <si>
    <t>אספקת כלי או אביזר סניטרי מטיפוס {זיהוי}, בדגם ובגמר {מפרט}, לרבות {אביזרים נלווים}. התקנה וחיבור מתומחרים בפרק האינסטלציה.</t>
  </si>
  <si>
    <t>41ea2e75-51bf-4b18-86a4-c3a2d83568a1</t>
  </si>
  <si>
    <t>15.03</t>
  </si>
  <si>
    <t>אספקת גוף תאורה מטיפוס {זיהוי}, במפרט ובדגם {מפרט}, עם {ספק, דרייבר ואביזרים נלווים לפי הנדרש}. התקנה ונקודת הזנה מתומחרות בפרק החשמל.</t>
  </si>
  <si>
    <t>f7ba6162-7a3c-409e-9652-9d29de9cd080</t>
  </si>
  <si>
    <t>סיכום חלקי פרק 15 להעברה</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</si>
  <si>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</si>
  <si>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a6b1da0d-28be-4b30-939d-973a7d8c8ccf</t>
  </si>
  <si>
    <t>16.01</t>
  </si>
  <si>
    <t>ביצוע מערכת מיזוג ואוורור בתכולת {מערכת מוגדרת}, לפי תכנון {הפניה}, לרבות {אספקה, התקנה, חיבור והפעלה}. גבולות מול חשמל, ניקוז ותקרות: {פירוט}.</t>
  </si>
  <si>
    <t>4430e329-d945-41f7-a764-feb500d143c7</t>
  </si>
  <si>
    <t>סיכום חלקי פרק 16 להעברה</t>
  </si>
  <si>
    <t>bebd7028-32ab-4e90-9cae-d17a27cbacdc</t>
  </si>
  <si>
    <t>17.01</t>
  </si>
  <si>
    <t>אספקה והתקנת פריט ציוד מטבח או נירוסטה {זיהוי}, לפי רשימת ציוד {הפניה}, בתכולת {מפרט}, עם גבולות חיבור למערכות {פירוט}.</t>
  </si>
  <si>
    <t>bd805dde-5240-4b77-ad6f-adb0d8432d13</t>
  </si>
  <si>
    <t>סיכום חלקי פרק 17 להעברה</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</si>
  <si>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</si>
  <si>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cf1f2c8b-f851-4583-bee3-355c9d5508ff</t>
  </si>
  <si>
    <t>18.01</t>
  </si>
  <si>
    <t>ביצוע נקודת גז עבור {ציוד מזוהה}, לפי תכנון {הפניה}, לרבות התשתית ואביזרי החיבור בתכולת {מפרט}. גבולות אחריות אספקת המערכת, חיבור הציוד ובדיקות: {פירוט}.</t>
  </si>
  <si>
    <t>f37a71cd-2251-46bf-a7f4-f9a14e3dbe6f</t>
  </si>
  <si>
    <t>סיכום חלקי פרק 18 להעברה</t>
  </si>
  <si>
    <t>080669c8-5251-411c-a0cf-4d05eaf25115</t>
  </si>
  <si>
    <t>19.01</t>
  </si>
  <si>
    <t>ביצוע מערכת כיבוי {סוג מערכת מוגדר}, לפי תכנון בטיחות וכיבוי {הפניה}, בגבולות {תכולה ואחריות}, עם הממשקים למערכות האחרות כמפורט.</t>
  </si>
  <si>
    <t>3d054596-1420-40d4-a88b-ed47366d45f6</t>
  </si>
  <si>
    <t>19.02</t>
  </si>
  <si>
    <t>ביצוע מערכת גילוי או התרעה {סוג מערכת מוגדר}, לפי תכנון {הפניה}, בגבולות {תכולה ואחריות}, עם ההכנות והחיבורים המפורטים.</t>
  </si>
  <si>
    <t>107122bc-7559-4a35-aa88-0f04c5ac4ced</t>
  </si>
  <si>
    <t>סיכום חלקי פרק 19 להעברה</t>
  </si>
  <si>
    <t>אביזרי נגישות יוגדרו לפי תכנון הנגישות בפרויקט. אין להעתיק מידות, מיקום או רשימת אביזרים מתיק אחר. האביזרים אינם כלולים שוב במחיר מכל ההדחה או הנגרות.</t>
  </si>
  <si>
    <t>48aa3c72-d099-44cc-94af-690fe47fbbf6</t>
  </si>
  <si>
    <t>20.01</t>
  </si>
  <si>
    <t>אספקה והתקנת ערכת אביזרי נגישות לחדר שירות {זיהוי}, הכוללת {רשימה מאושרת של אביזרים}, בחומרים, במידות ובמיקומים לפי תכנון {הפניה}, לרבות העיגון המוגדר.</t>
  </si>
  <si>
    <t>bff4b214-9be8-46d8-849c-8aea60c0700f</t>
  </si>
  <si>
    <t>סיכום חלקי פרק 20 להעברה</t>
  </si>
  <si>
    <t>7427a35d-c54b-4cac-8b50-59f437a2794d</t>
  </si>
  <si>
    <t>21.01</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</si>
  <si>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</si>
  <si>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91ab0439-3352-4b64-a5ca-14e972a80379</t>
  </si>
  <si>
    <t>סיכום חלקי פרק 21 להעברה</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</si>
  <si>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</si>
  <si>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88841134-2c8c-417b-8acc-6af740ad63ab</t>
  </si>
  <si>
    <t>22.01</t>
  </si>
  <si>
    <t>אספקה והתקנת ספת ישיבה קבועה מטיפוס {זיהוי}, במידות ובחתך {מידות}, עם שלד, ריפוד וגמר {מפרט}, לרבות עיגון ותכולה {פירוט}.</t>
  </si>
  <si>
    <t>7e283deb-a816-4e49-8ff9-9746925aaea4</t>
  </si>
  <si>
    <t>22.02</t>
  </si>
  <si>
    <t>אספקת פריט ריהוט נייד מטיפוס {זיהוי}, בדגם ובגמר {מפרט}, לרבות {הובלה והרכבה}.</t>
  </si>
  <si>
    <t>ac68329b-2b1b-4798-a718-ec48d7b8138e</t>
  </si>
  <si>
    <t>סיכום חלקי פרק 22 להעברה</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</si>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</sst>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תאריך: &quot;@"/>
    <numFmt numFmtId="165" formatCode="&quot;פרק &quot;0"/>
    <numFmt numFmtId="166" formatCode="#,##0.00&quot;₪&quot;"/>
    <numFmt numFmtId="167" formatCode="[=0]#,##0&quot;₪&quot;;#,##0.00&quot;₪&quot;"/>
    <numFmt numFmtId="168" formatCode="#,##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0">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7"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1" fillId="0" borderId="4" xfId="0" applyFont="1" applyBorder="1" applyAlignment="1">
      <alignment horizontal="right" vertical="top" wrapText="1" readingOrder="2"/>
    </xf>
    <xf numFmtId="0" fontId="0" fillId="0" borderId="4" xfId="0" applyBorder="1"/>
    <xf numFmtId="0" fontId="3" fillId="0" borderId="5"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67" fontId="3" fillId="0" borderId="5" xfId="0" applyNumberFormat="1" applyFont="1" applyBorder="1" applyAlignment="1">
      <alignment horizontal="center" vertical="top" wrapText="1" readingOrder="2"/>
    </xf>
    <xf numFmtId="167"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67" fontId="1" fillId="2" borderId="6" xfId="0" applyNumberFormat="1" applyFont="1" applyFill="1" applyBorder="1" applyAlignment="1">
      <alignment horizontal="center" vertical="top" wrapText="1" readingOrder="2"/>
    </xf>
    <xf numFmtId="167"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67" fontId="1" fillId="2" borderId="7" xfId="0" applyNumberFormat="1" applyFont="1" applyFill="1" applyBorder="1" applyAlignment="1">
      <alignment horizontal="center" vertical="top" wrapText="1" readingOrder="2"/>
    </xf>
    <xf numFmtId="167"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67" fontId="1" fillId="3" borderId="7" xfId="0" applyNumberFormat="1" applyFont="1" applyFill="1" applyBorder="1" applyAlignment="1">
      <alignment horizontal="center" vertical="top" wrapText="1" readingOrder="2"/>
    </xf>
    <xf numFmtId="167" fontId="1" fillId="3" borderId="7" xfId="0" applyNumberFormat="1" applyFont="1" applyFill="1" applyBorder="1"/>
  </cellXfs>
  <cellStyles count="1">
    <cellStyle name="Normal" xfId="0" builtinId="0"/>
  </cellStyles>
  <dxfs count="454">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
      <numFmt numFmtId="168" formatCode="#,##0&quot;₪&quot;"/>
    </dxf>
    <dxf>
      <numFmt numFmtId="166"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1681163</xdr:colOff>
      <xdr:row>10</xdr:row>
      <xdr:rowOff>105393</xdr:rowOff>
    </xdr:from>
    <xdr:ext cx="3429000" cy="932214"/>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70" customHeight="1" spans="1:6" x14ac:dyDescent="0.25">
      <c r="A4" s="4"/>
      <c r="B4" s="5" t="s">
        <v>1</v>
      </c>
      <c r="C4" s="6"/>
      <c r="D4" s="6"/>
      <c r="E4" s="6"/>
      <c r="F4" s="6"/>
    </row>
    <row r="5" ht="41" customHeight="1" spans="1:6" x14ac:dyDescent="0.25">
      <c r="A5" s="4"/>
      <c r="B5" s="7" t="s">
        <v>1</v>
      </c>
      <c r="C5" s="8"/>
      <c r="D5" s="8"/>
      <c r="E5" s="8"/>
      <c r="F5" s="8"/>
    </row>
    <row r="6" ht="32" customHeight="1" spans="1:6" x14ac:dyDescent="0.25">
      <c r="A6" s="4"/>
      <c r="B6" s="2" t="s">
        <v>1</v>
      </c>
      <c r="C6" s="3"/>
      <c r="D6" s="3"/>
      <c r="E6" s="3"/>
      <c r="F6" s="3"/>
    </row>
    <row r="7" ht="35" customHeight="1" x14ac:dyDescent="0.25"/>
    <row r="8" ht="28" customHeight="1" spans="1:6" x14ac:dyDescent="0.25">
      <c r="A8" s="4"/>
      <c r="B8" s="9" t="s">
        <v>2</v>
      </c>
      <c r="C8" s="10"/>
      <c r="D8" s="10"/>
      <c r="E8" s="10"/>
      <c r="F8" s="10"/>
    </row>
    <row r="10" ht="70" customHeight="1" x14ac:dyDescent="0.25"/>
    <row r="11" ht="90" customHeight="1" x14ac:dyDescent="0.25"/>
    <row r="12" ht="38" customHeight="1" spans="1:6" x14ac:dyDescent="0.25">
      <c r="A12" s="4"/>
      <c r="B12" s="4" t="s">
        <v>3</v>
      </c>
      <c r="C12" s="11"/>
      <c r="D12" s="11"/>
      <c r="E12" s="11"/>
      <c r="F12" s="11"/>
    </row>
    <row r="13" ht="145" customHeight="1" spans="1:8" x14ac:dyDescent="0.25">
      <c r="A13" s="4"/>
      <c r="B13" s="4"/>
      <c r="C13" s="4"/>
      <c r="D13" s="4"/>
      <c r="E13" s="4"/>
      <c r="F13" s="4"/>
      <c r="G13" s="4"/>
      <c r="H13" s="4" t="s">
        <v>4</v>
      </c>
    </row>
    <row r="14" hidden="1" spans="1:6" x14ac:dyDescent="0.25">
      <c r="A14" s="4"/>
      <c r="B14" s="4" t="s">
        <v>1</v>
      </c>
      <c r="C14" s="4"/>
      <c r="D14" s="4" t="s">
        <v>1</v>
      </c>
      <c r="E14" s="4"/>
      <c r="F14" s="4">
        <v>18</v>
      </c>
    </row>
  </sheetData>
  <mergeCells count="6">
    <mergeCell ref="B2:F2"/>
    <mergeCell ref="B4:F4"/>
    <mergeCell ref="B5:F5"/>
    <mergeCell ref="B6:F6"/>
    <mergeCell ref="B8:F8"/>
    <mergeCell ref="B12:F12"/>
  </mergeCells>
  <pageMargins left="0.25" right="0.25" top="0.75" bottom="0.75" header="0" footer="0.25"/>
  <pageSetup paperSize="9" orientation="portrait"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5</v>
      </c>
      <c r="C1" s="3"/>
      <c r="D1" s="3"/>
      <c r="E1" s="3"/>
      <c r="F1" s="3"/>
    </row>
    <row r="2" ht="28" customHeight="1" spans="1:6" x14ac:dyDescent="0.25">
      <c r="A2" s="1" t="s">
        <v>6</v>
      </c>
      <c r="B2" s="13" t="s">
        <v>7</v>
      </c>
      <c r="C2"/>
      <c r="D2"/>
      <c r="E2"/>
      <c r="F2" s="1" t="s">
        <v>8</v>
      </c>
    </row>
    <row r="3" ht="30" customHeight="1" spans="1:6" x14ac:dyDescent="0.25">
      <c r="A3" s="14">
        <v>1</v>
      </c>
      <c r="B3" s="15" t="s">
        <v>9</v>
      </c>
      <c r="C3" s="16"/>
      <c r="D3" s="16"/>
      <c r="E3" s="16"/>
      <c r="F3" s="14">
        <v>4</v>
      </c>
    </row>
    <row r="4" ht="30" customHeight="1" spans="1:6" x14ac:dyDescent="0.25">
      <c r="A4" s="14">
        <v>2</v>
      </c>
      <c r="B4" s="15" t="s">
        <v>10</v>
      </c>
      <c r="C4" s="16"/>
      <c r="D4" s="16"/>
      <c r="E4" s="16"/>
      <c r="F4" s="14">
        <v>5</v>
      </c>
    </row>
    <row r="5" ht="30" customHeight="1" spans="1:6" x14ac:dyDescent="0.25">
      <c r="A5" s="14">
        <v>3</v>
      </c>
      <c r="B5" s="15" t="s">
        <v>11</v>
      </c>
      <c r="C5" s="16"/>
      <c r="D5" s="16"/>
      <c r="E5" s="16"/>
      <c r="F5" s="14">
        <v>6</v>
      </c>
    </row>
    <row r="6" ht="30" customHeight="1" spans="1:6" x14ac:dyDescent="0.25">
      <c r="A6" s="14">
        <v>4</v>
      </c>
      <c r="B6" s="15" t="s">
        <v>12</v>
      </c>
      <c r="C6" s="16"/>
      <c r="D6" s="16"/>
      <c r="E6" s="16"/>
      <c r="F6" s="14">
        <v>7</v>
      </c>
    </row>
    <row r="7" ht="30" customHeight="1" spans="1:6" x14ac:dyDescent="0.25">
      <c r="A7" s="14">
        <v>5</v>
      </c>
      <c r="B7" s="15" t="s">
        <v>13</v>
      </c>
      <c r="C7" s="16"/>
      <c r="D7" s="16"/>
      <c r="E7" s="16"/>
      <c r="F7" s="14">
        <v>8</v>
      </c>
    </row>
    <row r="8" ht="30" customHeight="1" spans="1:6" x14ac:dyDescent="0.25">
      <c r="A8" s="14">
        <v>6</v>
      </c>
      <c r="B8" s="15" t="s">
        <v>14</v>
      </c>
      <c r="C8" s="16"/>
      <c r="D8" s="16"/>
      <c r="E8" s="16"/>
      <c r="F8" s="14">
        <v>9</v>
      </c>
    </row>
    <row r="9" ht="30" customHeight="1" spans="1:6" x14ac:dyDescent="0.25">
      <c r="A9" s="14">
        <v>7</v>
      </c>
      <c r="B9" s="15" t="s">
        <v>15</v>
      </c>
      <c r="C9" s="16"/>
      <c r="D9" s="16"/>
      <c r="E9" s="16"/>
      <c r="F9" s="14">
        <v>10</v>
      </c>
    </row>
    <row r="10" ht="30" customHeight="1" spans="1:6" x14ac:dyDescent="0.25">
      <c r="A10" s="14">
        <v>8</v>
      </c>
      <c r="B10" s="15" t="s">
        <v>16</v>
      </c>
      <c r="C10" s="16"/>
      <c r="D10" s="16"/>
      <c r="E10" s="16"/>
      <c r="F10" s="14">
        <v>11</v>
      </c>
    </row>
    <row r="11" ht="30" customHeight="1" spans="1:6" x14ac:dyDescent="0.25">
      <c r="A11" s="14">
        <v>9</v>
      </c>
      <c r="B11" s="15" t="s">
        <v>17</v>
      </c>
      <c r="C11" s="16"/>
      <c r="D11" s="16"/>
      <c r="E11" s="16"/>
      <c r="F11" s="14">
        <v>13</v>
      </c>
    </row>
    <row r="12" ht="30" customHeight="1" spans="1:6" x14ac:dyDescent="0.25">
      <c r="A12" s="14">
        <v>10</v>
      </c>
      <c r="B12" s="15" t="s">
        <v>18</v>
      </c>
      <c r="C12" s="16"/>
      <c r="D12" s="16"/>
      <c r="E12" s="16"/>
      <c r="F12" s="14">
        <v>14</v>
      </c>
    </row>
    <row r="13" ht="30" customHeight="1" spans="1:6" x14ac:dyDescent="0.25">
      <c r="A13" s="14">
        <v>11</v>
      </c>
      <c r="B13" s="15" t="s">
        <v>19</v>
      </c>
      <c r="C13" s="16"/>
      <c r="D13" s="16"/>
      <c r="E13" s="16"/>
      <c r="F13" s="14">
        <v>15</v>
      </c>
    </row>
    <row r="14" ht="30" customHeight="1" spans="1:6" x14ac:dyDescent="0.25">
      <c r="A14" s="14">
        <v>12</v>
      </c>
      <c r="B14" s="15" t="s">
        <v>20</v>
      </c>
      <c r="C14" s="16"/>
      <c r="D14" s="16"/>
      <c r="E14" s="16"/>
      <c r="F14" s="14">
        <v>17</v>
      </c>
    </row>
    <row r="15" ht="30" customHeight="1" spans="1:6" x14ac:dyDescent="0.25">
      <c r="A15" s="14">
        <v>13</v>
      </c>
      <c r="B15" s="15" t="s">
        <v>21</v>
      </c>
      <c r="C15" s="16"/>
      <c r="D15" s="16"/>
      <c r="E15" s="16"/>
      <c r="F15" s="14">
        <v>19</v>
      </c>
    </row>
    <row r="16" ht="30" customHeight="1" spans="1:6" x14ac:dyDescent="0.25">
      <c r="A16" s="14">
        <v>14</v>
      </c>
      <c r="B16" s="15" t="s">
        <v>22</v>
      </c>
      <c r="C16" s="16"/>
      <c r="D16" s="16"/>
      <c r="E16" s="16"/>
      <c r="F16" s="14">
        <v>20</v>
      </c>
    </row>
    <row r="17" ht="30" customHeight="1" spans="1:6" x14ac:dyDescent="0.25">
      <c r="A17" s="14">
        <v>15</v>
      </c>
      <c r="B17" s="15" t="s">
        <v>23</v>
      </c>
      <c r="C17" s="16"/>
      <c r="D17" s="16"/>
      <c r="E17" s="16"/>
      <c r="F17" s="14">
        <v>21</v>
      </c>
    </row>
    <row r="18" ht="30" customHeight="1" spans="1:6" x14ac:dyDescent="0.25">
      <c r="A18" s="14">
        <v>16</v>
      </c>
      <c r="B18" s="15" t="s">
        <v>24</v>
      </c>
      <c r="C18" s="16"/>
      <c r="D18" s="16"/>
      <c r="E18" s="16"/>
      <c r="F18" s="14">
        <v>22</v>
      </c>
    </row>
    <row r="19" ht="30" customHeight="1" spans="1:6" x14ac:dyDescent="0.25">
      <c r="A19" s="14">
        <v>17</v>
      </c>
      <c r="B19" s="15" t="s">
        <v>25</v>
      </c>
      <c r="C19" s="16"/>
      <c r="D19" s="16"/>
      <c r="E19" s="16"/>
      <c r="F19" s="14">
        <v>23</v>
      </c>
    </row>
    <row r="20" ht="30" customHeight="1" spans="1:6" x14ac:dyDescent="0.25">
      <c r="A20" s="14">
        <v>18</v>
      </c>
      <c r="B20" s="15" t="s">
        <v>26</v>
      </c>
      <c r="C20" s="16"/>
      <c r="D20" s="16"/>
      <c r="E20" s="16"/>
      <c r="F20" s="14">
        <v>24</v>
      </c>
    </row>
    <row r="21" ht="30" customHeight="1" spans="1:6" x14ac:dyDescent="0.25">
      <c r="A21" s="14">
        <v>19</v>
      </c>
      <c r="B21" s="15" t="s">
        <v>27</v>
      </c>
      <c r="C21" s="16"/>
      <c r="D21" s="16"/>
      <c r="E21" s="16"/>
      <c r="F21" s="14">
        <v>25</v>
      </c>
    </row>
    <row r="22" ht="30" customHeight="1" spans="1:6" x14ac:dyDescent="0.25">
      <c r="A22" s="14">
        <v>20</v>
      </c>
      <c r="B22" s="15" t="s">
        <v>28</v>
      </c>
      <c r="C22" s="16"/>
      <c r="D22" s="16"/>
      <c r="E22" s="16"/>
      <c r="F22" s="14">
        <v>26</v>
      </c>
    </row>
    <row r="23" ht="56" customHeight="1" spans="1:8" x14ac:dyDescent="0.25">
      <c r="A23" s="4"/>
      <c r="B23" s="17"/>
      <c r="C23" s="4"/>
      <c r="D23" s="4"/>
      <c r="E23" s="4"/>
      <c r="F23" s="4"/>
      <c r="G23" s="4"/>
      <c r="H23" s="4" t="s">
        <v>4</v>
      </c>
    </row>
    <row r="24" ht="36" customHeight="1" spans="1:6" x14ac:dyDescent="0.25">
      <c r="A24" s="4"/>
      <c r="B24" s="12" t="s">
        <v>29</v>
      </c>
      <c r="C24" s="3"/>
      <c r="D24" s="3"/>
      <c r="E24" s="3"/>
      <c r="F24" s="3"/>
    </row>
    <row r="25" ht="28" customHeight="1" spans="1:6" x14ac:dyDescent="0.25">
      <c r="A25" s="4" t="s">
        <v>6</v>
      </c>
      <c r="B25" s="17" t="s">
        <v>7</v>
      </c>
      <c r="C25"/>
      <c r="D25"/>
      <c r="E25"/>
      <c r="F25" s="4" t="s">
        <v>8</v>
      </c>
    </row>
    <row r="26" ht="30" customHeight="1" spans="1:6" x14ac:dyDescent="0.25">
      <c r="A26" s="14">
        <v>21</v>
      </c>
      <c r="B26" s="15" t="s">
        <v>30</v>
      </c>
      <c r="C26" s="16"/>
      <c r="D26" s="16"/>
      <c r="E26" s="16"/>
      <c r="F26" s="14">
        <v>27</v>
      </c>
    </row>
    <row r="27" ht="30" customHeight="1" spans="1:6" x14ac:dyDescent="0.25">
      <c r="A27" s="14">
        <v>22</v>
      </c>
      <c r="B27" s="15" t="s">
        <v>31</v>
      </c>
      <c r="C27" s="16"/>
      <c r="D27" s="16"/>
      <c r="E27" s="16"/>
      <c r="F27" s="14">
        <v>28</v>
      </c>
    </row>
    <row r="28" ht="24" customHeight="1" spans="1:8" x14ac:dyDescent="0.25">
      <c r="A28" s="4"/>
      <c r="B28" s="17"/>
      <c r="C28" s="4"/>
      <c r="D28" s="4"/>
      <c r="E28" s="4"/>
      <c r="F28" s="4"/>
      <c r="G28" s="4"/>
      <c r="H28" s="4" t="s">
        <v>4</v>
      </c>
    </row>
    <row r="29" ht="24" customHeight="1" spans="1:8" x14ac:dyDescent="0.25">
      <c r="A29" s="4"/>
      <c r="B29" s="17"/>
      <c r="C29" s="4"/>
      <c r="D29" s="4"/>
      <c r="E29" s="4"/>
      <c r="F29" s="4"/>
      <c r="G29" s="4"/>
      <c r="H29" s="4" t="s">
        <v>4</v>
      </c>
    </row>
    <row r="30" ht="32" customHeight="1" spans="1:6" x14ac:dyDescent="0.25">
      <c r="A30" s="4"/>
      <c r="B30" s="12" t="s">
        <v>32</v>
      </c>
      <c r="C30" s="3"/>
      <c r="D30" s="3"/>
      <c r="E30" s="3"/>
      <c r="F30" s="3"/>
    </row>
    <row r="31" ht="34.8" customHeight="1" spans="1:6" x14ac:dyDescent="0.25">
      <c r="A31" s="17" t="s">
        <v>33</v>
      </c>
      <c r="B31"/>
      <c r="C31"/>
      <c r="D31"/>
      <c r="E31"/>
      <c r="F31"/>
    </row>
    <row r="32" ht="34.8" customHeight="1" spans="1:6" x14ac:dyDescent="0.25">
      <c r="A32" s="17" t="s">
        <v>34</v>
      </c>
      <c r="B32"/>
      <c r="C32"/>
      <c r="D32"/>
      <c r="E32"/>
      <c r="F32"/>
    </row>
    <row r="33" ht="34.8" customHeight="1" spans="1:6" x14ac:dyDescent="0.25">
      <c r="A33" s="17" t="s">
        <v>35</v>
      </c>
      <c r="B33"/>
      <c r="C33"/>
      <c r="D33"/>
      <c r="E33"/>
      <c r="F33"/>
    </row>
    <row r="34" ht="34.8" customHeight="1" spans="1:6" x14ac:dyDescent="0.25">
      <c r="A34" s="17" t="s">
        <v>36</v>
      </c>
      <c r="B34"/>
      <c r="C34"/>
      <c r="D34"/>
      <c r="E34"/>
      <c r="F34"/>
    </row>
    <row r="35" ht="34.8" customHeight="1" spans="1:6" x14ac:dyDescent="0.25">
      <c r="A35" s="17" t="s">
        <v>37</v>
      </c>
      <c r="B35"/>
      <c r="C35"/>
      <c r="D35"/>
      <c r="E35"/>
      <c r="F35"/>
    </row>
    <row r="36" ht="341.99999999999994" customHeight="1" spans="1:8" x14ac:dyDescent="0.25">
      <c r="A36" s="4"/>
      <c r="B36" s="17"/>
      <c r="C36" s="4"/>
      <c r="D36" s="4"/>
      <c r="E36" s="4"/>
      <c r="F36" s="4"/>
      <c r="G36" s="4"/>
      <c r="H36" s="4" t="s">
        <v>4</v>
      </c>
    </row>
  </sheetData>
  <mergeCells count="32">
    <mergeCell ref="B1:F1"/>
    <mergeCell ref="B2:E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4:F24"/>
    <mergeCell ref="B25:E25"/>
    <mergeCell ref="B26:E26"/>
    <mergeCell ref="B27:E27"/>
    <mergeCell ref="B30:F30"/>
    <mergeCell ref="A31:F31"/>
    <mergeCell ref="A32:F32"/>
    <mergeCell ref="A33:F33"/>
    <mergeCell ref="A34:F34"/>
    <mergeCell ref="A35:F35"/>
  </mergeCells>
  <pageMargins left="0.25" right="0.25" top="0.75" bottom="0.75" header="0" footer="0.25"/>
  <pageSetup paperSize="9" orientation="portrait" fitToWidth="1" fitToHeight="0" firstPageNumber="2" useFirstPageNumber="1"/>
  <headerFooter>
    <oddFooter>&amp;Cעמוד &amp;P</oddFooter>
  </headerFooter>
  <rowBreaks count="1" manualBreakCount="1">
    <brk id="23" max="1683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FormatPr defaultRowHeight="15" outlineLevelRow="0" outlineLevelCol="0" x14ac:dyDescent="55"/>
  <sheetData>
    <row r="1" spans="1:7" x14ac:dyDescent="0.25">
      <c r="A1" t="s">
        <v>38</v>
      </c>
      <c r="B1">
        <v>4</v>
      </c>
      <c r="C1" t="s">
        <v>39</v>
      </c>
      <c r="D1" t="s">
        <v>40</v>
      </c>
      <c r="E1" t="s">
        <v>41</v>
      </c>
      <c r="F1" t="s">
        <v>42</v>
      </c>
      <c r="G1" t="s">
        <v>43</v>
      </c>
    </row>
    <row r="2" spans="1:4" x14ac:dyDescent="0.25">
      <c r="A2" t="s">
        <v>44</v>
      </c>
      <c r="B2" t="s">
        <v>45</v>
      </c>
      <c r="C2" t="s">
        <v>46</v>
      </c>
      <c r="D2" t="s">
        <v>47</v>
      </c>
    </row>
    <row r="3" spans="1:4" x14ac:dyDescent="0.25">
      <c r="A3" t="s">
        <v>48</v>
      </c>
      <c r="B3" t="s">
        <v>49</v>
      </c>
      <c r="C3" t="s">
        <v>50</v>
      </c>
      <c r="D3" t="s">
        <v>51</v>
      </c>
    </row>
    <row r="4" spans="1:4" x14ac:dyDescent="0.25">
      <c r="A4" t="s">
        <v>52</v>
      </c>
      <c r="B4" t="s">
        <v>9</v>
      </c>
      <c r="C4">
        <v>1</v>
      </c>
      <c r="D4" t="s">
        <v>53</v>
      </c>
    </row>
    <row r="5" spans="1:4" x14ac:dyDescent="0.25">
      <c r="A5" t="s">
        <v>54</v>
      </c>
      <c r="B5" t="s">
        <v>10</v>
      </c>
      <c r="C5">
        <v>1</v>
      </c>
      <c r="D5" t="s">
        <v>55</v>
      </c>
    </row>
    <row r="6" spans="1:4" x14ac:dyDescent="0.25">
      <c r="A6" t="s">
        <v>56</v>
      </c>
      <c r="B6" t="s">
        <v>11</v>
      </c>
      <c r="C6">
        <v>1</v>
      </c>
      <c r="D6" t="s">
        <v>57</v>
      </c>
    </row>
    <row r="7" spans="1:4" x14ac:dyDescent="0.25">
      <c r="A7" t="s">
        <v>58</v>
      </c>
      <c r="B7" t="s">
        <v>12</v>
      </c>
      <c r="C7">
        <v>1</v>
      </c>
      <c r="D7" t="s">
        <v>59</v>
      </c>
    </row>
    <row r="8" spans="1:4" x14ac:dyDescent="0.25">
      <c r="A8" t="s">
        <v>60</v>
      </c>
      <c r="B8" t="s">
        <v>13</v>
      </c>
      <c r="C8">
        <v>1</v>
      </c>
      <c r="D8" t="s">
        <v>61</v>
      </c>
    </row>
    <row r="9" spans="1:4" x14ac:dyDescent="0.25">
      <c r="A9" t="s">
        <v>62</v>
      </c>
      <c r="B9" t="s">
        <v>14</v>
      </c>
      <c r="C9">
        <v>1</v>
      </c>
      <c r="D9" t="s">
        <v>63</v>
      </c>
    </row>
    <row r="10" spans="1:4" x14ac:dyDescent="0.25">
      <c r="A10" t="s">
        <v>64</v>
      </c>
      <c r="B10" t="s">
        <v>15</v>
      </c>
      <c r="C10">
        <v>1</v>
      </c>
      <c r="D10" t="s">
        <v>65</v>
      </c>
    </row>
    <row r="11" spans="1:4" x14ac:dyDescent="0.25">
      <c r="A11" t="s">
        <v>66</v>
      </c>
      <c r="B11" t="s">
        <v>16</v>
      </c>
      <c r="C11">
        <v>1</v>
      </c>
      <c r="D11" t="s">
        <v>67</v>
      </c>
    </row>
    <row r="12" spans="1:4" x14ac:dyDescent="0.25">
      <c r="A12" t="s">
        <v>68</v>
      </c>
      <c r="B12" t="s">
        <v>17</v>
      </c>
      <c r="C12">
        <v>1</v>
      </c>
      <c r="D12" t="s">
        <v>69</v>
      </c>
    </row>
    <row r="13" spans="1:4" x14ac:dyDescent="0.25">
      <c r="A13" t="s">
        <v>70</v>
      </c>
      <c r="B13" t="s">
        <v>18</v>
      </c>
      <c r="C13">
        <v>1</v>
      </c>
      <c r="D13" t="s">
        <v>71</v>
      </c>
    </row>
    <row r="14" spans="1:4" x14ac:dyDescent="0.25">
      <c r="A14" t="s">
        <v>72</v>
      </c>
      <c r="B14" t="s">
        <v>19</v>
      </c>
      <c r="C14">
        <v>1</v>
      </c>
      <c r="D14" t="s">
        <v>73</v>
      </c>
    </row>
    <row r="15" spans="1:4" x14ac:dyDescent="0.25">
      <c r="A15" t="s">
        <v>74</v>
      </c>
      <c r="B15" t="s">
        <v>20</v>
      </c>
      <c r="C15">
        <v>1</v>
      </c>
      <c r="D15" t="s">
        <v>75</v>
      </c>
    </row>
    <row r="16" spans="1:4" x14ac:dyDescent="0.25">
      <c r="A16" t="s">
        <v>76</v>
      </c>
      <c r="B16" t="s">
        <v>21</v>
      </c>
      <c r="C16">
        <v>1</v>
      </c>
      <c r="D16" t="s">
        <v>77</v>
      </c>
    </row>
    <row r="17" spans="1:4" x14ac:dyDescent="0.25">
      <c r="A17" t="s">
        <v>78</v>
      </c>
      <c r="B17" t="s">
        <v>22</v>
      </c>
      <c r="C17">
        <v>1</v>
      </c>
      <c r="D17" t="s">
        <v>79</v>
      </c>
    </row>
    <row r="18" spans="1:4" x14ac:dyDescent="0.25">
      <c r="A18" t="s">
        <v>80</v>
      </c>
      <c r="B18" t="s">
        <v>23</v>
      </c>
      <c r="C18">
        <v>1</v>
      </c>
      <c r="D18" t="s">
        <v>81</v>
      </c>
    </row>
    <row r="19" spans="1:4" x14ac:dyDescent="0.25">
      <c r="A19" t="s">
        <v>82</v>
      </c>
      <c r="B19" t="s">
        <v>24</v>
      </c>
      <c r="C19">
        <v>1</v>
      </c>
      <c r="D19" t="s">
        <v>83</v>
      </c>
    </row>
    <row r="20" spans="1:4" x14ac:dyDescent="0.25">
      <c r="A20" t="s">
        <v>84</v>
      </c>
      <c r="B20" t="s">
        <v>25</v>
      </c>
      <c r="C20">
        <v>1</v>
      </c>
      <c r="D20" t="s">
        <v>85</v>
      </c>
    </row>
    <row r="21" spans="1:4" x14ac:dyDescent="0.25">
      <c r="A21" t="s">
        <v>86</v>
      </c>
      <c r="B21" t="s">
        <v>26</v>
      </c>
      <c r="C21">
        <v>1</v>
      </c>
      <c r="D21" t="s">
        <v>87</v>
      </c>
    </row>
    <row r="22" spans="1:4" x14ac:dyDescent="0.25">
      <c r="A22" t="s">
        <v>88</v>
      </c>
      <c r="B22" t="s">
        <v>27</v>
      </c>
      <c r="C22">
        <v>1</v>
      </c>
      <c r="D22" t="s">
        <v>89</v>
      </c>
    </row>
    <row r="23" spans="1:4" x14ac:dyDescent="0.25">
      <c r="A23" t="s">
        <v>90</v>
      </c>
      <c r="B23" t="s">
        <v>28</v>
      </c>
      <c r="C23">
        <v>1</v>
      </c>
      <c r="D23" t="s">
        <v>91</v>
      </c>
    </row>
    <row r="24" spans="1:4" x14ac:dyDescent="0.25">
      <c r="A24" t="s">
        <v>92</v>
      </c>
      <c r="B24" t="s">
        <v>30</v>
      </c>
      <c r="C24">
        <v>1</v>
      </c>
      <c r="D24" t="s">
        <v>93</v>
      </c>
    </row>
    <row r="25" spans="1:4" x14ac:dyDescent="0.25">
      <c r="A25" t="s">
        <v>94</v>
      </c>
      <c r="B25" t="s">
        <v>31</v>
      </c>
      <c r="C25">
        <v>1</v>
      </c>
      <c r="D25" t="s">
        <v>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9</v>
      </c>
      <c r="C1" s="3"/>
      <c r="D1" s="3"/>
      <c r="E1" s="3"/>
      <c r="F1" s="3"/>
      <c r="G1" s="1" t="s">
        <v>52</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104</v>
      </c>
      <c r="C3" s="21"/>
      <c r="D3" s="21"/>
      <c r="E3" s="21"/>
      <c r="F3" s="21"/>
      <c r="G3" s="4" t="s">
        <v>105</v>
      </c>
      <c r="H3" s="4" t="s">
        <v>106</v>
      </c>
    </row>
    <row r="4" ht="64.19999999999999" customHeight="1" spans="1:8" x14ac:dyDescent="0.25">
      <c r="A4" s="21" t="s">
        <v>107</v>
      </c>
      <c r="B4" s="22" t="s">
        <v>108</v>
      </c>
      <c r="C4" s="21" t="s">
        <v>109</v>
      </c>
      <c r="D4" s="21"/>
      <c r="E4" s="23"/>
      <c r="F4" s="23" t="str">
        <f>IF(ISBLANK(D4),"",IF(NOT(ISNUMBER(D4)),"קלט לא תקין",IF(D4&lt;0,"קלט לא תקין",IF(ISBLANK(E4),"",IF(OR(E4="כלול",E4="לא רלוונטי"),0,IF(NOT(ISNUMBER(E4)),"קלט לא תקין",IF(E4&lt;0,"קלט לא תקין",ROUND(D4*E4,2))))))))</f>
        <v/>
      </c>
      <c r="G4" s="4" t="s">
        <v>110</v>
      </c>
      <c r="H4" s="4" t="s">
        <v>111</v>
      </c>
    </row>
    <row r="5" ht="46.8" customHeight="1" spans="1:8" x14ac:dyDescent="0.25">
      <c r="A5" s="21" t="s">
        <v>112</v>
      </c>
      <c r="B5" s="22" t="s">
        <v>113</v>
      </c>
      <c r="C5" s="21" t="s">
        <v>109</v>
      </c>
      <c r="D5" s="21"/>
      <c r="E5" s="23"/>
      <c r="F5" s="23" t="str">
        <f>IF(ISBLANK(D5),"",IF(NOT(ISNUMBER(D5)),"קלט לא תקין",IF(D5&lt;0,"קלט לא תקין",IF(ISBLANK(E5),"",IF(OR(E5="כלול",E5="לא רלוונטי"),0,IF(NOT(ISNUMBER(E5)),"קלט לא תקין",IF(E5&lt;0,"קלט לא תקין",ROUND(D5*E5,2))))))))</f>
        <v/>
      </c>
      <c r="G5" s="4" t="s">
        <v>114</v>
      </c>
      <c r="H5" s="4" t="s">
        <v>111</v>
      </c>
    </row>
    <row r="6" ht="46.8" customHeight="1" spans="1:8" x14ac:dyDescent="0.25">
      <c r="A6" s="21" t="s">
        <v>115</v>
      </c>
      <c r="B6" s="22" t="s">
        <v>116</v>
      </c>
      <c r="C6" s="21" t="s">
        <v>109</v>
      </c>
      <c r="D6" s="21"/>
      <c r="E6" s="23"/>
      <c r="F6" s="23" t="str">
        <f>IF(ISBLANK(D6),"",IF(NOT(ISNUMBER(D6)),"קלט לא תקין",IF(D6&lt;0,"קלט לא תקין",IF(ISBLANK(E6),"",IF(OR(E6="כלול",E6="לא רלוונטי"),0,IF(NOT(ISNUMBER(E6)),"קלט לא תקין",IF(E6&lt;0,"קלט לא תקין",ROUND(D6*E6,2))))))))</f>
        <v/>
      </c>
      <c r="G6" s="4" t="s">
        <v>117</v>
      </c>
      <c r="H6" s="4" t="s">
        <v>111</v>
      </c>
    </row>
    <row r="7" ht="46.8" customHeight="1" spans="1:8" x14ac:dyDescent="0.25">
      <c r="A7" s="21" t="s">
        <v>118</v>
      </c>
      <c r="B7" s="22" t="s">
        <v>119</v>
      </c>
      <c r="C7" s="21" t="s">
        <v>120</v>
      </c>
      <c r="D7" s="21"/>
      <c r="E7" s="23"/>
      <c r="F7" s="23" t="str">
        <f>IF(ISBLANK(D7),"",IF(NOT(ISNUMBER(D7)),"קלט לא תקין",IF(D7&lt;0,"קלט לא תקין",IF(ISBLANK(E7),"",IF(OR(E7="כלול",E7="לא רלוונטי"),0,IF(NOT(ISNUMBER(E7)),"קלט לא תקין",IF(E7&lt;0,"קלט לא תקין",ROUND(D7*E7,2))))))))</f>
        <v/>
      </c>
      <c r="G7" s="4" t="s">
        <v>121</v>
      </c>
      <c r="H7" s="4" t="s">
        <v>111</v>
      </c>
    </row>
    <row r="8" ht="46.8" customHeight="1" spans="1:8" x14ac:dyDescent="0.25">
      <c r="A8" s="21" t="s">
        <v>122</v>
      </c>
      <c r="B8" s="22" t="s">
        <v>123</v>
      </c>
      <c r="C8" s="21" t="s">
        <v>120</v>
      </c>
      <c r="D8" s="21"/>
      <c r="E8" s="23"/>
      <c r="F8" s="23" t="str">
        <f>IF(ISBLANK(D8),"",IF(NOT(ISNUMBER(D8)),"קלט לא תקין",IF(D8&lt;0,"קלט לא תקין",IF(ISBLANK(E8),"",IF(OR(E8="כלול",E8="לא רלוונטי"),0,IF(NOT(ISNUMBER(E8)),"קלט לא תקין",IF(E8&lt;0,"קלט לא תקין",ROUND(D8*E8,2))))))))</f>
        <v/>
      </c>
      <c r="G8" s="4" t="s">
        <v>124</v>
      </c>
      <c r="H8" s="4" t="s">
        <v>111</v>
      </c>
    </row>
    <row r="9" ht="46.8" customHeight="1" spans="1:8" x14ac:dyDescent="0.25">
      <c r="A9" s="21" t="s">
        <v>125</v>
      </c>
      <c r="B9" s="22" t="s">
        <v>126</v>
      </c>
      <c r="C9" s="21" t="s">
        <v>120</v>
      </c>
      <c r="D9" s="21"/>
      <c r="E9" s="23"/>
      <c r="F9" s="23" t="str">
        <f>IF(ISBLANK(D9),"",IF(NOT(ISNUMBER(D9)),"קלט לא תקין",IF(D9&lt;0,"קלט לא תקין",IF(ISBLANK(E9),"",IF(OR(E9="כלול",E9="לא רלוונטי"),0,IF(NOT(ISNUMBER(E9)),"קלט לא תקין",IF(E9&lt;0,"קלט לא תקין",ROUND(D9*E9,2))))))))</f>
        <v/>
      </c>
      <c r="G9" s="4" t="s">
        <v>127</v>
      </c>
      <c r="H9" s="4" t="s">
        <v>111</v>
      </c>
    </row>
    <row r="10" ht="46.8" customHeight="1" spans="1:8" x14ac:dyDescent="0.25">
      <c r="A10" s="21" t="s">
        <v>128</v>
      </c>
      <c r="B10" s="22" t="s">
        <v>129</v>
      </c>
      <c r="C10" s="21" t="s">
        <v>130</v>
      </c>
      <c r="D10" s="21"/>
      <c r="E10" s="23"/>
      <c r="F10" s="23" t="str">
        <f>IF(ISBLANK(D10),"",IF(NOT(ISNUMBER(D10)),"קלט לא תקין",IF(D10&lt;0,"קלט לא תקין",IF(ISBLANK(E10),"",IF(OR(E10="כלול",E10="לא רלוונטי"),0,IF(NOT(ISNUMBER(E10)),"קלט לא תקין",IF(E10&lt;0,"קלט לא תקין",ROUND(D10*E10,2))))))))</f>
        <v/>
      </c>
      <c r="G10" s="4" t="s">
        <v>131</v>
      </c>
      <c r="H10" s="4" t="s">
        <v>111</v>
      </c>
    </row>
    <row r="11" ht="46.8" customHeight="1" spans="1:8" x14ac:dyDescent="0.25">
      <c r="A11" s="21" t="s">
        <v>132</v>
      </c>
      <c r="B11" s="22" t="s">
        <v>133</v>
      </c>
      <c r="C11" s="21" t="s">
        <v>120</v>
      </c>
      <c r="D11" s="21"/>
      <c r="E11" s="23"/>
      <c r="F11" s="23" t="str">
        <f>IF(ISBLANK(D11),"",IF(NOT(ISNUMBER(D11)),"קלט לא תקין",IF(D11&lt;0,"קלט לא תקין",IF(ISBLANK(E11),"",IF(OR(E11="כלול",E11="לא רלוונטי"),0,IF(NOT(ISNUMBER(E11)),"קלט לא תקין",IF(E11&lt;0,"קלט לא תקין",ROUND(D11*E11,2))))))))</f>
        <v/>
      </c>
      <c r="G11" s="4" t="s">
        <v>134</v>
      </c>
      <c r="H11" s="4" t="s">
        <v>111</v>
      </c>
    </row>
    <row r="12" ht="167.99999999999994" customHeight="1" spans="1:8" x14ac:dyDescent="0.25">
      <c r="A12" s="21"/>
      <c r="B12" s="22"/>
      <c r="C12" s="21"/>
      <c r="D12" s="21"/>
      <c r="E12" s="21"/>
      <c r="F12" s="21"/>
      <c r="G12" s="4"/>
      <c r="H12" s="4" t="s">
        <v>4</v>
      </c>
    </row>
    <row r="13" ht="32" customHeight="1" spans="1:8" x14ac:dyDescent="0.25">
      <c r="A13" s="14"/>
      <c r="B13" s="15" t="s">
        <v>135</v>
      </c>
      <c r="C13" s="16"/>
      <c r="D13" s="16"/>
      <c r="E13" s="16"/>
      <c r="F13" s="24">
        <f>SUM(F4,F5,F6,F7,F8,F9,F10,F11)</f>
        <v>0</v>
      </c>
      <c r="G13" s="4"/>
      <c r="H13" s="4" t="s">
        <v>136</v>
      </c>
    </row>
  </sheetData>
  <mergeCells count="2">
    <mergeCell ref="B1:F1"/>
    <mergeCell ref="B13:E13"/>
  </mergeCells>
  <conditionalFormatting sqref="E4">
    <cfRule type="expression" dxfId="0" priority="1">
      <formula>AND(ISNUMBER(E4),ROUND(E4,2)=INT(ROUND(E4,2)))</formula>
    </cfRule>
    <cfRule type="expression" dxfId="1" priority="2">
      <formula>AND(ISNUMBER(E4),ROUND(E4,2)&lt;&gt;INT(ROUND(E4,2)))</formula>
    </cfRule>
  </conditionalFormatting>
  <conditionalFormatting sqref="F4">
    <cfRule type="expression" dxfId="2" priority="1">
      <formula>AND(ISNUMBER(F4),ROUND(F4,2)=INT(ROUND(F4,2)))</formula>
    </cfRule>
    <cfRule type="expression" dxfId="3" priority="2">
      <formula>AND(ISNUMBER(F4),ROUND(F4,2)&lt;&gt;INT(ROUND(F4,2)))</formula>
    </cfRule>
  </conditionalFormatting>
  <conditionalFormatting sqref="E5">
    <cfRule type="expression" dxfId="4" priority="1">
      <formula>AND(ISNUMBER(E5),ROUND(E5,2)=INT(ROUND(E5,2)))</formula>
    </cfRule>
    <cfRule type="expression" dxfId="5" priority="2">
      <formula>AND(ISNUMBER(E5),ROUND(E5,2)&lt;&gt;INT(ROUND(E5,2)))</formula>
    </cfRule>
  </conditionalFormatting>
  <conditionalFormatting sqref="F5">
    <cfRule type="expression" dxfId="6" priority="1">
      <formula>AND(ISNUMBER(F5),ROUND(F5,2)=INT(ROUND(F5,2)))</formula>
    </cfRule>
    <cfRule type="expression" dxfId="7" priority="2">
      <formula>AND(ISNUMBER(F5),ROUND(F5,2)&lt;&gt;INT(ROUND(F5,2)))</formula>
    </cfRule>
  </conditionalFormatting>
  <conditionalFormatting sqref="E6">
    <cfRule type="expression" dxfId="8" priority="1">
      <formula>AND(ISNUMBER(E6),ROUND(E6,2)=INT(ROUND(E6,2)))</formula>
    </cfRule>
    <cfRule type="expression" dxfId="9" priority="2">
      <formula>AND(ISNUMBER(E6),ROUND(E6,2)&lt;&gt;INT(ROUND(E6,2)))</formula>
    </cfRule>
  </conditionalFormatting>
  <conditionalFormatting sqref="F6">
    <cfRule type="expression" dxfId="10" priority="1">
      <formula>AND(ISNUMBER(F6),ROUND(F6,2)=INT(ROUND(F6,2)))</formula>
    </cfRule>
    <cfRule type="expression" dxfId="11" priority="2">
      <formula>AND(ISNUMBER(F6),ROUND(F6,2)&lt;&gt;INT(ROUND(F6,2)))</formula>
    </cfRule>
  </conditionalFormatting>
  <conditionalFormatting sqref="E7">
    <cfRule type="expression" dxfId="12" priority="1">
      <formula>AND(ISNUMBER(E7),ROUND(E7,2)=INT(ROUND(E7,2)))</formula>
    </cfRule>
    <cfRule type="expression" dxfId="13" priority="2">
      <formula>AND(ISNUMBER(E7),ROUND(E7,2)&lt;&gt;INT(ROUND(E7,2)))</formula>
    </cfRule>
  </conditionalFormatting>
  <conditionalFormatting sqref="F7">
    <cfRule type="expression" dxfId="14" priority="1">
      <formula>AND(ISNUMBER(F7),ROUND(F7,2)=INT(ROUND(F7,2)))</formula>
    </cfRule>
    <cfRule type="expression" dxfId="15" priority="2">
      <formula>AND(ISNUMBER(F7),ROUND(F7,2)&lt;&gt;INT(ROUND(F7,2)))</formula>
    </cfRule>
  </conditionalFormatting>
  <conditionalFormatting sqref="E8">
    <cfRule type="expression" dxfId="16" priority="1">
      <formula>AND(ISNUMBER(E8),ROUND(E8,2)=INT(ROUND(E8,2)))</formula>
    </cfRule>
    <cfRule type="expression" dxfId="17" priority="2">
      <formula>AND(ISNUMBER(E8),ROUND(E8,2)&lt;&gt;INT(ROUND(E8,2)))</formula>
    </cfRule>
  </conditionalFormatting>
  <conditionalFormatting sqref="F8">
    <cfRule type="expression" dxfId="18" priority="1">
      <formula>AND(ISNUMBER(F8),ROUND(F8,2)=INT(ROUND(F8,2)))</formula>
    </cfRule>
    <cfRule type="expression" dxfId="19" priority="2">
      <formula>AND(ISNUMBER(F8),ROUND(F8,2)&lt;&gt;INT(ROUND(F8,2)))</formula>
    </cfRule>
  </conditionalFormatting>
  <conditionalFormatting sqref="E9">
    <cfRule type="expression" dxfId="20" priority="1">
      <formula>AND(ISNUMBER(E9),ROUND(E9,2)=INT(ROUND(E9,2)))</formula>
    </cfRule>
    <cfRule type="expression" dxfId="21" priority="2">
      <formula>AND(ISNUMBER(E9),ROUND(E9,2)&lt;&gt;INT(ROUND(E9,2)))</formula>
    </cfRule>
  </conditionalFormatting>
  <conditionalFormatting sqref="F9">
    <cfRule type="expression" dxfId="22" priority="1">
      <formula>AND(ISNUMBER(F9),ROUND(F9,2)=INT(ROUND(F9,2)))</formula>
    </cfRule>
    <cfRule type="expression" dxfId="23" priority="2">
      <formula>AND(ISNUMBER(F9),ROUND(F9,2)&lt;&gt;INT(ROUND(F9,2)))</formula>
    </cfRule>
  </conditionalFormatting>
  <conditionalFormatting sqref="E10">
    <cfRule type="expression" dxfId="24" priority="1">
      <formula>AND(ISNUMBER(E10),ROUND(E10,2)=INT(ROUND(E10,2)))</formula>
    </cfRule>
    <cfRule type="expression" dxfId="25" priority="2">
      <formula>AND(ISNUMBER(E10),ROUND(E10,2)&lt;&gt;INT(ROUND(E10,2)))</formula>
    </cfRule>
  </conditionalFormatting>
  <conditionalFormatting sqref="F10">
    <cfRule type="expression" dxfId="26" priority="1">
      <formula>AND(ISNUMBER(F10),ROUND(F10,2)=INT(ROUND(F10,2)))</formula>
    </cfRule>
    <cfRule type="expression" dxfId="27" priority="2">
      <formula>AND(ISNUMBER(F10),ROUND(F10,2)&lt;&gt;INT(ROUND(F10,2)))</formula>
    </cfRule>
  </conditionalFormatting>
  <conditionalFormatting sqref="E11">
    <cfRule type="expression" dxfId="28" priority="1">
      <formula>AND(ISNUMBER(E11),ROUND(E11,2)=INT(ROUND(E11,2)))</formula>
    </cfRule>
    <cfRule type="expression" dxfId="29" priority="2">
      <formula>AND(ISNUMBER(E11),ROUND(E11,2)&lt;&gt;INT(ROUND(E11,2)))</formula>
    </cfRule>
  </conditionalFormatting>
  <conditionalFormatting sqref="F11">
    <cfRule type="expression" dxfId="30" priority="1">
      <formula>AND(ISNUMBER(F11),ROUND(F11,2)=INT(ROUND(F11,2)))</formula>
    </cfRule>
    <cfRule type="expression" dxfId="31" priority="2">
      <formula>AND(ISNUMBER(F11),ROUND(F11,2)&lt;&gt;INT(ROUND(F11,2)))</formula>
    </cfRule>
  </conditionalFormatting>
  <conditionalFormatting sqref="F13">
    <cfRule type="expression" dxfId="32" priority="1">
      <formula>AND(ISNUMBER(F13),ROUND(F13,2)=INT(ROUND(F13,2)))</formula>
    </cfRule>
    <cfRule type="expression" dxfId="33" priority="2">
      <formula>AND(ISNUMBER(F13),ROUND(F13,2)&lt;&gt;INT(ROUND(F13,2)))</formula>
    </cfRule>
  </conditionalFormatting>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4"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10</v>
      </c>
      <c r="C1" s="3"/>
      <c r="D1" s="3"/>
      <c r="E1" s="3"/>
      <c r="F1" s="3"/>
      <c r="G1" s="1" t="s">
        <v>54</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137</v>
      </c>
      <c r="C3" s="21"/>
      <c r="D3" s="21"/>
      <c r="E3" s="21"/>
      <c r="F3" s="21"/>
      <c r="G3" s="4" t="s">
        <v>138</v>
      </c>
      <c r="H3" s="4" t="s">
        <v>106</v>
      </c>
    </row>
    <row r="4" ht="64.19999999999999" customHeight="1" spans="1:8" x14ac:dyDescent="0.25">
      <c r="A4" s="21" t="s">
        <v>139</v>
      </c>
      <c r="B4" s="22" t="s">
        <v>140</v>
      </c>
      <c r="C4" s="21" t="s">
        <v>109</v>
      </c>
      <c r="D4" s="21"/>
      <c r="E4" s="23"/>
      <c r="F4" s="23" t="str">
        <f>IF(ISBLANK(D4),"",IF(NOT(ISNUMBER(D4)),"קלט לא תקין",IF(D4&lt;0,"קלט לא תקין",IF(ISBLANK(E4),"",IF(OR(E4="כלול",E4="לא רלוונטי"),0,IF(NOT(ISNUMBER(E4)),"קלט לא תקין",IF(E4&lt;0,"קלט לא תקין",ROUND(D4*E4,2))))))))</f>
        <v/>
      </c>
      <c r="G4" s="4" t="s">
        <v>141</v>
      </c>
      <c r="H4" s="4" t="s">
        <v>111</v>
      </c>
    </row>
    <row r="5" ht="46.8" customHeight="1" spans="1:8" x14ac:dyDescent="0.25">
      <c r="A5" s="21" t="s">
        <v>142</v>
      </c>
      <c r="B5" s="22" t="s">
        <v>143</v>
      </c>
      <c r="C5" s="21" t="s">
        <v>109</v>
      </c>
      <c r="D5" s="21"/>
      <c r="E5" s="23"/>
      <c r="F5" s="23" t="str">
        <f>IF(ISBLANK(D5),"",IF(NOT(ISNUMBER(D5)),"קלט לא תקין",IF(D5&lt;0,"קלט לא תקין",IF(ISBLANK(E5),"",IF(OR(E5="כלול",E5="לא רלוונטי"),0,IF(NOT(ISNUMBER(E5)),"קלט לא תקין",IF(E5&lt;0,"קלט לא תקין",ROUND(D5*E5,2))))))))</f>
        <v/>
      </c>
      <c r="G5" s="4" t="s">
        <v>144</v>
      </c>
      <c r="H5" s="4" t="s">
        <v>111</v>
      </c>
    </row>
    <row r="6" ht="46.8" customHeight="1" spans="1:8" x14ac:dyDescent="0.25">
      <c r="A6" s="21" t="s">
        <v>145</v>
      </c>
      <c r="B6" s="22" t="s">
        <v>146</v>
      </c>
      <c r="C6" s="21" t="s">
        <v>147</v>
      </c>
      <c r="D6" s="21"/>
      <c r="E6" s="23"/>
      <c r="F6" s="23" t="str">
        <f>IF(ISBLANK(D6),"",IF(NOT(ISNUMBER(D6)),"קלט לא תקין",IF(D6&lt;0,"קלט לא תקין",IF(ISBLANK(E6),"",IF(OR(E6="כלול",E6="לא רלוונטי"),0,IF(NOT(ISNUMBER(E6)),"קלט לא תקין",IF(E6&lt;0,"קלט לא תקין",ROUND(D6*E6,2))))))))</f>
        <v/>
      </c>
      <c r="G6" s="4" t="s">
        <v>148</v>
      </c>
      <c r="H6" s="4" t="s">
        <v>111</v>
      </c>
    </row>
    <row r="7" ht="46.8" customHeight="1" spans="1:8" x14ac:dyDescent="0.25">
      <c r="A7" s="21" t="s">
        <v>149</v>
      </c>
      <c r="B7" s="22" t="s">
        <v>150</v>
      </c>
      <c r="C7" s="21" t="s">
        <v>130</v>
      </c>
      <c r="D7" s="21"/>
      <c r="E7" s="23"/>
      <c r="F7" s="23" t="str">
        <f>IF(ISBLANK(D7),"",IF(NOT(ISNUMBER(D7)),"קלט לא תקין",IF(D7&lt;0,"קלט לא תקין",IF(ISBLANK(E7),"",IF(OR(E7="כלול",E7="לא רלוונטי"),0,IF(NOT(ISNUMBER(E7)),"קלט לא תקין",IF(E7&lt;0,"קלט לא תקין",ROUND(D7*E7,2))))))))</f>
        <v/>
      </c>
      <c r="G7" s="4" t="s">
        <v>151</v>
      </c>
      <c r="H7" s="4" t="s">
        <v>111</v>
      </c>
    </row>
    <row r="8" ht="46.8" customHeight="1" spans="1:8" x14ac:dyDescent="0.25">
      <c r="A8" s="21" t="s">
        <v>152</v>
      </c>
      <c r="B8" s="22" t="s">
        <v>153</v>
      </c>
      <c r="C8" s="21" t="s">
        <v>130</v>
      </c>
      <c r="D8" s="21"/>
      <c r="E8" s="23"/>
      <c r="F8" s="23" t="str">
        <f>IF(ISBLANK(D8),"",IF(NOT(ISNUMBER(D8)),"קלט לא תקין",IF(D8&lt;0,"קלט לא תקין",IF(ISBLANK(E8),"",IF(OR(E8="כלול",E8="לא רלוונטי"),0,IF(NOT(ISNUMBER(E8)),"קלט לא תקין",IF(E8&lt;0,"קלט לא תקין",ROUND(D8*E8,2))))))))</f>
        <v/>
      </c>
      <c r="G8" s="4" t="s">
        <v>154</v>
      </c>
      <c r="H8" s="4" t="s">
        <v>111</v>
      </c>
    </row>
    <row r="9" ht="46.8" customHeight="1" spans="1:8" x14ac:dyDescent="0.25">
      <c r="A9" s="21" t="s">
        <v>155</v>
      </c>
      <c r="B9" s="22" t="s">
        <v>156</v>
      </c>
      <c r="C9" s="21" t="s">
        <v>130</v>
      </c>
      <c r="D9" s="21"/>
      <c r="E9" s="23"/>
      <c r="F9" s="23" t="str">
        <f>IF(ISBLANK(D9),"",IF(NOT(ISNUMBER(D9)),"קלט לא תקין",IF(D9&lt;0,"קלט לא תקין",IF(ISBLANK(E9),"",IF(OR(E9="כלול",E9="לא רלוונטי"),0,IF(NOT(ISNUMBER(E9)),"קלט לא תקין",IF(E9&lt;0,"קלט לא תקין",ROUND(D9*E9,2))))))))</f>
        <v/>
      </c>
      <c r="G9" s="4" t="s">
        <v>157</v>
      </c>
      <c r="H9" s="4" t="s">
        <v>111</v>
      </c>
    </row>
    <row r="10" ht="244.2" customHeight="1" spans="1:8" x14ac:dyDescent="0.25">
      <c r="A10" s="21"/>
      <c r="B10" s="22"/>
      <c r="C10" s="21"/>
      <c r="D10" s="21"/>
      <c r="E10" s="21"/>
      <c r="F10" s="21"/>
      <c r="G10" s="4"/>
      <c r="H10" s="4" t="s">
        <v>4</v>
      </c>
    </row>
    <row r="11" ht="32" customHeight="1" spans="1:8" x14ac:dyDescent="0.25">
      <c r="A11" s="14"/>
      <c r="B11" s="15" t="s">
        <v>158</v>
      </c>
      <c r="C11" s="16"/>
      <c r="D11" s="16"/>
      <c r="E11" s="16"/>
      <c r="F11" s="24">
        <f>SUM(F4,F5,F6,F7,F8,F9)</f>
        <v>0</v>
      </c>
      <c r="G11" s="4"/>
      <c r="H11" s="4" t="s">
        <v>136</v>
      </c>
    </row>
  </sheetData>
  <mergeCells count="2">
    <mergeCell ref="B1:F1"/>
    <mergeCell ref="B11:E11"/>
  </mergeCells>
  <conditionalFormatting sqref="E4">
    <cfRule type="expression" dxfId="34" priority="1">
      <formula>AND(ISNUMBER(E4),ROUND(E4,2)=INT(ROUND(E4,2)))</formula>
    </cfRule>
    <cfRule type="expression" dxfId="35" priority="2">
      <formula>AND(ISNUMBER(E4),ROUND(E4,2)&lt;&gt;INT(ROUND(E4,2)))</formula>
    </cfRule>
  </conditionalFormatting>
  <conditionalFormatting sqref="F4">
    <cfRule type="expression" dxfId="36" priority="1">
      <formula>AND(ISNUMBER(F4),ROUND(F4,2)=INT(ROUND(F4,2)))</formula>
    </cfRule>
    <cfRule type="expression" dxfId="37" priority="2">
      <formula>AND(ISNUMBER(F4),ROUND(F4,2)&lt;&gt;INT(ROUND(F4,2)))</formula>
    </cfRule>
  </conditionalFormatting>
  <conditionalFormatting sqref="E5">
    <cfRule type="expression" dxfId="38" priority="1">
      <formula>AND(ISNUMBER(E5),ROUND(E5,2)=INT(ROUND(E5,2)))</formula>
    </cfRule>
    <cfRule type="expression" dxfId="39" priority="2">
      <formula>AND(ISNUMBER(E5),ROUND(E5,2)&lt;&gt;INT(ROUND(E5,2)))</formula>
    </cfRule>
  </conditionalFormatting>
  <conditionalFormatting sqref="F5">
    <cfRule type="expression" dxfId="40" priority="1">
      <formula>AND(ISNUMBER(F5),ROUND(F5,2)=INT(ROUND(F5,2)))</formula>
    </cfRule>
    <cfRule type="expression" dxfId="41" priority="2">
      <formula>AND(ISNUMBER(F5),ROUND(F5,2)&lt;&gt;INT(ROUND(F5,2)))</formula>
    </cfRule>
  </conditionalFormatting>
  <conditionalFormatting sqref="E6">
    <cfRule type="expression" dxfId="42" priority="1">
      <formula>AND(ISNUMBER(E6),ROUND(E6,2)=INT(ROUND(E6,2)))</formula>
    </cfRule>
    <cfRule type="expression" dxfId="43" priority="2">
      <formula>AND(ISNUMBER(E6),ROUND(E6,2)&lt;&gt;INT(ROUND(E6,2)))</formula>
    </cfRule>
  </conditionalFormatting>
  <conditionalFormatting sqref="F6">
    <cfRule type="expression" dxfId="44" priority="1">
      <formula>AND(ISNUMBER(F6),ROUND(F6,2)=INT(ROUND(F6,2)))</formula>
    </cfRule>
    <cfRule type="expression" dxfId="45" priority="2">
      <formula>AND(ISNUMBER(F6),ROUND(F6,2)&lt;&gt;INT(ROUND(F6,2)))</formula>
    </cfRule>
  </conditionalFormatting>
  <conditionalFormatting sqref="E7">
    <cfRule type="expression" dxfId="46" priority="1">
      <formula>AND(ISNUMBER(E7),ROUND(E7,2)=INT(ROUND(E7,2)))</formula>
    </cfRule>
    <cfRule type="expression" dxfId="47" priority="2">
      <formula>AND(ISNUMBER(E7),ROUND(E7,2)&lt;&gt;INT(ROUND(E7,2)))</formula>
    </cfRule>
  </conditionalFormatting>
  <conditionalFormatting sqref="F7">
    <cfRule type="expression" dxfId="48" priority="1">
      <formula>AND(ISNUMBER(F7),ROUND(F7,2)=INT(ROUND(F7,2)))</formula>
    </cfRule>
    <cfRule type="expression" dxfId="49" priority="2">
      <formula>AND(ISNUMBER(F7),ROUND(F7,2)&lt;&gt;INT(ROUND(F7,2)))</formula>
    </cfRule>
  </conditionalFormatting>
  <conditionalFormatting sqref="E8">
    <cfRule type="expression" dxfId="50" priority="1">
      <formula>AND(ISNUMBER(E8),ROUND(E8,2)=INT(ROUND(E8,2)))</formula>
    </cfRule>
    <cfRule type="expression" dxfId="51" priority="2">
      <formula>AND(ISNUMBER(E8),ROUND(E8,2)&lt;&gt;INT(ROUND(E8,2)))</formula>
    </cfRule>
  </conditionalFormatting>
  <conditionalFormatting sqref="F8">
    <cfRule type="expression" dxfId="52" priority="1">
      <formula>AND(ISNUMBER(F8),ROUND(F8,2)=INT(ROUND(F8,2)))</formula>
    </cfRule>
    <cfRule type="expression" dxfId="53" priority="2">
      <formula>AND(ISNUMBER(F8),ROUND(F8,2)&lt;&gt;INT(ROUND(F8,2)))</formula>
    </cfRule>
  </conditionalFormatting>
  <conditionalFormatting sqref="E9">
    <cfRule type="expression" dxfId="54" priority="1">
      <formula>AND(ISNUMBER(E9),ROUND(E9,2)=INT(ROUND(E9,2)))</formula>
    </cfRule>
    <cfRule type="expression" dxfId="55" priority="2">
      <formula>AND(ISNUMBER(E9),ROUND(E9,2)&lt;&gt;INT(ROUND(E9,2)))</formula>
    </cfRule>
  </conditionalFormatting>
  <conditionalFormatting sqref="F9">
    <cfRule type="expression" dxfId="56" priority="1">
      <formula>AND(ISNUMBER(F9),ROUND(F9,2)=INT(ROUND(F9,2)))</formula>
    </cfRule>
    <cfRule type="expression" dxfId="57" priority="2">
      <formula>AND(ISNUMBER(F9),ROUND(F9,2)&lt;&gt;INT(ROUND(F9,2)))</formula>
    </cfRule>
  </conditionalFormatting>
  <conditionalFormatting sqref="F11">
    <cfRule type="expression" dxfId="58" priority="1">
      <formula>AND(ISNUMBER(F11),ROUND(F11,2)=INT(ROUND(F11,2)))</formula>
    </cfRule>
    <cfRule type="expression" dxfId="59" priority="2">
      <formula>AND(ISNUMBER(F11),ROUND(F11,2)&lt;&gt;INT(ROUND(F11,2)))</formula>
    </cfRule>
  </conditionalFormatting>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5"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11</v>
      </c>
      <c r="C1" s="3"/>
      <c r="D1" s="3"/>
      <c r="E1" s="3"/>
      <c r="F1" s="3"/>
      <c r="G1" s="1" t="s">
        <v>56</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159</v>
      </c>
      <c r="C3" s="21"/>
      <c r="D3" s="21"/>
      <c r="E3" s="21"/>
      <c r="F3" s="21"/>
      <c r="G3" s="4" t="s">
        <v>160</v>
      </c>
      <c r="H3" s="4" t="s">
        <v>106</v>
      </c>
    </row>
    <row r="4" ht="64.19999999999999" customHeight="1" spans="1:8" x14ac:dyDescent="0.25">
      <c r="A4" s="21" t="s">
        <v>161</v>
      </c>
      <c r="B4" s="22" t="s">
        <v>162</v>
      </c>
      <c r="C4" s="21" t="s">
        <v>120</v>
      </c>
      <c r="D4" s="21"/>
      <c r="E4" s="23"/>
      <c r="F4" s="23" t="str">
        <f>IF(ISBLANK(D4),"",IF(NOT(ISNUMBER(D4)),"קלט לא תקין",IF(D4&lt;0,"קלט לא תקין",IF(ISBLANK(E4),"",IF(OR(E4="כלול",E4="לא רלוונטי"),0,IF(NOT(ISNUMBER(E4)),"קלט לא תקין",IF(E4&lt;0,"קלט לא תקין",ROUND(D4*E4,2))))))))</f>
        <v/>
      </c>
      <c r="G4" s="4" t="s">
        <v>163</v>
      </c>
      <c r="H4" s="4" t="s">
        <v>111</v>
      </c>
    </row>
    <row r="5" ht="64.19999999999999" customHeight="1" spans="1:8" x14ac:dyDescent="0.25">
      <c r="A5" s="21" t="s">
        <v>164</v>
      </c>
      <c r="B5" s="22" t="s">
        <v>165</v>
      </c>
      <c r="C5" s="21" t="s">
        <v>166</v>
      </c>
      <c r="D5" s="21"/>
      <c r="E5" s="23"/>
      <c r="F5" s="23" t="str">
        <f>IF(ISBLANK(D5),"",IF(NOT(ISNUMBER(D5)),"קלט לא תקין",IF(D5&lt;0,"קלט לא תקין",IF(ISBLANK(E5),"",IF(OR(E5="כלול",E5="לא רלוונטי"),0,IF(NOT(ISNUMBER(E5)),"קלט לא תקין",IF(E5&lt;0,"קלט לא תקין",ROUND(D5*E5,2))))))))</f>
        <v/>
      </c>
      <c r="G5" s="4" t="s">
        <v>167</v>
      </c>
      <c r="H5" s="4" t="s">
        <v>111</v>
      </c>
    </row>
    <row r="6" ht="46.8" customHeight="1" spans="1:8" x14ac:dyDescent="0.25">
      <c r="A6" s="21" t="s">
        <v>168</v>
      </c>
      <c r="B6" s="22" t="s">
        <v>169</v>
      </c>
      <c r="C6" s="21" t="s">
        <v>166</v>
      </c>
      <c r="D6" s="21"/>
      <c r="E6" s="23"/>
      <c r="F6" s="23" t="str">
        <f>IF(ISBLANK(D6),"",IF(NOT(ISNUMBER(D6)),"קלט לא תקין",IF(D6&lt;0,"קלט לא תקין",IF(ISBLANK(E6),"",IF(OR(E6="כלול",E6="לא רלוונטי"),0,IF(NOT(ISNUMBER(E6)),"קלט לא תקין",IF(E6&lt;0,"קלט לא תקין",ROUND(D6*E6,2))))))))</f>
        <v/>
      </c>
      <c r="G6" s="4" t="s">
        <v>170</v>
      </c>
      <c r="H6" s="4" t="s">
        <v>111</v>
      </c>
    </row>
    <row r="7" ht="46.8" customHeight="1" spans="1:8" x14ac:dyDescent="0.25">
      <c r="A7" s="21" t="s">
        <v>171</v>
      </c>
      <c r="B7" s="22" t="s">
        <v>172</v>
      </c>
      <c r="C7" s="21" t="s">
        <v>166</v>
      </c>
      <c r="D7" s="21"/>
      <c r="E7" s="23"/>
      <c r="F7" s="23" t="str">
        <f>IF(ISBLANK(D7),"",IF(NOT(ISNUMBER(D7)),"קלט לא תקין",IF(D7&lt;0,"קלט לא תקין",IF(ISBLANK(E7),"",IF(OR(E7="כלול",E7="לא רלוונטי"),0,IF(NOT(ISNUMBER(E7)),"קלט לא תקין",IF(E7&lt;0,"קלט לא תקין",ROUND(D7*E7,2))))))))</f>
        <v/>
      </c>
      <c r="G7" s="4" t="s">
        <v>173</v>
      </c>
      <c r="H7" s="4" t="s">
        <v>111</v>
      </c>
    </row>
    <row r="8" ht="46.8" customHeight="1" spans="1:8" x14ac:dyDescent="0.25">
      <c r="A8" s="21" t="s">
        <v>174</v>
      </c>
      <c r="B8" s="22" t="s">
        <v>175</v>
      </c>
      <c r="C8" s="21" t="s">
        <v>166</v>
      </c>
      <c r="D8" s="21"/>
      <c r="E8" s="23"/>
      <c r="F8" s="23" t="str">
        <f>IF(ISBLANK(D8),"",IF(NOT(ISNUMBER(D8)),"קלט לא תקין",IF(D8&lt;0,"קלט לא תקין",IF(ISBLANK(E8),"",IF(OR(E8="כלול",E8="לא רלוונטי"),0,IF(NOT(ISNUMBER(E8)),"קלט לא תקין",IF(E8&lt;0,"קלט לא תקין",ROUND(D8*E8,2))))))))</f>
        <v/>
      </c>
      <c r="G8" s="4" t="s">
        <v>176</v>
      </c>
      <c r="H8" s="4" t="s">
        <v>111</v>
      </c>
    </row>
    <row r="9" ht="64.19999999999999" customHeight="1" spans="1:8" x14ac:dyDescent="0.25">
      <c r="A9" s="21" t="s">
        <v>177</v>
      </c>
      <c r="B9" s="22" t="s">
        <v>178</v>
      </c>
      <c r="C9" s="21" t="s">
        <v>130</v>
      </c>
      <c r="D9" s="21"/>
      <c r="E9" s="23"/>
      <c r="F9" s="23" t="str">
        <f>IF(ISBLANK(D9),"",IF(NOT(ISNUMBER(D9)),"קלט לא תקין",IF(D9&lt;0,"קלט לא תקין",IF(ISBLANK(E9),"",IF(OR(E9="כלול",E9="לא רלוונטי"),0,IF(NOT(ISNUMBER(E9)),"קלט לא תקין",IF(E9&lt;0,"קלט לא תקין",ROUND(D9*E9,2))))))))</f>
        <v/>
      </c>
      <c r="G9" s="4" t="s">
        <v>179</v>
      </c>
      <c r="H9" s="4" t="s">
        <v>111</v>
      </c>
    </row>
    <row r="10" ht="64.19999999999999" customHeight="1" spans="1:8" x14ac:dyDescent="0.25">
      <c r="A10" s="21" t="s">
        <v>180</v>
      </c>
      <c r="B10" s="22" t="s">
        <v>181</v>
      </c>
      <c r="C10" s="21" t="s">
        <v>130</v>
      </c>
      <c r="D10" s="21"/>
      <c r="E10" s="23"/>
      <c r="F10" s="23" t="str">
        <f>IF(ISBLANK(D10),"",IF(NOT(ISNUMBER(D10)),"קלט לא תקין",IF(D10&lt;0,"קלט לא תקין",IF(ISBLANK(E10),"",IF(OR(E10="כלול",E10="לא רלוונטי"),0,IF(NOT(ISNUMBER(E10)),"קלט לא תקין",IF(E10&lt;0,"קלט לא תקין",ROUND(D10*E10,2))))))))</f>
        <v/>
      </c>
      <c r="G10" s="4" t="s">
        <v>182</v>
      </c>
      <c r="H10" s="4" t="s">
        <v>111</v>
      </c>
    </row>
    <row r="11" ht="64.19999999999999" customHeight="1" spans="1:8" x14ac:dyDescent="0.25">
      <c r="A11" s="21" t="s">
        <v>183</v>
      </c>
      <c r="B11" s="22" t="s">
        <v>184</v>
      </c>
      <c r="C11" s="21" t="s">
        <v>130</v>
      </c>
      <c r="D11" s="21"/>
      <c r="E11" s="23"/>
      <c r="F11" s="23" t="str">
        <f>IF(ISBLANK(D11),"",IF(NOT(ISNUMBER(D11)),"קלט לא תקין",IF(D11&lt;0,"קלט לא תקין",IF(ISBLANK(E11),"",IF(OR(E11="כלול",E11="לא רלוונטי"),0,IF(NOT(ISNUMBER(E11)),"קלט לא תקין",IF(E11&lt;0,"קלט לא תקין",ROUND(D11*E11,2))))))))</f>
        <v/>
      </c>
      <c r="G11" s="4" t="s">
        <v>185</v>
      </c>
      <c r="H11" s="4" t="s">
        <v>111</v>
      </c>
    </row>
    <row r="12" ht="81" customHeight="1" spans="1:8" x14ac:dyDescent="0.25">
      <c r="A12" s="21"/>
      <c r="B12" s="22"/>
      <c r="C12" s="21"/>
      <c r="D12" s="21"/>
      <c r="E12" s="21"/>
      <c r="F12" s="21"/>
      <c r="G12" s="4"/>
      <c r="H12" s="4" t="s">
        <v>4</v>
      </c>
    </row>
    <row r="13" ht="32" customHeight="1" spans="1:8" x14ac:dyDescent="0.25">
      <c r="A13" s="14"/>
      <c r="B13" s="15" t="s">
        <v>186</v>
      </c>
      <c r="C13" s="16"/>
      <c r="D13" s="16"/>
      <c r="E13" s="16"/>
      <c r="F13" s="24">
        <f>SUM(F4,F5,F6,F7,F8,F9,F10,F11)</f>
        <v>0</v>
      </c>
      <c r="G13" s="4"/>
      <c r="H13" s="4" t="s">
        <v>136</v>
      </c>
    </row>
  </sheetData>
  <mergeCells count="2">
    <mergeCell ref="B1:F1"/>
    <mergeCell ref="B13:E13"/>
  </mergeCells>
  <conditionalFormatting sqref="E4">
    <cfRule type="expression" dxfId="60" priority="1">
      <formula>AND(ISNUMBER(E4),ROUND(E4,2)=INT(ROUND(E4,2)))</formula>
    </cfRule>
    <cfRule type="expression" dxfId="61" priority="2">
      <formula>AND(ISNUMBER(E4),ROUND(E4,2)&lt;&gt;INT(ROUND(E4,2)))</formula>
    </cfRule>
  </conditionalFormatting>
  <conditionalFormatting sqref="F4">
    <cfRule type="expression" dxfId="62" priority="1">
      <formula>AND(ISNUMBER(F4),ROUND(F4,2)=INT(ROUND(F4,2)))</formula>
    </cfRule>
    <cfRule type="expression" dxfId="63" priority="2">
      <formula>AND(ISNUMBER(F4),ROUND(F4,2)&lt;&gt;INT(ROUND(F4,2)))</formula>
    </cfRule>
  </conditionalFormatting>
  <conditionalFormatting sqref="E5">
    <cfRule type="expression" dxfId="64" priority="1">
      <formula>AND(ISNUMBER(E5),ROUND(E5,2)=INT(ROUND(E5,2)))</formula>
    </cfRule>
    <cfRule type="expression" dxfId="65" priority="2">
      <formula>AND(ISNUMBER(E5),ROUND(E5,2)&lt;&gt;INT(ROUND(E5,2)))</formula>
    </cfRule>
  </conditionalFormatting>
  <conditionalFormatting sqref="F5">
    <cfRule type="expression" dxfId="66" priority="1">
      <formula>AND(ISNUMBER(F5),ROUND(F5,2)=INT(ROUND(F5,2)))</formula>
    </cfRule>
    <cfRule type="expression" dxfId="67" priority="2">
      <formula>AND(ISNUMBER(F5),ROUND(F5,2)&lt;&gt;INT(ROUND(F5,2)))</formula>
    </cfRule>
  </conditionalFormatting>
  <conditionalFormatting sqref="E6">
    <cfRule type="expression" dxfId="68" priority="1">
      <formula>AND(ISNUMBER(E6),ROUND(E6,2)=INT(ROUND(E6,2)))</formula>
    </cfRule>
    <cfRule type="expression" dxfId="69" priority="2">
      <formula>AND(ISNUMBER(E6),ROUND(E6,2)&lt;&gt;INT(ROUND(E6,2)))</formula>
    </cfRule>
  </conditionalFormatting>
  <conditionalFormatting sqref="F6">
    <cfRule type="expression" dxfId="70" priority="1">
      <formula>AND(ISNUMBER(F6),ROUND(F6,2)=INT(ROUND(F6,2)))</formula>
    </cfRule>
    <cfRule type="expression" dxfId="71" priority="2">
      <formula>AND(ISNUMBER(F6),ROUND(F6,2)&lt;&gt;INT(ROUND(F6,2)))</formula>
    </cfRule>
  </conditionalFormatting>
  <conditionalFormatting sqref="E7">
    <cfRule type="expression" dxfId="72" priority="1">
      <formula>AND(ISNUMBER(E7),ROUND(E7,2)=INT(ROUND(E7,2)))</formula>
    </cfRule>
    <cfRule type="expression" dxfId="73" priority="2">
      <formula>AND(ISNUMBER(E7),ROUND(E7,2)&lt;&gt;INT(ROUND(E7,2)))</formula>
    </cfRule>
  </conditionalFormatting>
  <conditionalFormatting sqref="F7">
    <cfRule type="expression" dxfId="74" priority="1">
      <formula>AND(ISNUMBER(F7),ROUND(F7,2)=INT(ROUND(F7,2)))</formula>
    </cfRule>
    <cfRule type="expression" dxfId="75" priority="2">
      <formula>AND(ISNUMBER(F7),ROUND(F7,2)&lt;&gt;INT(ROUND(F7,2)))</formula>
    </cfRule>
  </conditionalFormatting>
  <conditionalFormatting sqref="E8">
    <cfRule type="expression" dxfId="76" priority="1">
      <formula>AND(ISNUMBER(E8),ROUND(E8,2)=INT(ROUND(E8,2)))</formula>
    </cfRule>
    <cfRule type="expression" dxfId="77" priority="2">
      <formula>AND(ISNUMBER(E8),ROUND(E8,2)&lt;&gt;INT(ROUND(E8,2)))</formula>
    </cfRule>
  </conditionalFormatting>
  <conditionalFormatting sqref="F8">
    <cfRule type="expression" dxfId="78" priority="1">
      <formula>AND(ISNUMBER(F8),ROUND(F8,2)=INT(ROUND(F8,2)))</formula>
    </cfRule>
    <cfRule type="expression" dxfId="79" priority="2">
      <formula>AND(ISNUMBER(F8),ROUND(F8,2)&lt;&gt;INT(ROUND(F8,2)))</formula>
    </cfRule>
  </conditionalFormatting>
  <conditionalFormatting sqref="E9">
    <cfRule type="expression" dxfId="80" priority="1">
      <formula>AND(ISNUMBER(E9),ROUND(E9,2)=INT(ROUND(E9,2)))</formula>
    </cfRule>
    <cfRule type="expression" dxfId="81" priority="2">
      <formula>AND(ISNUMBER(E9),ROUND(E9,2)&lt;&gt;INT(ROUND(E9,2)))</formula>
    </cfRule>
  </conditionalFormatting>
  <conditionalFormatting sqref="F9">
    <cfRule type="expression" dxfId="82" priority="1">
      <formula>AND(ISNUMBER(F9),ROUND(F9,2)=INT(ROUND(F9,2)))</formula>
    </cfRule>
    <cfRule type="expression" dxfId="83" priority="2">
      <formula>AND(ISNUMBER(F9),ROUND(F9,2)&lt;&gt;INT(ROUND(F9,2)))</formula>
    </cfRule>
  </conditionalFormatting>
  <conditionalFormatting sqref="E10">
    <cfRule type="expression" dxfId="84" priority="1">
      <formula>AND(ISNUMBER(E10),ROUND(E10,2)=INT(ROUND(E10,2)))</formula>
    </cfRule>
    <cfRule type="expression" dxfId="85" priority="2">
      <formula>AND(ISNUMBER(E10),ROUND(E10,2)&lt;&gt;INT(ROUND(E10,2)))</formula>
    </cfRule>
  </conditionalFormatting>
  <conditionalFormatting sqref="F10">
    <cfRule type="expression" dxfId="86" priority="1">
      <formula>AND(ISNUMBER(F10),ROUND(F10,2)=INT(ROUND(F10,2)))</formula>
    </cfRule>
    <cfRule type="expression" dxfId="87" priority="2">
      <formula>AND(ISNUMBER(F10),ROUND(F10,2)&lt;&gt;INT(ROUND(F10,2)))</formula>
    </cfRule>
  </conditionalFormatting>
  <conditionalFormatting sqref="E11">
    <cfRule type="expression" dxfId="88" priority="1">
      <formula>AND(ISNUMBER(E11),ROUND(E11,2)=INT(ROUND(E11,2)))</formula>
    </cfRule>
    <cfRule type="expression" dxfId="89" priority="2">
      <formula>AND(ISNUMBER(E11),ROUND(E11,2)&lt;&gt;INT(ROUND(E11,2)))</formula>
    </cfRule>
  </conditionalFormatting>
  <conditionalFormatting sqref="F11">
    <cfRule type="expression" dxfId="90" priority="1">
      <formula>AND(ISNUMBER(F11),ROUND(F11,2)=INT(ROUND(F11,2)))</formula>
    </cfRule>
    <cfRule type="expression" dxfId="91" priority="2">
      <formula>AND(ISNUMBER(F11),ROUND(F11,2)&lt;&gt;INT(ROUND(F11,2)))</formula>
    </cfRule>
  </conditionalFormatting>
  <conditionalFormatting sqref="F13">
    <cfRule type="expression" dxfId="92" priority="1">
      <formula>AND(ISNUMBER(F13),ROUND(F13,2)=INT(ROUND(F13,2)))</formula>
    </cfRule>
    <cfRule type="expression" dxfId="93" priority="2">
      <formula>AND(ISNUMBER(F13),ROUND(F13,2)&lt;&gt;INT(ROUND(F13,2)))</formula>
    </cfRule>
  </conditionalFormatting>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6"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12</v>
      </c>
      <c r="C1" s="3"/>
      <c r="D1" s="3"/>
      <c r="E1" s="3"/>
      <c r="F1" s="3"/>
      <c r="G1" s="1" t="s">
        <v>58</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187</v>
      </c>
      <c r="C3" s="21"/>
      <c r="D3" s="21"/>
      <c r="E3" s="21"/>
      <c r="F3" s="21"/>
      <c r="G3" s="4" t="s">
        <v>188</v>
      </c>
      <c r="H3" s="4" t="s">
        <v>106</v>
      </c>
    </row>
    <row r="4" ht="64.19999999999999" customHeight="1" spans="1:8" x14ac:dyDescent="0.25">
      <c r="A4" s="21" t="s">
        <v>189</v>
      </c>
      <c r="B4" s="22" t="s">
        <v>190</v>
      </c>
      <c r="C4" s="21" t="s">
        <v>166</v>
      </c>
      <c r="D4" s="21"/>
      <c r="E4" s="23"/>
      <c r="F4" s="23" t="str">
        <f>IF(ISBLANK(D4),"",IF(NOT(ISNUMBER(D4)),"קלט לא תקין",IF(D4&lt;0,"קלט לא תקין",IF(ISBLANK(E4),"",IF(OR(E4="כלול",E4="לא רלוונטי"),0,IF(NOT(ISNUMBER(E4)),"קלט לא תקין",IF(E4&lt;0,"קלט לא תקין",ROUND(D4*E4,2))))))))</f>
        <v/>
      </c>
      <c r="G4" s="4" t="s">
        <v>191</v>
      </c>
      <c r="H4" s="4" t="s">
        <v>111</v>
      </c>
    </row>
    <row r="5" ht="46.8" customHeight="1" spans="1:8" x14ac:dyDescent="0.25">
      <c r="A5" s="21" t="s">
        <v>192</v>
      </c>
      <c r="B5" s="22" t="s">
        <v>193</v>
      </c>
      <c r="C5" s="21" t="s">
        <v>130</v>
      </c>
      <c r="D5" s="21"/>
      <c r="E5" s="23"/>
      <c r="F5" s="23" t="str">
        <f>IF(ISBLANK(D5),"",IF(NOT(ISNUMBER(D5)),"קלט לא תקין",IF(D5&lt;0,"קלט לא תקין",IF(ISBLANK(E5),"",IF(OR(E5="כלול",E5="לא רלוונטי"),0,IF(NOT(ISNUMBER(E5)),"קלט לא תקין",IF(E5&lt;0,"קלט לא תקין",ROUND(D5*E5,2))))))))</f>
        <v/>
      </c>
      <c r="G5" s="4" t="s">
        <v>194</v>
      </c>
      <c r="H5" s="4" t="s">
        <v>111</v>
      </c>
    </row>
    <row r="6" ht="46.8" customHeight="1" spans="1:8" x14ac:dyDescent="0.25">
      <c r="A6" s="21" t="s">
        <v>195</v>
      </c>
      <c r="B6" s="22" t="s">
        <v>196</v>
      </c>
      <c r="C6" s="21" t="s">
        <v>130</v>
      </c>
      <c r="D6" s="21"/>
      <c r="E6" s="23"/>
      <c r="F6" s="23" t="str">
        <f>IF(ISBLANK(D6),"",IF(NOT(ISNUMBER(D6)),"קלט לא תקין",IF(D6&lt;0,"קלט לא תקין",IF(ISBLANK(E6),"",IF(OR(E6="כלול",E6="לא רלוונטי"),0,IF(NOT(ISNUMBER(E6)),"קלט לא תקין",IF(E6&lt;0,"קלט לא תקין",ROUND(D6*E6,2))))))))</f>
        <v/>
      </c>
      <c r="G6" s="4" t="s">
        <v>197</v>
      </c>
      <c r="H6" s="4" t="s">
        <v>111</v>
      </c>
    </row>
    <row r="7" ht="46.8" customHeight="1" spans="1:8" x14ac:dyDescent="0.25">
      <c r="A7" s="21" t="s">
        <v>198</v>
      </c>
      <c r="B7" s="22" t="s">
        <v>199</v>
      </c>
      <c r="C7" s="21" t="s">
        <v>166</v>
      </c>
      <c r="D7" s="21"/>
      <c r="E7" s="23"/>
      <c r="F7" s="23" t="str">
        <f>IF(ISBLANK(D7),"",IF(NOT(ISNUMBER(D7)),"קלט לא תקין",IF(D7&lt;0,"קלט לא תקין",IF(ISBLANK(E7),"",IF(OR(E7="כלול",E7="לא רלוונטי"),0,IF(NOT(ISNUMBER(E7)),"קלט לא תקין",IF(E7&lt;0,"קלט לא תקין",ROUND(D7*E7,2))))))))</f>
        <v/>
      </c>
      <c r="G7" s="4" t="s">
        <v>200</v>
      </c>
      <c r="H7" s="4" t="s">
        <v>111</v>
      </c>
    </row>
    <row r="8" ht="46.8" customHeight="1" spans="1:8" x14ac:dyDescent="0.25">
      <c r="A8" s="21" t="s">
        <v>201</v>
      </c>
      <c r="B8" s="22" t="s">
        <v>202</v>
      </c>
      <c r="C8" s="21" t="s">
        <v>166</v>
      </c>
      <c r="D8" s="21"/>
      <c r="E8" s="23"/>
      <c r="F8" s="23" t="str">
        <f>IF(ISBLANK(D8),"",IF(NOT(ISNUMBER(D8)),"קלט לא תקין",IF(D8&lt;0,"קלט לא תקין",IF(ISBLANK(E8),"",IF(OR(E8="כלול",E8="לא רלוונטי"),0,IF(NOT(ISNUMBER(E8)),"קלט לא תקין",IF(E8&lt;0,"קלט לא תקין",ROUND(D8*E8,2))))))))</f>
        <v/>
      </c>
      <c r="G8" s="4" t="s">
        <v>203</v>
      </c>
      <c r="H8" s="4" t="s">
        <v>111</v>
      </c>
    </row>
    <row r="9" ht="46.8" customHeight="1" spans="1:8" x14ac:dyDescent="0.25">
      <c r="A9" s="21" t="s">
        <v>204</v>
      </c>
      <c r="B9" s="22" t="s">
        <v>205</v>
      </c>
      <c r="C9" s="21" t="s">
        <v>166</v>
      </c>
      <c r="D9" s="21"/>
      <c r="E9" s="23"/>
      <c r="F9" s="23" t="str">
        <f>IF(ISBLANK(D9),"",IF(NOT(ISNUMBER(D9)),"קלט לא תקין",IF(D9&lt;0,"קלט לא תקין",IF(ISBLANK(E9),"",IF(OR(E9="כלול",E9="לא רלוונטי"),0,IF(NOT(ISNUMBER(E9)),"קלט לא תקין",IF(E9&lt;0,"קלט לא תקין",ROUND(D9*E9,2))))))))</f>
        <v/>
      </c>
      <c r="G9" s="4" t="s">
        <v>206</v>
      </c>
      <c r="H9" s="4" t="s">
        <v>111</v>
      </c>
    </row>
    <row r="10" ht="46.8" customHeight="1" spans="1:8" x14ac:dyDescent="0.25">
      <c r="A10" s="21" t="s">
        <v>207</v>
      </c>
      <c r="B10" s="22" t="s">
        <v>208</v>
      </c>
      <c r="C10" s="21" t="s">
        <v>166</v>
      </c>
      <c r="D10" s="21"/>
      <c r="E10" s="23"/>
      <c r="F10" s="23" t="str">
        <f>IF(ISBLANK(D10),"",IF(NOT(ISNUMBER(D10)),"קלט לא תקין",IF(D10&lt;0,"קלט לא תקין",IF(ISBLANK(E10),"",IF(OR(E10="כלול",E10="לא רלוונטי"),0,IF(NOT(ISNUMBER(E10)),"קלט לא תקין",IF(E10&lt;0,"קלט לא תקין",ROUND(D10*E10,2))))))))</f>
        <v/>
      </c>
      <c r="G10" s="4" t="s">
        <v>209</v>
      </c>
      <c r="H10" s="4" t="s">
        <v>111</v>
      </c>
    </row>
    <row r="11" ht="64.19999999999999" customHeight="1" spans="1:8" x14ac:dyDescent="0.25">
      <c r="A11" s="21" t="s">
        <v>210</v>
      </c>
      <c r="B11" s="22" t="s">
        <v>211</v>
      </c>
      <c r="C11" s="21" t="s">
        <v>166</v>
      </c>
      <c r="D11" s="21"/>
      <c r="E11" s="23"/>
      <c r="F11" s="23" t="str">
        <f>IF(ISBLANK(D11),"",IF(NOT(ISNUMBER(D11)),"קלט לא תקין",IF(D11&lt;0,"קלט לא תקין",IF(ISBLANK(E11),"",IF(OR(E11="כלול",E11="לא רלוונטי"),0,IF(NOT(ISNUMBER(E11)),"קלט לא תקין",IF(E11&lt;0,"קלט לא תקין",ROUND(D11*E11,2))))))))</f>
        <v/>
      </c>
      <c r="G11" s="4" t="s">
        <v>212</v>
      </c>
      <c r="H11" s="4" t="s">
        <v>111</v>
      </c>
    </row>
    <row r="12" ht="46.8" customHeight="1" spans="1:8" x14ac:dyDescent="0.25">
      <c r="A12" s="21" t="s">
        <v>213</v>
      </c>
      <c r="B12" s="22" t="s">
        <v>214</v>
      </c>
      <c r="C12" s="21" t="s">
        <v>120</v>
      </c>
      <c r="D12" s="21"/>
      <c r="E12" s="23"/>
      <c r="F12" s="23" t="str">
        <f>IF(ISBLANK(D12),"",IF(NOT(ISNUMBER(D12)),"קלט לא תקין",IF(D12&lt;0,"קלט לא תקין",IF(ISBLANK(E12),"",IF(OR(E12="כלול",E12="לא רלוונטי"),0,IF(NOT(ISNUMBER(E12)),"קלט לא תקין",IF(E12&lt;0,"קלט לא תקין",ROUND(D12*E12,2))))))))</f>
        <v/>
      </c>
      <c r="G12" s="4" t="s">
        <v>215</v>
      </c>
      <c r="H12" s="4" t="s">
        <v>111</v>
      </c>
    </row>
    <row r="13" ht="46.8" customHeight="1" spans="1:8" x14ac:dyDescent="0.25">
      <c r="A13" s="21" t="s">
        <v>216</v>
      </c>
      <c r="B13" s="22" t="s">
        <v>217</v>
      </c>
      <c r="C13" s="21" t="s">
        <v>120</v>
      </c>
      <c r="D13" s="21"/>
      <c r="E13" s="23"/>
      <c r="F13" s="23" t="str">
        <f>IF(ISBLANK(D13),"",IF(NOT(ISNUMBER(D13)),"קלט לא תקין",IF(D13&lt;0,"קלט לא תקין",IF(ISBLANK(E13),"",IF(OR(E13="כלול",E13="לא רלוונטי"),0,IF(NOT(ISNUMBER(E13)),"קלט לא תקין",IF(E13&lt;0,"קלט לא תקין",ROUND(D13*E13,2))))))))</f>
        <v/>
      </c>
      <c r="G13" s="4" t="s">
        <v>218</v>
      </c>
      <c r="H13" s="4" t="s">
        <v>111</v>
      </c>
    </row>
    <row r="14" ht="39.60000000000002" customHeight="1" spans="1:8" x14ac:dyDescent="0.25">
      <c r="A14" s="21"/>
      <c r="B14" s="22"/>
      <c r="C14" s="21"/>
      <c r="D14" s="21"/>
      <c r="E14" s="21"/>
      <c r="F14" s="21"/>
      <c r="G14" s="4"/>
      <c r="H14" s="4" t="s">
        <v>4</v>
      </c>
    </row>
    <row r="15" ht="32" customHeight="1" spans="1:8" x14ac:dyDescent="0.25">
      <c r="A15" s="14"/>
      <c r="B15" s="15" t="s">
        <v>219</v>
      </c>
      <c r="C15" s="16"/>
      <c r="D15" s="16"/>
      <c r="E15" s="16"/>
      <c r="F15" s="24">
        <f>SUM(F4,F5,F6,F7,F8,F9,F10,F11,F12,F13)</f>
        <v>0</v>
      </c>
      <c r="G15" s="4"/>
      <c r="H15" s="4" t="s">
        <v>136</v>
      </c>
    </row>
  </sheetData>
  <mergeCells count="2">
    <mergeCell ref="B1:F1"/>
    <mergeCell ref="B15:E15"/>
  </mergeCells>
  <conditionalFormatting sqref="E4">
    <cfRule type="expression" dxfId="94" priority="1">
      <formula>AND(ISNUMBER(E4),ROUND(E4,2)=INT(ROUND(E4,2)))</formula>
    </cfRule>
    <cfRule type="expression" dxfId="95" priority="2">
      <formula>AND(ISNUMBER(E4),ROUND(E4,2)&lt;&gt;INT(ROUND(E4,2)))</formula>
    </cfRule>
  </conditionalFormatting>
  <conditionalFormatting sqref="F4">
    <cfRule type="expression" dxfId="96" priority="1">
      <formula>AND(ISNUMBER(F4),ROUND(F4,2)=INT(ROUND(F4,2)))</formula>
    </cfRule>
    <cfRule type="expression" dxfId="97" priority="2">
      <formula>AND(ISNUMBER(F4),ROUND(F4,2)&lt;&gt;INT(ROUND(F4,2)))</formula>
    </cfRule>
  </conditionalFormatting>
  <conditionalFormatting sqref="E5">
    <cfRule type="expression" dxfId="98" priority="1">
      <formula>AND(ISNUMBER(E5),ROUND(E5,2)=INT(ROUND(E5,2)))</formula>
    </cfRule>
    <cfRule type="expression" dxfId="99" priority="2">
      <formula>AND(ISNUMBER(E5),ROUND(E5,2)&lt;&gt;INT(ROUND(E5,2)))</formula>
    </cfRule>
  </conditionalFormatting>
  <conditionalFormatting sqref="F5">
    <cfRule type="expression" dxfId="100" priority="1">
      <formula>AND(ISNUMBER(F5),ROUND(F5,2)=INT(ROUND(F5,2)))</formula>
    </cfRule>
    <cfRule type="expression" dxfId="101" priority="2">
      <formula>AND(ISNUMBER(F5),ROUND(F5,2)&lt;&gt;INT(ROUND(F5,2)))</formula>
    </cfRule>
  </conditionalFormatting>
  <conditionalFormatting sqref="E6">
    <cfRule type="expression" dxfId="102" priority="1">
      <formula>AND(ISNUMBER(E6),ROUND(E6,2)=INT(ROUND(E6,2)))</formula>
    </cfRule>
    <cfRule type="expression" dxfId="103" priority="2">
      <formula>AND(ISNUMBER(E6),ROUND(E6,2)&lt;&gt;INT(ROUND(E6,2)))</formula>
    </cfRule>
  </conditionalFormatting>
  <conditionalFormatting sqref="F6">
    <cfRule type="expression" dxfId="104" priority="1">
      <formula>AND(ISNUMBER(F6),ROUND(F6,2)=INT(ROUND(F6,2)))</formula>
    </cfRule>
    <cfRule type="expression" dxfId="105" priority="2">
      <formula>AND(ISNUMBER(F6),ROUND(F6,2)&lt;&gt;INT(ROUND(F6,2)))</formula>
    </cfRule>
  </conditionalFormatting>
  <conditionalFormatting sqref="E7">
    <cfRule type="expression" dxfId="106" priority="1">
      <formula>AND(ISNUMBER(E7),ROUND(E7,2)=INT(ROUND(E7,2)))</formula>
    </cfRule>
    <cfRule type="expression" dxfId="107" priority="2">
      <formula>AND(ISNUMBER(E7),ROUND(E7,2)&lt;&gt;INT(ROUND(E7,2)))</formula>
    </cfRule>
  </conditionalFormatting>
  <conditionalFormatting sqref="F7">
    <cfRule type="expression" dxfId="108" priority="1">
      <formula>AND(ISNUMBER(F7),ROUND(F7,2)=INT(ROUND(F7,2)))</formula>
    </cfRule>
    <cfRule type="expression" dxfId="109" priority="2">
      <formula>AND(ISNUMBER(F7),ROUND(F7,2)&lt;&gt;INT(ROUND(F7,2)))</formula>
    </cfRule>
  </conditionalFormatting>
  <conditionalFormatting sqref="E8">
    <cfRule type="expression" dxfId="110" priority="1">
      <formula>AND(ISNUMBER(E8),ROUND(E8,2)=INT(ROUND(E8,2)))</formula>
    </cfRule>
    <cfRule type="expression" dxfId="111" priority="2">
      <formula>AND(ISNUMBER(E8),ROUND(E8,2)&lt;&gt;INT(ROUND(E8,2)))</formula>
    </cfRule>
  </conditionalFormatting>
  <conditionalFormatting sqref="F8">
    <cfRule type="expression" dxfId="112" priority="1">
      <formula>AND(ISNUMBER(F8),ROUND(F8,2)=INT(ROUND(F8,2)))</formula>
    </cfRule>
    <cfRule type="expression" dxfId="113" priority="2">
      <formula>AND(ISNUMBER(F8),ROUND(F8,2)&lt;&gt;INT(ROUND(F8,2)))</formula>
    </cfRule>
  </conditionalFormatting>
  <conditionalFormatting sqref="E9">
    <cfRule type="expression" dxfId="114" priority="1">
      <formula>AND(ISNUMBER(E9),ROUND(E9,2)=INT(ROUND(E9,2)))</formula>
    </cfRule>
    <cfRule type="expression" dxfId="115" priority="2">
      <formula>AND(ISNUMBER(E9),ROUND(E9,2)&lt;&gt;INT(ROUND(E9,2)))</formula>
    </cfRule>
  </conditionalFormatting>
  <conditionalFormatting sqref="F9">
    <cfRule type="expression" dxfId="116" priority="1">
      <formula>AND(ISNUMBER(F9),ROUND(F9,2)=INT(ROUND(F9,2)))</formula>
    </cfRule>
    <cfRule type="expression" dxfId="117" priority="2">
      <formula>AND(ISNUMBER(F9),ROUND(F9,2)&lt;&gt;INT(ROUND(F9,2)))</formula>
    </cfRule>
  </conditionalFormatting>
  <conditionalFormatting sqref="E10">
    <cfRule type="expression" dxfId="118" priority="1">
      <formula>AND(ISNUMBER(E10),ROUND(E10,2)=INT(ROUND(E10,2)))</formula>
    </cfRule>
    <cfRule type="expression" dxfId="119" priority="2">
      <formula>AND(ISNUMBER(E10),ROUND(E10,2)&lt;&gt;INT(ROUND(E10,2)))</formula>
    </cfRule>
  </conditionalFormatting>
  <conditionalFormatting sqref="F10">
    <cfRule type="expression" dxfId="120" priority="1">
      <formula>AND(ISNUMBER(F10),ROUND(F10,2)=INT(ROUND(F10,2)))</formula>
    </cfRule>
    <cfRule type="expression" dxfId="121" priority="2">
      <formula>AND(ISNUMBER(F10),ROUND(F10,2)&lt;&gt;INT(ROUND(F10,2)))</formula>
    </cfRule>
  </conditionalFormatting>
  <conditionalFormatting sqref="E11">
    <cfRule type="expression" dxfId="122" priority="1">
      <formula>AND(ISNUMBER(E11),ROUND(E11,2)=INT(ROUND(E11,2)))</formula>
    </cfRule>
    <cfRule type="expression" dxfId="123" priority="2">
      <formula>AND(ISNUMBER(E11),ROUND(E11,2)&lt;&gt;INT(ROUND(E11,2)))</formula>
    </cfRule>
  </conditionalFormatting>
  <conditionalFormatting sqref="F11">
    <cfRule type="expression" dxfId="124" priority="1">
      <formula>AND(ISNUMBER(F11),ROUND(F11,2)=INT(ROUND(F11,2)))</formula>
    </cfRule>
    <cfRule type="expression" dxfId="125" priority="2">
      <formula>AND(ISNUMBER(F11),ROUND(F11,2)&lt;&gt;INT(ROUND(F11,2)))</formula>
    </cfRule>
  </conditionalFormatting>
  <conditionalFormatting sqref="E12">
    <cfRule type="expression" dxfId="126" priority="1">
      <formula>AND(ISNUMBER(E12),ROUND(E12,2)=INT(ROUND(E12,2)))</formula>
    </cfRule>
    <cfRule type="expression" dxfId="127" priority="2">
      <formula>AND(ISNUMBER(E12),ROUND(E12,2)&lt;&gt;INT(ROUND(E12,2)))</formula>
    </cfRule>
  </conditionalFormatting>
  <conditionalFormatting sqref="F12">
    <cfRule type="expression" dxfId="128" priority="1">
      <formula>AND(ISNUMBER(F12),ROUND(F12,2)=INT(ROUND(F12,2)))</formula>
    </cfRule>
    <cfRule type="expression" dxfId="129" priority="2">
      <formula>AND(ISNUMBER(F12),ROUND(F12,2)&lt;&gt;INT(ROUND(F12,2)))</formula>
    </cfRule>
  </conditionalFormatting>
  <conditionalFormatting sqref="E13">
    <cfRule type="expression" dxfId="130" priority="1">
      <formula>AND(ISNUMBER(E13),ROUND(E13,2)=INT(ROUND(E13,2)))</formula>
    </cfRule>
    <cfRule type="expression" dxfId="131" priority="2">
      <formula>AND(ISNUMBER(E13),ROUND(E13,2)&lt;&gt;INT(ROUND(E13,2)))</formula>
    </cfRule>
  </conditionalFormatting>
  <conditionalFormatting sqref="F13">
    <cfRule type="expression" dxfId="132" priority="1">
      <formula>AND(ISNUMBER(F13),ROUND(F13,2)=INT(ROUND(F13,2)))</formula>
    </cfRule>
    <cfRule type="expression" dxfId="133" priority="2">
      <formula>AND(ISNUMBER(F13),ROUND(F13,2)&lt;&gt;INT(ROUND(F13,2)))</formula>
    </cfRule>
  </conditionalFormatting>
  <conditionalFormatting sqref="F15">
    <cfRule type="expression" dxfId="134" priority="1">
      <formula>AND(ISNUMBER(F15),ROUND(F15,2)=INT(ROUND(F15,2)))</formula>
    </cfRule>
    <cfRule type="expression" dxfId="135" priority="2">
      <formula>AND(ISNUMBER(F15),ROUND(F15,2)&lt;&gt;INT(ROUND(F15,2)))</formula>
    </cfRule>
  </conditionalFormatting>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7"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13</v>
      </c>
      <c r="C1" s="3"/>
      <c r="D1" s="3"/>
      <c r="E1" s="3"/>
      <c r="F1" s="3"/>
      <c r="G1" s="1" t="s">
        <v>60</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220</v>
      </c>
      <c r="C3" s="21"/>
      <c r="D3" s="21"/>
      <c r="E3" s="21"/>
      <c r="F3" s="21"/>
      <c r="G3" s="4" t="s">
        <v>221</v>
      </c>
      <c r="H3" s="4" t="s">
        <v>106</v>
      </c>
    </row>
    <row r="4" ht="64.19999999999999" customHeight="1" spans="1:8" x14ac:dyDescent="0.25">
      <c r="A4" s="21" t="s">
        <v>222</v>
      </c>
      <c r="B4" s="22" t="s">
        <v>223</v>
      </c>
      <c r="C4" s="21" t="s">
        <v>109</v>
      </c>
      <c r="D4" s="21"/>
      <c r="E4" s="23"/>
      <c r="F4" s="23" t="str">
        <f>IF(ISBLANK(D4),"",IF(NOT(ISNUMBER(D4)),"קלט לא תקין",IF(D4&lt;0,"קלט לא תקין",IF(ISBLANK(E4),"",IF(OR(E4="כלול",E4="לא רלוונטי"),0,IF(NOT(ISNUMBER(E4)),"קלט לא תקין",IF(E4&lt;0,"קלט לא תקין",ROUND(D4*E4,2))))))))</f>
        <v/>
      </c>
      <c r="G4" s="4" t="s">
        <v>224</v>
      </c>
      <c r="H4" s="4" t="s">
        <v>111</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225</v>
      </c>
      <c r="C7" s="16"/>
      <c r="D7" s="16"/>
      <c r="E7" s="16"/>
      <c r="F7" s="24">
        <f>SUM(F4)</f>
        <v>0</v>
      </c>
      <c r="G7" s="4"/>
      <c r="H7" s="4" t="s">
        <v>136</v>
      </c>
    </row>
  </sheetData>
  <mergeCells count="2">
    <mergeCell ref="B1:F1"/>
    <mergeCell ref="B7:E7"/>
  </mergeCells>
  <conditionalFormatting sqref="E4">
    <cfRule type="expression" dxfId="136" priority="1">
      <formula>AND(ISNUMBER(E4),ROUND(E4,2)=INT(ROUND(E4,2)))</formula>
    </cfRule>
    <cfRule type="expression" dxfId="137" priority="2">
      <formula>AND(ISNUMBER(E4),ROUND(E4,2)&lt;&gt;INT(ROUND(E4,2)))</formula>
    </cfRule>
  </conditionalFormatting>
  <conditionalFormatting sqref="F4">
    <cfRule type="expression" dxfId="138" priority="1">
      <formula>AND(ISNUMBER(F4),ROUND(F4,2)=INT(ROUND(F4,2)))</formula>
    </cfRule>
    <cfRule type="expression" dxfId="139" priority="2">
      <formula>AND(ISNUMBER(F4),ROUND(F4,2)&lt;&gt;INT(ROUND(F4,2)))</formula>
    </cfRule>
  </conditionalFormatting>
  <conditionalFormatting sqref="F7">
    <cfRule type="expression" dxfId="140" priority="1">
      <formula>AND(ISNUMBER(F7),ROUND(F7,2)=INT(ROUND(F7,2)))</formula>
    </cfRule>
    <cfRule type="expression" dxfId="14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8"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14</v>
      </c>
      <c r="C1" s="3"/>
      <c r="D1" s="3"/>
      <c r="E1" s="3"/>
      <c r="F1" s="3"/>
      <c r="G1" s="1" t="s">
        <v>62</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226</v>
      </c>
      <c r="C3" s="21"/>
      <c r="D3" s="21"/>
      <c r="E3" s="21"/>
      <c r="F3" s="21"/>
      <c r="G3" s="4" t="s">
        <v>227</v>
      </c>
      <c r="H3" s="4" t="s">
        <v>106</v>
      </c>
    </row>
    <row r="4" ht="64.19999999999999" customHeight="1" spans="1:8" x14ac:dyDescent="0.25">
      <c r="A4" s="21" t="s">
        <v>228</v>
      </c>
      <c r="B4" s="22" t="s">
        <v>229</v>
      </c>
      <c r="C4" s="21" t="s">
        <v>109</v>
      </c>
      <c r="D4" s="21"/>
      <c r="E4" s="23"/>
      <c r="F4" s="23" t="str">
        <f>IF(ISBLANK(D4),"",IF(NOT(ISNUMBER(D4)),"קלט לא תקין",IF(D4&lt;0,"קלט לא תקין",IF(ISBLANK(E4),"",IF(OR(E4="כלול",E4="לא רלוונטי"),0,IF(NOT(ISNUMBER(E4)),"קלט לא תקין",IF(E4&lt;0,"קלט לא תקין",ROUND(D4*E4,2))))))))</f>
        <v/>
      </c>
      <c r="G4" s="4" t="s">
        <v>230</v>
      </c>
      <c r="H4" s="4" t="s">
        <v>111</v>
      </c>
    </row>
    <row r="5" ht="400" customHeight="1" spans="1:8" x14ac:dyDescent="0.25">
      <c r="A5" s="21"/>
      <c r="B5" s="22"/>
      <c r="C5" s="21"/>
      <c r="D5" s="21"/>
      <c r="E5" s="21"/>
      <c r="F5" s="21"/>
      <c r="G5" s="4"/>
      <c r="H5" s="4" t="s">
        <v>4</v>
      </c>
    </row>
    <row r="6" ht="78.20000000000005" customHeight="1" spans="1:8" x14ac:dyDescent="0.25">
      <c r="A6" s="21"/>
      <c r="B6" s="22"/>
      <c r="C6" s="21"/>
      <c r="D6" s="21"/>
      <c r="E6" s="21"/>
      <c r="F6" s="21"/>
      <c r="G6" s="4"/>
      <c r="H6" s="4" t="s">
        <v>4</v>
      </c>
    </row>
    <row r="7" ht="32" customHeight="1" spans="1:8" x14ac:dyDescent="0.25">
      <c r="A7" s="14"/>
      <c r="B7" s="15" t="s">
        <v>231</v>
      </c>
      <c r="C7" s="16"/>
      <c r="D7" s="16"/>
      <c r="E7" s="16"/>
      <c r="F7" s="24">
        <f>SUM(F4)</f>
        <v>0</v>
      </c>
      <c r="G7" s="4"/>
      <c r="H7" s="4" t="s">
        <v>136</v>
      </c>
    </row>
  </sheetData>
  <mergeCells count="2">
    <mergeCell ref="B1:F1"/>
    <mergeCell ref="B7:E7"/>
  </mergeCells>
  <conditionalFormatting sqref="E4">
    <cfRule type="expression" dxfId="142" priority="1">
      <formula>AND(ISNUMBER(E4),ROUND(E4,2)=INT(ROUND(E4,2)))</formula>
    </cfRule>
    <cfRule type="expression" dxfId="143" priority="2">
      <formula>AND(ISNUMBER(E4),ROUND(E4,2)&lt;&gt;INT(ROUND(E4,2)))</formula>
    </cfRule>
  </conditionalFormatting>
  <conditionalFormatting sqref="F4">
    <cfRule type="expression" dxfId="144" priority="1">
      <formula>AND(ISNUMBER(F4),ROUND(F4,2)=INT(ROUND(F4,2)))</formula>
    </cfRule>
    <cfRule type="expression" dxfId="145" priority="2">
      <formula>AND(ISNUMBER(F4),ROUND(F4,2)&lt;&gt;INT(ROUND(F4,2)))</formula>
    </cfRule>
  </conditionalFormatting>
  <conditionalFormatting sqref="F7">
    <cfRule type="expression" dxfId="146" priority="1">
      <formula>AND(ISNUMBER(F7),ROUND(F7,2)=INT(ROUND(F7,2)))</formula>
    </cfRule>
    <cfRule type="expression" dxfId="14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9"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15</v>
      </c>
      <c r="C1" s="3"/>
      <c r="D1" s="3"/>
      <c r="E1" s="3"/>
      <c r="F1" s="3"/>
      <c r="G1" s="1" t="s">
        <v>64</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232</v>
      </c>
      <c r="C3" s="21"/>
      <c r="D3" s="21"/>
      <c r="E3" s="21"/>
      <c r="F3" s="21"/>
      <c r="G3" s="4" t="s">
        <v>233</v>
      </c>
      <c r="H3" s="4" t="s">
        <v>106</v>
      </c>
    </row>
    <row r="4" ht="64.19999999999999" customHeight="1" spans="1:8" x14ac:dyDescent="0.25">
      <c r="A4" s="21" t="s">
        <v>234</v>
      </c>
      <c r="B4" s="22" t="s">
        <v>235</v>
      </c>
      <c r="C4" s="21" t="s">
        <v>130</v>
      </c>
      <c r="D4" s="21"/>
      <c r="E4" s="23"/>
      <c r="F4" s="23" t="str">
        <f>IF(ISBLANK(D4),"",IF(NOT(ISNUMBER(D4)),"קלט לא תקין",IF(D4&lt;0,"קלט לא תקין",IF(ISBLANK(E4),"",IF(OR(E4="כלול",E4="לא רלוונטי"),0,IF(NOT(ISNUMBER(E4)),"קלט לא תקין",IF(E4&lt;0,"קלט לא תקין",ROUND(D4*E4,2))))))))</f>
        <v/>
      </c>
      <c r="G4" s="4" t="s">
        <v>236</v>
      </c>
      <c r="H4" s="4" t="s">
        <v>111</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237</v>
      </c>
      <c r="C7" s="16"/>
      <c r="D7" s="16"/>
      <c r="E7" s="16"/>
      <c r="F7" s="24">
        <f>SUM(F4)</f>
        <v>0</v>
      </c>
      <c r="G7" s="4"/>
      <c r="H7" s="4" t="s">
        <v>136</v>
      </c>
    </row>
  </sheetData>
  <mergeCells count="2">
    <mergeCell ref="B1:F1"/>
    <mergeCell ref="B7:E7"/>
  </mergeCells>
  <conditionalFormatting sqref="E4">
    <cfRule type="expression" dxfId="148" priority="1">
      <formula>AND(ISNUMBER(E4),ROUND(E4,2)=INT(ROUND(E4,2)))</formula>
    </cfRule>
    <cfRule type="expression" dxfId="149" priority="2">
      <formula>AND(ISNUMBER(E4),ROUND(E4,2)&lt;&gt;INT(ROUND(E4,2)))</formula>
    </cfRule>
  </conditionalFormatting>
  <conditionalFormatting sqref="F4">
    <cfRule type="expression" dxfId="150" priority="1">
      <formula>AND(ISNUMBER(F4),ROUND(F4,2)=INT(ROUND(F4,2)))</formula>
    </cfRule>
    <cfRule type="expression" dxfId="151" priority="2">
      <formula>AND(ISNUMBER(F4),ROUND(F4,2)&lt;&gt;INT(ROUND(F4,2)))</formula>
    </cfRule>
  </conditionalFormatting>
  <conditionalFormatting sqref="F7">
    <cfRule type="expression" dxfId="152" priority="1">
      <formula>AND(ISNUMBER(F7),ROUND(F7,2)=INT(ROUND(F7,2)))</formula>
    </cfRule>
    <cfRule type="expression" dxfId="15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0"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8</v>
      </c>
      <c r="B1" s="12" t="s">
        <v>16</v>
      </c>
      <c r="C1" s="3"/>
      <c r="D1" s="3"/>
      <c r="E1" s="3"/>
      <c r="F1" s="3"/>
      <c r="G1" s="1" t="s">
        <v>66</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238</v>
      </c>
      <c r="C3" s="21"/>
      <c r="D3" s="21"/>
      <c r="E3" s="21"/>
      <c r="F3" s="21"/>
      <c r="G3" s="4" t="s">
        <v>239</v>
      </c>
      <c r="H3" s="4" t="s">
        <v>106</v>
      </c>
    </row>
    <row r="4" ht="81.6" customHeight="1" spans="1:8" x14ac:dyDescent="0.25">
      <c r="A4" s="21" t="s">
        <v>240</v>
      </c>
      <c r="B4" s="22" t="s">
        <v>241</v>
      </c>
      <c r="C4" s="21" t="s">
        <v>109</v>
      </c>
      <c r="D4" s="21"/>
      <c r="E4" s="23"/>
      <c r="F4" s="23" t="str">
        <f>IF(ISBLANK(D4),"",IF(NOT(ISNUMBER(D4)),"קלט לא תקין",IF(D4&lt;0,"קלט לא תקין",IF(ISBLANK(E4),"",IF(OR(E4="כלול",E4="לא רלוונטי"),0,IF(NOT(ISNUMBER(E4)),"קלט לא תקין",IF(E4&lt;0,"קלט לא תקין",ROUND(D4*E4,2))))))))</f>
        <v/>
      </c>
      <c r="G4" s="4" t="s">
        <v>242</v>
      </c>
      <c r="H4" s="4" t="s">
        <v>111</v>
      </c>
    </row>
    <row r="5" ht="81.6" customHeight="1" spans="1:8" x14ac:dyDescent="0.25">
      <c r="A5" s="21" t="s">
        <v>243</v>
      </c>
      <c r="B5" s="22" t="s">
        <v>244</v>
      </c>
      <c r="C5" s="21" t="s">
        <v>109</v>
      </c>
      <c r="D5" s="21"/>
      <c r="E5" s="23"/>
      <c r="F5" s="23" t="str">
        <f>IF(ISBLANK(D5),"",IF(NOT(ISNUMBER(D5)),"קלט לא תקין",IF(D5&lt;0,"קלט לא תקין",IF(ISBLANK(E5),"",IF(OR(E5="כלול",E5="לא רלוונטי"),0,IF(NOT(ISNUMBER(E5)),"קלט לא תקין",IF(E5&lt;0,"קלט לא תקין",ROUND(D5*E5,2))))))))</f>
        <v/>
      </c>
      <c r="G5" s="4" t="s">
        <v>245</v>
      </c>
      <c r="H5" s="4" t="s">
        <v>111</v>
      </c>
    </row>
    <row r="6" ht="81.6" customHeight="1" spans="1:8" x14ac:dyDescent="0.25">
      <c r="A6" s="21" t="s">
        <v>246</v>
      </c>
      <c r="B6" s="22" t="s">
        <v>247</v>
      </c>
      <c r="C6" s="21" t="s">
        <v>109</v>
      </c>
      <c r="D6" s="21"/>
      <c r="E6" s="23"/>
      <c r="F6" s="23" t="str">
        <f>IF(ISBLANK(D6),"",IF(NOT(ISNUMBER(D6)),"קלט לא תקין",IF(D6&lt;0,"קלט לא תקין",IF(ISBLANK(E6),"",IF(OR(E6="כלול",E6="לא רלוונטי"),0,IF(NOT(ISNUMBER(E6)),"קלט לא תקין",IF(E6&lt;0,"קלט לא תקין",ROUND(D6*E6,2))))))))</f>
        <v/>
      </c>
      <c r="G6" s="4" t="s">
        <v>248</v>
      </c>
      <c r="H6" s="4" t="s">
        <v>111</v>
      </c>
    </row>
    <row r="7" ht="81.6" customHeight="1" spans="1:8" x14ac:dyDescent="0.25">
      <c r="A7" s="21" t="s">
        <v>249</v>
      </c>
      <c r="B7" s="22" t="s">
        <v>250</v>
      </c>
      <c r="C7" s="21" t="s">
        <v>109</v>
      </c>
      <c r="D7" s="21"/>
      <c r="E7" s="23"/>
      <c r="F7" s="23" t="str">
        <f>IF(ISBLANK(D7),"",IF(NOT(ISNUMBER(D7)),"קלט לא תקין",IF(D7&lt;0,"קלט לא תקין",IF(ISBLANK(E7),"",IF(OR(E7="כלול",E7="לא רלוונטי"),0,IF(NOT(ISNUMBER(E7)),"קלט לא תקין",IF(E7&lt;0,"קלט לא תקין",ROUND(D7*E7,2))))))))</f>
        <v/>
      </c>
      <c r="G7" s="4" t="s">
        <v>251</v>
      </c>
      <c r="H7" s="4" t="s">
        <v>111</v>
      </c>
    </row>
    <row r="8" ht="81.6" customHeight="1" spans="1:8" x14ac:dyDescent="0.25">
      <c r="A8" s="21" t="s">
        <v>252</v>
      </c>
      <c r="B8" s="22" t="s">
        <v>253</v>
      </c>
      <c r="C8" s="21" t="s">
        <v>109</v>
      </c>
      <c r="D8" s="21"/>
      <c r="E8" s="23"/>
      <c r="F8" s="23" t="str">
        <f>IF(ISBLANK(D8),"",IF(NOT(ISNUMBER(D8)),"קלט לא תקין",IF(D8&lt;0,"קלט לא תקין",IF(ISBLANK(E8),"",IF(OR(E8="כלול",E8="לא רלוונטי"),0,IF(NOT(ISNUMBER(E8)),"קלט לא תקין",IF(E8&lt;0,"קלט לא תקין",ROUND(D8*E8,2))))))))</f>
        <v/>
      </c>
      <c r="G8" s="4" t="s">
        <v>254</v>
      </c>
      <c r="H8" s="4" t="s">
        <v>111</v>
      </c>
    </row>
    <row r="9" ht="46.8" customHeight="1" spans="1:8" x14ac:dyDescent="0.25">
      <c r="A9" s="21" t="s">
        <v>255</v>
      </c>
      <c r="B9" s="22" t="s">
        <v>256</v>
      </c>
      <c r="C9" s="21" t="s">
        <v>147</v>
      </c>
      <c r="D9" s="21"/>
      <c r="E9" s="23"/>
      <c r="F9" s="23" t="str">
        <f>IF(ISBLANK(D9),"",IF(NOT(ISNUMBER(D9)),"קלט לא תקין",IF(D9&lt;0,"קלט לא תקין",IF(ISBLANK(E9),"",IF(OR(E9="כלול",E9="לא רלוונטי"),0,IF(NOT(ISNUMBER(E9)),"קלט לא תקין",IF(E9&lt;0,"קלט לא תקין",ROUND(D9*E9,2))))))))</f>
        <v/>
      </c>
      <c r="G9" s="4" t="s">
        <v>257</v>
      </c>
      <c r="H9" s="4" t="s">
        <v>111</v>
      </c>
    </row>
    <row r="10" ht="119.60000000000002" customHeight="1" spans="1:8" x14ac:dyDescent="0.25">
      <c r="A10" s="25"/>
      <c r="B10" s="26"/>
      <c r="C10" s="25"/>
      <c r="D10" s="25"/>
      <c r="E10" s="25"/>
      <c r="F10" s="25"/>
      <c r="G10" s="4"/>
      <c r="H10" s="4" t="s">
        <v>4</v>
      </c>
    </row>
    <row r="11" ht="32" customHeight="1" spans="1:8" x14ac:dyDescent="0.25">
      <c r="A11" s="27">
        <v>8</v>
      </c>
      <c r="B11" s="12" t="s">
        <v>258</v>
      </c>
      <c r="C11" s="3"/>
      <c r="D11" s="3"/>
      <c r="E11" s="3"/>
      <c r="F11" s="3"/>
      <c r="G11" s="4"/>
      <c r="H11" s="4" t="s">
        <v>259</v>
      </c>
    </row>
    <row r="12" ht="32" customHeight="1" spans="1:8" x14ac:dyDescent="0.25">
      <c r="A12" s="19" t="s">
        <v>97</v>
      </c>
      <c r="B12" s="20" t="s">
        <v>98</v>
      </c>
      <c r="C12" s="19" t="s">
        <v>99</v>
      </c>
      <c r="D12" s="19" t="s">
        <v>100</v>
      </c>
      <c r="E12" s="19" t="s">
        <v>101</v>
      </c>
      <c r="F12" s="19" t="s">
        <v>102</v>
      </c>
      <c r="G12" s="4"/>
      <c r="H12" s="4" t="s">
        <v>103</v>
      </c>
    </row>
    <row r="13" ht="99" customHeight="1" spans="1:8" x14ac:dyDescent="0.25">
      <c r="A13" s="21" t="s">
        <v>260</v>
      </c>
      <c r="B13" s="22" t="s">
        <v>261</v>
      </c>
      <c r="C13" s="21" t="s">
        <v>109</v>
      </c>
      <c r="D13" s="21"/>
      <c r="E13" s="23"/>
      <c r="F13" s="23" t="str">
        <f>IF(ISBLANK(D13),"",IF(NOT(ISNUMBER(D13)),"קלט לא תקין",IF(D13&lt;0,"קלט לא תקין",IF(ISBLANK(E13),"",IF(OR(E13="כלול",E13="לא רלוונטי"),0,IF(NOT(ISNUMBER(E13)),"קלט לא תקין",IF(E13&lt;0,"קלט לא תקין",ROUND(D13*E13,2))))))))</f>
        <v/>
      </c>
      <c r="G13" s="4" t="s">
        <v>262</v>
      </c>
      <c r="H13" s="4" t="s">
        <v>111</v>
      </c>
    </row>
    <row r="14" ht="400" customHeight="1" spans="1:8" x14ac:dyDescent="0.25">
      <c r="A14" s="21"/>
      <c r="B14" s="22"/>
      <c r="C14" s="21"/>
      <c r="D14" s="21"/>
      <c r="E14" s="21"/>
      <c r="F14" s="21"/>
      <c r="G14" s="4"/>
      <c r="H14" s="4" t="s">
        <v>4</v>
      </c>
    </row>
    <row r="15" ht="125" customHeight="1" spans="1:8" x14ac:dyDescent="0.25">
      <c r="A15" s="21"/>
      <c r="B15" s="22"/>
      <c r="C15" s="21"/>
      <c r="D15" s="21"/>
      <c r="E15" s="21"/>
      <c r="F15" s="21"/>
      <c r="G15" s="4"/>
      <c r="H15" s="4" t="s">
        <v>4</v>
      </c>
    </row>
    <row r="16" ht="32" customHeight="1" spans="1:8" x14ac:dyDescent="0.25">
      <c r="A16" s="14"/>
      <c r="B16" s="15" t="s">
        <v>263</v>
      </c>
      <c r="C16" s="16"/>
      <c r="D16" s="16"/>
      <c r="E16" s="16"/>
      <c r="F16" s="24">
        <f>SUM(F4,F5,F6,F7,F8,F9,F13)</f>
        <v>0</v>
      </c>
      <c r="G16" s="4"/>
      <c r="H16" s="4" t="s">
        <v>136</v>
      </c>
    </row>
  </sheetData>
  <mergeCells count="3">
    <mergeCell ref="B1:F1"/>
    <mergeCell ref="B11:F11"/>
    <mergeCell ref="B16:E16"/>
  </mergeCells>
  <conditionalFormatting sqref="E4">
    <cfRule type="expression" dxfId="154" priority="1">
      <formula>AND(ISNUMBER(E4),ROUND(E4,2)=INT(ROUND(E4,2)))</formula>
    </cfRule>
    <cfRule type="expression" dxfId="155" priority="2">
      <formula>AND(ISNUMBER(E4),ROUND(E4,2)&lt;&gt;INT(ROUND(E4,2)))</formula>
    </cfRule>
  </conditionalFormatting>
  <conditionalFormatting sqref="F4">
    <cfRule type="expression" dxfId="156" priority="1">
      <formula>AND(ISNUMBER(F4),ROUND(F4,2)=INT(ROUND(F4,2)))</formula>
    </cfRule>
    <cfRule type="expression" dxfId="157" priority="2">
      <formula>AND(ISNUMBER(F4),ROUND(F4,2)&lt;&gt;INT(ROUND(F4,2)))</formula>
    </cfRule>
  </conditionalFormatting>
  <conditionalFormatting sqref="E5">
    <cfRule type="expression" dxfId="158" priority="1">
      <formula>AND(ISNUMBER(E5),ROUND(E5,2)=INT(ROUND(E5,2)))</formula>
    </cfRule>
    <cfRule type="expression" dxfId="159" priority="2">
      <formula>AND(ISNUMBER(E5),ROUND(E5,2)&lt;&gt;INT(ROUND(E5,2)))</formula>
    </cfRule>
  </conditionalFormatting>
  <conditionalFormatting sqref="F5">
    <cfRule type="expression" dxfId="160" priority="1">
      <formula>AND(ISNUMBER(F5),ROUND(F5,2)=INT(ROUND(F5,2)))</formula>
    </cfRule>
    <cfRule type="expression" dxfId="161" priority="2">
      <formula>AND(ISNUMBER(F5),ROUND(F5,2)&lt;&gt;INT(ROUND(F5,2)))</formula>
    </cfRule>
  </conditionalFormatting>
  <conditionalFormatting sqref="E6">
    <cfRule type="expression" dxfId="162" priority="1">
      <formula>AND(ISNUMBER(E6),ROUND(E6,2)=INT(ROUND(E6,2)))</formula>
    </cfRule>
    <cfRule type="expression" dxfId="163" priority="2">
      <formula>AND(ISNUMBER(E6),ROUND(E6,2)&lt;&gt;INT(ROUND(E6,2)))</formula>
    </cfRule>
  </conditionalFormatting>
  <conditionalFormatting sqref="F6">
    <cfRule type="expression" dxfId="164" priority="1">
      <formula>AND(ISNUMBER(F6),ROUND(F6,2)=INT(ROUND(F6,2)))</formula>
    </cfRule>
    <cfRule type="expression" dxfId="165" priority="2">
      <formula>AND(ISNUMBER(F6),ROUND(F6,2)&lt;&gt;INT(ROUND(F6,2)))</formula>
    </cfRule>
  </conditionalFormatting>
  <conditionalFormatting sqref="E7">
    <cfRule type="expression" dxfId="166" priority="1">
      <formula>AND(ISNUMBER(E7),ROUND(E7,2)=INT(ROUND(E7,2)))</formula>
    </cfRule>
    <cfRule type="expression" dxfId="167" priority="2">
      <formula>AND(ISNUMBER(E7),ROUND(E7,2)&lt;&gt;INT(ROUND(E7,2)))</formula>
    </cfRule>
  </conditionalFormatting>
  <conditionalFormatting sqref="F7">
    <cfRule type="expression" dxfId="168" priority="1">
      <formula>AND(ISNUMBER(F7),ROUND(F7,2)=INT(ROUND(F7,2)))</formula>
    </cfRule>
    <cfRule type="expression" dxfId="169" priority="2">
      <formula>AND(ISNUMBER(F7),ROUND(F7,2)&lt;&gt;INT(ROUND(F7,2)))</formula>
    </cfRule>
  </conditionalFormatting>
  <conditionalFormatting sqref="E8">
    <cfRule type="expression" dxfId="170" priority="1">
      <formula>AND(ISNUMBER(E8),ROUND(E8,2)=INT(ROUND(E8,2)))</formula>
    </cfRule>
    <cfRule type="expression" dxfId="171" priority="2">
      <formula>AND(ISNUMBER(E8),ROUND(E8,2)&lt;&gt;INT(ROUND(E8,2)))</formula>
    </cfRule>
  </conditionalFormatting>
  <conditionalFormatting sqref="F8">
    <cfRule type="expression" dxfId="172" priority="1">
      <formula>AND(ISNUMBER(F8),ROUND(F8,2)=INT(ROUND(F8,2)))</formula>
    </cfRule>
    <cfRule type="expression" dxfId="173" priority="2">
      <formula>AND(ISNUMBER(F8),ROUND(F8,2)&lt;&gt;INT(ROUND(F8,2)))</formula>
    </cfRule>
  </conditionalFormatting>
  <conditionalFormatting sqref="E9">
    <cfRule type="expression" dxfId="174" priority="1">
      <formula>AND(ISNUMBER(E9),ROUND(E9,2)=INT(ROUND(E9,2)))</formula>
    </cfRule>
    <cfRule type="expression" dxfId="175" priority="2">
      <formula>AND(ISNUMBER(E9),ROUND(E9,2)&lt;&gt;INT(ROUND(E9,2)))</formula>
    </cfRule>
  </conditionalFormatting>
  <conditionalFormatting sqref="F9">
    <cfRule type="expression" dxfId="176" priority="1">
      <formula>AND(ISNUMBER(F9),ROUND(F9,2)=INT(ROUND(F9,2)))</formula>
    </cfRule>
    <cfRule type="expression" dxfId="177" priority="2">
      <formula>AND(ISNUMBER(F9),ROUND(F9,2)&lt;&gt;INT(ROUND(F9,2)))</formula>
    </cfRule>
  </conditionalFormatting>
  <conditionalFormatting sqref="E13">
    <cfRule type="expression" dxfId="178" priority="1">
      <formula>AND(ISNUMBER(E13),ROUND(E13,2)=INT(ROUND(E13,2)))</formula>
    </cfRule>
    <cfRule type="expression" dxfId="179" priority="2">
      <formula>AND(ISNUMBER(E13),ROUND(E13,2)&lt;&gt;INT(ROUND(E13,2)))</formula>
    </cfRule>
  </conditionalFormatting>
  <conditionalFormatting sqref="F13">
    <cfRule type="expression" dxfId="180" priority="1">
      <formula>AND(ISNUMBER(F13),ROUND(F13,2)=INT(ROUND(F13,2)))</formula>
    </cfRule>
    <cfRule type="expression" dxfId="181" priority="2">
      <formula>AND(ISNUMBER(F13),ROUND(F13,2)&lt;&gt;INT(ROUND(F13,2)))</formula>
    </cfRule>
  </conditionalFormatting>
  <conditionalFormatting sqref="F16">
    <cfRule type="expression" dxfId="182" priority="1">
      <formula>AND(ISNUMBER(F16),ROUND(F16,2)=INT(ROUND(F16,2)))</formula>
    </cfRule>
    <cfRule type="expression" dxfId="183" priority="2">
      <formula>AND(ISNUMBER(F16),ROUND(F16,2)&lt;&gt;INT(ROUND(F16,2)))</formula>
    </cfRule>
  </conditionalFormatting>
  <dataValidations count="9">
    <dataValidation type="decimal" operator="greaterThanOrEqual" allowBlank="1" showErrorMessage="1" error="יש להזין מספר לא שלילי" sqref="D13">
      <formula1>0</formula1>
    </dataValidation>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1" useFirstPageNumber="1"/>
  <headerFooter>
    <oddFooter>&amp;Cעמוד &amp;P</oddFooter>
  </headerFooter>
  <rowBreaks count="1" manualBreakCount="1">
    <brk id="10" max="1683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9</v>
      </c>
      <c r="B1" s="12" t="s">
        <v>17</v>
      </c>
      <c r="C1" s="3"/>
      <c r="D1" s="3"/>
      <c r="E1" s="3"/>
      <c r="F1" s="3"/>
      <c r="G1" s="1" t="s">
        <v>68</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264</v>
      </c>
      <c r="C3" s="21"/>
      <c r="D3" s="21"/>
      <c r="E3" s="21"/>
      <c r="F3" s="21"/>
      <c r="G3" s="4" t="s">
        <v>265</v>
      </c>
      <c r="H3" s="4" t="s">
        <v>106</v>
      </c>
    </row>
    <row r="4" ht="46.8" customHeight="1" spans="1:8" x14ac:dyDescent="0.25">
      <c r="A4" s="21" t="s">
        <v>266</v>
      </c>
      <c r="B4" s="22" t="s">
        <v>267</v>
      </c>
      <c r="C4" s="21" t="s">
        <v>109</v>
      </c>
      <c r="D4" s="21"/>
      <c r="E4" s="23"/>
      <c r="F4" s="23" t="str">
        <f>IF(ISBLANK(D4),"",IF(NOT(ISNUMBER(D4)),"קלט לא תקין",IF(D4&lt;0,"קלט לא תקין",IF(ISBLANK(E4),"",IF(OR(E4="כלול",E4="לא רלוונטי"),0,IF(NOT(ISNUMBER(E4)),"קלט לא תקין",IF(E4&lt;0,"קלט לא תקין",ROUND(D4*E4,2))))))))</f>
        <v/>
      </c>
      <c r="G4" s="4" t="s">
        <v>268</v>
      </c>
      <c r="H4" s="4" t="s">
        <v>111</v>
      </c>
    </row>
    <row r="5" ht="46.8" customHeight="1" spans="1:8" x14ac:dyDescent="0.25">
      <c r="A5" s="21" t="s">
        <v>269</v>
      </c>
      <c r="B5" s="22" t="s">
        <v>270</v>
      </c>
      <c r="C5" s="21" t="s">
        <v>147</v>
      </c>
      <c r="D5" s="21"/>
      <c r="E5" s="23"/>
      <c r="F5" s="23" t="str">
        <f>IF(ISBLANK(D5),"",IF(NOT(ISNUMBER(D5)),"קלט לא תקין",IF(D5&lt;0,"קלט לא תקין",IF(ISBLANK(E5),"",IF(OR(E5="כלול",E5="לא רלוונטי"),0,IF(NOT(ISNUMBER(E5)),"קלט לא תקין",IF(E5&lt;0,"קלט לא תקין",ROUND(D5*E5,2))))))))</f>
        <v/>
      </c>
      <c r="G5" s="4" t="s">
        <v>271</v>
      </c>
      <c r="H5" s="4" t="s">
        <v>111</v>
      </c>
    </row>
    <row r="6" ht="64.19999999999999" customHeight="1" spans="1:8" x14ac:dyDescent="0.25">
      <c r="A6" s="21" t="s">
        <v>272</v>
      </c>
      <c r="B6" s="22" t="s">
        <v>273</v>
      </c>
      <c r="C6" s="21" t="s">
        <v>109</v>
      </c>
      <c r="D6" s="21"/>
      <c r="E6" s="23"/>
      <c r="F6" s="23" t="str">
        <f>IF(ISBLANK(D6),"",IF(NOT(ISNUMBER(D6)),"קלט לא תקין",IF(D6&lt;0,"קלט לא תקין",IF(ISBLANK(E6),"",IF(OR(E6="כלול",E6="לא רלוונטי"),0,IF(NOT(ISNUMBER(E6)),"קלט לא תקין",IF(E6&lt;0,"קלט לא תקין",ROUND(D6*E6,2))))))))</f>
        <v/>
      </c>
      <c r="G6" s="4" t="s">
        <v>274</v>
      </c>
      <c r="H6" s="4" t="s">
        <v>111</v>
      </c>
    </row>
    <row r="7" ht="46.8" customHeight="1" spans="1:8" x14ac:dyDescent="0.25">
      <c r="A7" s="21" t="s">
        <v>275</v>
      </c>
      <c r="B7" s="22" t="s">
        <v>276</v>
      </c>
      <c r="C7" s="21" t="s">
        <v>109</v>
      </c>
      <c r="D7" s="21"/>
      <c r="E7" s="23"/>
      <c r="F7" s="23" t="str">
        <f>IF(ISBLANK(D7),"",IF(NOT(ISNUMBER(D7)),"קלט לא תקין",IF(D7&lt;0,"קלט לא תקין",IF(ISBLANK(E7),"",IF(OR(E7="כלול",E7="לא רלוונטי"),0,IF(NOT(ISNUMBER(E7)),"קלט לא תקין",IF(E7&lt;0,"קלט לא תקין",ROUND(D7*E7,2))))))))</f>
        <v/>
      </c>
      <c r="G7" s="4" t="s">
        <v>277</v>
      </c>
      <c r="H7" s="4" t="s">
        <v>111</v>
      </c>
    </row>
    <row r="8" ht="355.20000000000005" customHeight="1" spans="1:8" x14ac:dyDescent="0.25">
      <c r="A8" s="21"/>
      <c r="B8" s="22"/>
      <c r="C8" s="21"/>
      <c r="D8" s="21"/>
      <c r="E8" s="21"/>
      <c r="F8" s="21"/>
      <c r="G8" s="4"/>
      <c r="H8" s="4" t="s">
        <v>4</v>
      </c>
    </row>
    <row r="9" ht="32" customHeight="1" spans="1:8" x14ac:dyDescent="0.25">
      <c r="A9" s="14"/>
      <c r="B9" s="15" t="s">
        <v>278</v>
      </c>
      <c r="C9" s="16"/>
      <c r="D9" s="16"/>
      <c r="E9" s="16"/>
      <c r="F9" s="24">
        <f>SUM(F4,F5,F6,F7)</f>
        <v>0</v>
      </c>
      <c r="G9" s="4"/>
      <c r="H9" s="4" t="s">
        <v>136</v>
      </c>
    </row>
  </sheetData>
  <mergeCells count="2">
    <mergeCell ref="B1:F1"/>
    <mergeCell ref="B9:E9"/>
  </mergeCells>
  <conditionalFormatting sqref="E4">
    <cfRule type="expression" dxfId="184" priority="1">
      <formula>AND(ISNUMBER(E4),ROUND(E4,2)=INT(ROUND(E4,2)))</formula>
    </cfRule>
    <cfRule type="expression" dxfId="185" priority="2">
      <formula>AND(ISNUMBER(E4),ROUND(E4,2)&lt;&gt;INT(ROUND(E4,2)))</formula>
    </cfRule>
  </conditionalFormatting>
  <conditionalFormatting sqref="F4">
    <cfRule type="expression" dxfId="186" priority="1">
      <formula>AND(ISNUMBER(F4),ROUND(F4,2)=INT(ROUND(F4,2)))</formula>
    </cfRule>
    <cfRule type="expression" dxfId="187" priority="2">
      <formula>AND(ISNUMBER(F4),ROUND(F4,2)&lt;&gt;INT(ROUND(F4,2)))</formula>
    </cfRule>
  </conditionalFormatting>
  <conditionalFormatting sqref="E5">
    <cfRule type="expression" dxfId="188" priority="1">
      <formula>AND(ISNUMBER(E5),ROUND(E5,2)=INT(ROUND(E5,2)))</formula>
    </cfRule>
    <cfRule type="expression" dxfId="189" priority="2">
      <formula>AND(ISNUMBER(E5),ROUND(E5,2)&lt;&gt;INT(ROUND(E5,2)))</formula>
    </cfRule>
  </conditionalFormatting>
  <conditionalFormatting sqref="F5">
    <cfRule type="expression" dxfId="190" priority="1">
      <formula>AND(ISNUMBER(F5),ROUND(F5,2)=INT(ROUND(F5,2)))</formula>
    </cfRule>
    <cfRule type="expression" dxfId="191" priority="2">
      <formula>AND(ISNUMBER(F5),ROUND(F5,2)&lt;&gt;INT(ROUND(F5,2)))</formula>
    </cfRule>
  </conditionalFormatting>
  <conditionalFormatting sqref="E6">
    <cfRule type="expression" dxfId="192" priority="1">
      <formula>AND(ISNUMBER(E6),ROUND(E6,2)=INT(ROUND(E6,2)))</formula>
    </cfRule>
    <cfRule type="expression" dxfId="193" priority="2">
      <formula>AND(ISNUMBER(E6),ROUND(E6,2)&lt;&gt;INT(ROUND(E6,2)))</formula>
    </cfRule>
  </conditionalFormatting>
  <conditionalFormatting sqref="F6">
    <cfRule type="expression" dxfId="194" priority="1">
      <formula>AND(ISNUMBER(F6),ROUND(F6,2)=INT(ROUND(F6,2)))</formula>
    </cfRule>
    <cfRule type="expression" dxfId="195" priority="2">
      <formula>AND(ISNUMBER(F6),ROUND(F6,2)&lt;&gt;INT(ROUND(F6,2)))</formula>
    </cfRule>
  </conditionalFormatting>
  <conditionalFormatting sqref="E7">
    <cfRule type="expression" dxfId="196" priority="1">
      <formula>AND(ISNUMBER(E7),ROUND(E7,2)=INT(ROUND(E7,2)))</formula>
    </cfRule>
    <cfRule type="expression" dxfId="197" priority="2">
      <formula>AND(ISNUMBER(E7),ROUND(E7,2)&lt;&gt;INT(ROUND(E7,2)))</formula>
    </cfRule>
  </conditionalFormatting>
  <conditionalFormatting sqref="F7">
    <cfRule type="expression" dxfId="198" priority="1">
      <formula>AND(ISNUMBER(F7),ROUND(F7,2)=INT(ROUND(F7,2)))</formula>
    </cfRule>
    <cfRule type="expression" dxfId="199" priority="2">
      <formula>AND(ISNUMBER(F7),ROUND(F7,2)&lt;&gt;INT(ROUND(F7,2)))</formula>
    </cfRule>
  </conditionalFormatting>
  <conditionalFormatting sqref="F9">
    <cfRule type="expression" dxfId="200" priority="1">
      <formula>AND(ISNUMBER(F9),ROUND(F9,2)=INT(ROUND(F9,2)))</formula>
    </cfRule>
    <cfRule type="expression" dxfId="201"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13" useFirstPageNumber="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10</v>
      </c>
      <c r="B1" s="12" t="s">
        <v>18</v>
      </c>
      <c r="C1" s="3"/>
      <c r="D1" s="3"/>
      <c r="E1" s="3"/>
      <c r="F1" s="3"/>
      <c r="G1" s="1" t="s">
        <v>70</v>
      </c>
      <c r="H1" s="1" t="s">
        <v>96</v>
      </c>
    </row>
    <row r="2" ht="32" customHeight="1" spans="1:8" x14ac:dyDescent="0.25">
      <c r="A2" s="19" t="s">
        <v>97</v>
      </c>
      <c r="B2" s="20" t="s">
        <v>98</v>
      </c>
      <c r="C2" s="19" t="s">
        <v>99</v>
      </c>
      <c r="D2" s="19" t="s">
        <v>100</v>
      </c>
      <c r="E2" s="19" t="s">
        <v>101</v>
      </c>
      <c r="F2" s="19" t="s">
        <v>102</v>
      </c>
      <c r="G2" s="1"/>
      <c r="H2" s="1" t="s">
        <v>103</v>
      </c>
    </row>
    <row r="3" ht="99" customHeight="1" spans="1:8" x14ac:dyDescent="0.25">
      <c r="A3" s="21"/>
      <c r="B3" s="22" t="s">
        <v>279</v>
      </c>
      <c r="C3" s="21"/>
      <c r="D3" s="21"/>
      <c r="E3" s="21"/>
      <c r="F3" s="21"/>
      <c r="G3" s="4" t="s">
        <v>280</v>
      </c>
      <c r="H3" s="4" t="s">
        <v>106</v>
      </c>
    </row>
    <row r="4" ht="64.19999999999999" customHeight="1" spans="1:8" x14ac:dyDescent="0.25">
      <c r="A4" s="21" t="s">
        <v>281</v>
      </c>
      <c r="B4" s="22" t="s">
        <v>282</v>
      </c>
      <c r="C4" s="21" t="s">
        <v>109</v>
      </c>
      <c r="D4" s="21"/>
      <c r="E4" s="23"/>
      <c r="F4" s="23" t="str">
        <f>IF(ISBLANK(D4),"",IF(NOT(ISNUMBER(D4)),"קלט לא תקין",IF(D4&lt;0,"קלט לא תקין",IF(ISBLANK(E4),"",IF(OR(E4="כלול",E4="לא רלוונטי"),0,IF(NOT(ISNUMBER(E4)),"קלט לא תקין",IF(E4&lt;0,"קלט לא תקין",ROUND(D4*E4,2))))))))</f>
        <v/>
      </c>
      <c r="G4" s="4" t="s">
        <v>283</v>
      </c>
      <c r="H4" s="4" t="s">
        <v>111</v>
      </c>
    </row>
    <row r="5" ht="99" customHeight="1" spans="1:8" x14ac:dyDescent="0.25">
      <c r="A5" s="21" t="s">
        <v>284</v>
      </c>
      <c r="B5" s="22" t="s">
        <v>285</v>
      </c>
      <c r="C5" s="21" t="s">
        <v>109</v>
      </c>
      <c r="D5" s="21"/>
      <c r="E5" s="23"/>
      <c r="F5" s="23" t="str">
        <f>IF(ISBLANK(D5),"",IF(NOT(ISNUMBER(D5)),"קלט לא תקין",IF(D5&lt;0,"קלט לא תקין",IF(ISBLANK(E5),"",IF(OR(E5="כלול",E5="לא רלוונטי"),0,IF(NOT(ISNUMBER(E5)),"קלט לא תקין",IF(E5&lt;0,"קלט לא תקין",ROUND(D5*E5,2))))))))</f>
        <v/>
      </c>
      <c r="G5" s="4" t="s">
        <v>286</v>
      </c>
      <c r="H5" s="4" t="s">
        <v>111</v>
      </c>
    </row>
    <row r="6" ht="64.19999999999999" customHeight="1" spans="1:8" x14ac:dyDescent="0.25">
      <c r="A6" s="21" t="s">
        <v>287</v>
      </c>
      <c r="B6" s="22" t="s">
        <v>288</v>
      </c>
      <c r="C6" s="21" t="s">
        <v>109</v>
      </c>
      <c r="D6" s="21"/>
      <c r="E6" s="23"/>
      <c r="F6" s="23" t="str">
        <f>IF(ISBLANK(D6),"",IF(NOT(ISNUMBER(D6)),"קלט לא תקין",IF(D6&lt;0,"קלט לא תקין",IF(ISBLANK(E6),"",IF(OR(E6="כלול",E6="לא רלוונטי"),0,IF(NOT(ISNUMBER(E6)),"קלט לא תקין",IF(E6&lt;0,"קלט לא תקין",ROUND(D6*E6,2))))))))</f>
        <v/>
      </c>
      <c r="G6" s="4" t="s">
        <v>289</v>
      </c>
      <c r="H6" s="4" t="s">
        <v>111</v>
      </c>
    </row>
    <row r="7" ht="64.19999999999999" customHeight="1" spans="1:8" x14ac:dyDescent="0.25">
      <c r="A7" s="21" t="s">
        <v>290</v>
      </c>
      <c r="B7" s="22" t="s">
        <v>291</v>
      </c>
      <c r="C7" s="21" t="s">
        <v>109</v>
      </c>
      <c r="D7" s="21"/>
      <c r="E7" s="23"/>
      <c r="F7" s="23" t="str">
        <f>IF(ISBLANK(D7),"",IF(NOT(ISNUMBER(D7)),"קלט לא תקין",IF(D7&lt;0,"קלט לא תקין",IF(ISBLANK(E7),"",IF(OR(E7="כלול",E7="לא רלוונטי"),0,IF(NOT(ISNUMBER(E7)),"קלט לא תקין",IF(E7&lt;0,"קלט לא תקין",ROUND(D7*E7,2))))))))</f>
        <v/>
      </c>
      <c r="G7" s="4" t="s">
        <v>292</v>
      </c>
      <c r="H7" s="4" t="s">
        <v>111</v>
      </c>
    </row>
    <row r="8" ht="233.40000000000003" customHeight="1" spans="1:8" x14ac:dyDescent="0.25">
      <c r="A8" s="21"/>
      <c r="B8" s="22"/>
      <c r="C8" s="21"/>
      <c r="D8" s="21"/>
      <c r="E8" s="21"/>
      <c r="F8" s="21"/>
      <c r="G8" s="4"/>
      <c r="H8" s="4" t="s">
        <v>4</v>
      </c>
    </row>
    <row r="9" ht="32" customHeight="1" spans="1:8" x14ac:dyDescent="0.25">
      <c r="A9" s="14"/>
      <c r="B9" s="15" t="s">
        <v>293</v>
      </c>
      <c r="C9" s="16"/>
      <c r="D9" s="16"/>
      <c r="E9" s="16"/>
      <c r="F9" s="24">
        <f>SUM(F4,F5,F6,F7)</f>
        <v>0</v>
      </c>
      <c r="G9" s="4"/>
      <c r="H9" s="4" t="s">
        <v>136</v>
      </c>
    </row>
  </sheetData>
  <mergeCells count="2">
    <mergeCell ref="B1:F1"/>
    <mergeCell ref="B9:E9"/>
  </mergeCells>
  <conditionalFormatting sqref="E4">
    <cfRule type="expression" dxfId="202" priority="1">
      <formula>AND(ISNUMBER(E4),ROUND(E4,2)=INT(ROUND(E4,2)))</formula>
    </cfRule>
    <cfRule type="expression" dxfId="203" priority="2">
      <formula>AND(ISNUMBER(E4),ROUND(E4,2)&lt;&gt;INT(ROUND(E4,2)))</formula>
    </cfRule>
  </conditionalFormatting>
  <conditionalFormatting sqref="F4">
    <cfRule type="expression" dxfId="204" priority="1">
      <formula>AND(ISNUMBER(F4),ROUND(F4,2)=INT(ROUND(F4,2)))</formula>
    </cfRule>
    <cfRule type="expression" dxfId="205" priority="2">
      <formula>AND(ISNUMBER(F4),ROUND(F4,2)&lt;&gt;INT(ROUND(F4,2)))</formula>
    </cfRule>
  </conditionalFormatting>
  <conditionalFormatting sqref="E5">
    <cfRule type="expression" dxfId="206" priority="1">
      <formula>AND(ISNUMBER(E5),ROUND(E5,2)=INT(ROUND(E5,2)))</formula>
    </cfRule>
    <cfRule type="expression" dxfId="207" priority="2">
      <formula>AND(ISNUMBER(E5),ROUND(E5,2)&lt;&gt;INT(ROUND(E5,2)))</formula>
    </cfRule>
  </conditionalFormatting>
  <conditionalFormatting sqref="F5">
    <cfRule type="expression" dxfId="208" priority="1">
      <formula>AND(ISNUMBER(F5),ROUND(F5,2)=INT(ROUND(F5,2)))</formula>
    </cfRule>
    <cfRule type="expression" dxfId="209" priority="2">
      <formula>AND(ISNUMBER(F5),ROUND(F5,2)&lt;&gt;INT(ROUND(F5,2)))</formula>
    </cfRule>
  </conditionalFormatting>
  <conditionalFormatting sqref="E6">
    <cfRule type="expression" dxfId="210" priority="1">
      <formula>AND(ISNUMBER(E6),ROUND(E6,2)=INT(ROUND(E6,2)))</formula>
    </cfRule>
    <cfRule type="expression" dxfId="211" priority="2">
      <formula>AND(ISNUMBER(E6),ROUND(E6,2)&lt;&gt;INT(ROUND(E6,2)))</formula>
    </cfRule>
  </conditionalFormatting>
  <conditionalFormatting sqref="F6">
    <cfRule type="expression" dxfId="212" priority="1">
      <formula>AND(ISNUMBER(F6),ROUND(F6,2)=INT(ROUND(F6,2)))</formula>
    </cfRule>
    <cfRule type="expression" dxfId="213" priority="2">
      <formula>AND(ISNUMBER(F6),ROUND(F6,2)&lt;&gt;INT(ROUND(F6,2)))</formula>
    </cfRule>
  </conditionalFormatting>
  <conditionalFormatting sqref="E7">
    <cfRule type="expression" dxfId="214" priority="1">
      <formula>AND(ISNUMBER(E7),ROUND(E7,2)=INT(ROUND(E7,2)))</formula>
    </cfRule>
    <cfRule type="expression" dxfId="215" priority="2">
      <formula>AND(ISNUMBER(E7),ROUND(E7,2)&lt;&gt;INT(ROUND(E7,2)))</formula>
    </cfRule>
  </conditionalFormatting>
  <conditionalFormatting sqref="F7">
    <cfRule type="expression" dxfId="216" priority="1">
      <formula>AND(ISNUMBER(F7),ROUND(F7,2)=INT(ROUND(F7,2)))</formula>
    </cfRule>
    <cfRule type="expression" dxfId="217" priority="2">
      <formula>AND(ISNUMBER(F7),ROUND(F7,2)&lt;&gt;INT(ROUND(F7,2)))</formula>
    </cfRule>
  </conditionalFormatting>
  <conditionalFormatting sqref="F9">
    <cfRule type="expression" dxfId="218" priority="1">
      <formula>AND(ISNUMBER(F9),ROUND(F9,2)=INT(ROUND(F9,2)))</formula>
    </cfRule>
    <cfRule type="expression" dxfId="219" priority="2">
      <formula>AND(ISNUMBER(F9),ROUND(F9,2)&lt;&gt;INT(ROUND(F9,2)))</formula>
    </cfRule>
  </conditionalFormatting>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14" useFirstPageNumber="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11</v>
      </c>
      <c r="B1" s="12" t="s">
        <v>19</v>
      </c>
      <c r="C1" s="3"/>
      <c r="D1" s="3"/>
      <c r="E1" s="3"/>
      <c r="F1" s="3"/>
      <c r="G1" s="1" t="s">
        <v>72</v>
      </c>
      <c r="H1" s="1" t="s">
        <v>96</v>
      </c>
    </row>
    <row r="2" ht="32" customHeight="1" spans="1:8" x14ac:dyDescent="0.25">
      <c r="A2" s="19" t="s">
        <v>97</v>
      </c>
      <c r="B2" s="20" t="s">
        <v>98</v>
      </c>
      <c r="C2" s="19" t="s">
        <v>99</v>
      </c>
      <c r="D2" s="19" t="s">
        <v>100</v>
      </c>
      <c r="E2" s="19" t="s">
        <v>101</v>
      </c>
      <c r="F2" s="19" t="s">
        <v>102</v>
      </c>
      <c r="G2" s="1"/>
      <c r="H2" s="1" t="s">
        <v>103</v>
      </c>
    </row>
    <row r="3" ht="99" customHeight="1" spans="1:8" x14ac:dyDescent="0.25">
      <c r="A3" s="21"/>
      <c r="B3" s="22" t="s">
        <v>294</v>
      </c>
      <c r="C3" s="21"/>
      <c r="D3" s="21"/>
      <c r="E3" s="21"/>
      <c r="F3" s="21"/>
      <c r="G3" s="4" t="s">
        <v>295</v>
      </c>
      <c r="H3" s="4" t="s">
        <v>106</v>
      </c>
    </row>
    <row r="4" ht="81.6" customHeight="1" spans="1:8" x14ac:dyDescent="0.25">
      <c r="A4" s="21" t="s">
        <v>296</v>
      </c>
      <c r="B4" s="22" t="s">
        <v>297</v>
      </c>
      <c r="C4" s="21" t="s">
        <v>147</v>
      </c>
      <c r="D4" s="21"/>
      <c r="E4" s="23"/>
      <c r="F4" s="23" t="str">
        <f>IF(ISBLANK(D4),"",IF(NOT(ISNUMBER(D4)),"קלט לא תקין",IF(D4&lt;0,"קלט לא תקין",IF(ISBLANK(E4),"",IF(OR(E4="כלול",E4="לא רלוונטי"),0,IF(NOT(ISNUMBER(E4)),"קלט לא תקין",IF(E4&lt;0,"קלט לא תקין",ROUND(D4*E4,2))))))))</f>
        <v/>
      </c>
      <c r="G4" s="4" t="s">
        <v>298</v>
      </c>
      <c r="H4" s="4" t="s">
        <v>111</v>
      </c>
    </row>
    <row r="5" ht="81.6" customHeight="1" spans="1:8" x14ac:dyDescent="0.25">
      <c r="A5" s="21" t="s">
        <v>299</v>
      </c>
      <c r="B5" s="22" t="s">
        <v>300</v>
      </c>
      <c r="C5" s="21" t="s">
        <v>147</v>
      </c>
      <c r="D5" s="21"/>
      <c r="E5" s="23"/>
      <c r="F5" s="23" t="str">
        <f>IF(ISBLANK(D5),"",IF(NOT(ISNUMBER(D5)),"קלט לא תקין",IF(D5&lt;0,"קלט לא תקין",IF(ISBLANK(E5),"",IF(OR(E5="כלול",E5="לא רלוונטי"),0,IF(NOT(ISNUMBER(E5)),"קלט לא תקין",IF(E5&lt;0,"קלט לא תקין",ROUND(D5*E5,2))))))))</f>
        <v/>
      </c>
      <c r="G5" s="4" t="s">
        <v>301</v>
      </c>
      <c r="H5" s="4" t="s">
        <v>111</v>
      </c>
    </row>
    <row r="6" ht="99" customHeight="1" spans="1:8" x14ac:dyDescent="0.25">
      <c r="A6" s="21" t="s">
        <v>302</v>
      </c>
      <c r="B6" s="22" t="s">
        <v>303</v>
      </c>
      <c r="C6" s="21" t="s">
        <v>147</v>
      </c>
      <c r="D6" s="21"/>
      <c r="E6" s="23"/>
      <c r="F6" s="23" t="str">
        <f>IF(ISBLANK(D6),"",IF(NOT(ISNUMBER(D6)),"קלט לא תקין",IF(D6&lt;0,"קלט לא תקין",IF(ISBLANK(E6),"",IF(OR(E6="כלול",E6="לא רלוונטי"),0,IF(NOT(ISNUMBER(E6)),"קלט לא תקין",IF(E6&lt;0,"קלט לא תקין",ROUND(D6*E6,2))))))))</f>
        <v/>
      </c>
      <c r="G6" s="4" t="s">
        <v>304</v>
      </c>
      <c r="H6" s="4" t="s">
        <v>111</v>
      </c>
    </row>
    <row r="7" ht="64.19999999999999" customHeight="1" spans="1:8" x14ac:dyDescent="0.25">
      <c r="A7" s="21" t="s">
        <v>305</v>
      </c>
      <c r="B7" s="22" t="s">
        <v>306</v>
      </c>
      <c r="C7" s="21" t="s">
        <v>130</v>
      </c>
      <c r="D7" s="21"/>
      <c r="E7" s="23"/>
      <c r="F7" s="23" t="str">
        <f>IF(ISBLANK(D7),"",IF(NOT(ISNUMBER(D7)),"קלט לא תקין",IF(D7&lt;0,"קלט לא תקין",IF(ISBLANK(E7),"",IF(OR(E7="כלול",E7="לא רלוונטי"),0,IF(NOT(ISNUMBER(E7)),"קלט לא תקין",IF(E7&lt;0,"קלט לא תקין",ROUND(D7*E7,2))))))))</f>
        <v/>
      </c>
      <c r="G7" s="4" t="s">
        <v>307</v>
      </c>
      <c r="H7" s="4" t="s">
        <v>111</v>
      </c>
    </row>
    <row r="8" ht="64.19999999999999" customHeight="1" spans="1:8" x14ac:dyDescent="0.25">
      <c r="A8" s="21" t="s">
        <v>308</v>
      </c>
      <c r="B8" s="22" t="s">
        <v>309</v>
      </c>
      <c r="C8" s="21" t="s">
        <v>109</v>
      </c>
      <c r="D8" s="21"/>
      <c r="E8" s="23"/>
      <c r="F8" s="23" t="str">
        <f>IF(ISBLANK(D8),"",IF(NOT(ISNUMBER(D8)),"קלט לא תקין",IF(D8&lt;0,"קלט לא תקין",IF(ISBLANK(E8),"",IF(OR(E8="כלול",E8="לא רלוונטי"),0,IF(NOT(ISNUMBER(E8)),"קלט לא תקין",IF(E8&lt;0,"קלט לא תקין",ROUND(D8*E8,2))))))))</f>
        <v/>
      </c>
      <c r="G8" s="4" t="s">
        <v>310</v>
      </c>
      <c r="H8" s="4" t="s">
        <v>111</v>
      </c>
    </row>
    <row r="9" ht="81.6" customHeight="1" spans="1:8" x14ac:dyDescent="0.25">
      <c r="A9" s="21" t="s">
        <v>311</v>
      </c>
      <c r="B9" s="22" t="s">
        <v>312</v>
      </c>
      <c r="C9" s="21" t="s">
        <v>109</v>
      </c>
      <c r="D9" s="21"/>
      <c r="E9" s="23"/>
      <c r="F9" s="23" t="str">
        <f>IF(ISBLANK(D9),"",IF(NOT(ISNUMBER(D9)),"קלט לא תקין",IF(D9&lt;0,"קלט לא תקין",IF(ISBLANK(E9),"",IF(OR(E9="כלול",E9="לא רלוונטי"),0,IF(NOT(ISNUMBER(E9)),"קלט לא תקין",IF(E9&lt;0,"קלט לא תקין",ROUND(D9*E9,2))))))))</f>
        <v/>
      </c>
      <c r="G9" s="4" t="s">
        <v>313</v>
      </c>
      <c r="H9" s="4" t="s">
        <v>111</v>
      </c>
    </row>
    <row r="10" ht="84.80000000000007" customHeight="1" spans="1:8" x14ac:dyDescent="0.25">
      <c r="A10" s="25"/>
      <c r="B10" s="26"/>
      <c r="C10" s="25"/>
      <c r="D10" s="25"/>
      <c r="E10" s="25"/>
      <c r="F10" s="25"/>
      <c r="G10" s="4"/>
      <c r="H10" s="4" t="s">
        <v>4</v>
      </c>
    </row>
    <row r="11" ht="32" customHeight="1" spans="1:8" x14ac:dyDescent="0.25">
      <c r="A11" s="27">
        <v>11</v>
      </c>
      <c r="B11" s="12" t="s">
        <v>314</v>
      </c>
      <c r="C11" s="3"/>
      <c r="D11" s="3"/>
      <c r="E11" s="3"/>
      <c r="F11" s="3"/>
      <c r="G11" s="4"/>
      <c r="H11" s="4" t="s">
        <v>259</v>
      </c>
    </row>
    <row r="12" ht="32" customHeight="1" spans="1:8" x14ac:dyDescent="0.25">
      <c r="A12" s="19" t="s">
        <v>97</v>
      </c>
      <c r="B12" s="20" t="s">
        <v>98</v>
      </c>
      <c r="C12" s="19" t="s">
        <v>99</v>
      </c>
      <c r="D12" s="19" t="s">
        <v>100</v>
      </c>
      <c r="E12" s="19" t="s">
        <v>101</v>
      </c>
      <c r="F12" s="19" t="s">
        <v>102</v>
      </c>
      <c r="G12" s="4"/>
      <c r="H12" s="4" t="s">
        <v>103</v>
      </c>
    </row>
    <row r="13" ht="64.19999999999999" customHeight="1" spans="1:8" x14ac:dyDescent="0.25">
      <c r="A13" s="21" t="s">
        <v>315</v>
      </c>
      <c r="B13" s="22" t="s">
        <v>316</v>
      </c>
      <c r="C13" s="21" t="s">
        <v>130</v>
      </c>
      <c r="D13" s="21"/>
      <c r="E13" s="23"/>
      <c r="F13" s="23" t="str">
        <f>IF(ISBLANK(D13),"",IF(NOT(ISNUMBER(D13)),"קלט לא תקין",IF(D13&lt;0,"קלט לא תקין",IF(ISBLANK(E13),"",IF(OR(E13="כלול",E13="לא רלוונטי"),0,IF(NOT(ISNUMBER(E13)),"קלט לא תקין",IF(E13&lt;0,"קלט לא תקין",ROUND(D13*E13,2))))))))</f>
        <v/>
      </c>
      <c r="G13" s="4" t="s">
        <v>317</v>
      </c>
      <c r="H13" s="4" t="s">
        <v>111</v>
      </c>
    </row>
    <row r="14" ht="64.19999999999999" customHeight="1" spans="1:8" x14ac:dyDescent="0.25">
      <c r="A14" s="21" t="s">
        <v>318</v>
      </c>
      <c r="B14" s="22" t="s">
        <v>319</v>
      </c>
      <c r="C14" s="21" t="s">
        <v>130</v>
      </c>
      <c r="D14" s="21"/>
      <c r="E14" s="23"/>
      <c r="F14" s="23" t="str">
        <f>IF(ISBLANK(D14),"",IF(NOT(ISNUMBER(D14)),"קלט לא תקין",IF(D14&lt;0,"קלט לא תקין",IF(ISBLANK(E14),"",IF(OR(E14="כלול",E14="לא רלוונטי"),0,IF(NOT(ISNUMBER(E14)),"קלט לא תקין",IF(E14&lt;0,"קלט לא תקין",ROUND(D14*E14,2))))))))</f>
        <v/>
      </c>
      <c r="G14" s="4" t="s">
        <v>320</v>
      </c>
      <c r="H14" s="4" t="s">
        <v>111</v>
      </c>
    </row>
    <row r="15" ht="64.19999999999999" customHeight="1" spans="1:8" x14ac:dyDescent="0.25">
      <c r="A15" s="21" t="s">
        <v>321</v>
      </c>
      <c r="B15" s="22" t="s">
        <v>322</v>
      </c>
      <c r="C15" s="21" t="s">
        <v>130</v>
      </c>
      <c r="D15" s="21"/>
      <c r="E15" s="23"/>
      <c r="F15" s="23" t="str">
        <f>IF(ISBLANK(D15),"",IF(NOT(ISNUMBER(D15)),"קלט לא תקין",IF(D15&lt;0,"קלט לא תקין",IF(ISBLANK(E15),"",IF(OR(E15="כלול",E15="לא רלוונטי"),0,IF(NOT(ISNUMBER(E15)),"קלט לא תקין",IF(E15&lt;0,"קלט לא תקין",ROUND(D15*E15,2))))))))</f>
        <v/>
      </c>
      <c r="G15" s="4" t="s">
        <v>323</v>
      </c>
      <c r="H15" s="4" t="s">
        <v>111</v>
      </c>
    </row>
    <row r="16" ht="64.19999999999999" customHeight="1" spans="1:8" x14ac:dyDescent="0.25">
      <c r="A16" s="21"/>
      <c r="B16" s="22" t="s">
        <v>324</v>
      </c>
      <c r="C16" s="21"/>
      <c r="D16" s="21"/>
      <c r="E16" s="21"/>
      <c r="F16" s="21"/>
      <c r="G16" s="4" t="s">
        <v>325</v>
      </c>
      <c r="H16" s="4" t="s">
        <v>106</v>
      </c>
    </row>
    <row r="17" ht="46.8" customHeight="1" spans="1:8" x14ac:dyDescent="0.25">
      <c r="A17" s="21" t="s">
        <v>326</v>
      </c>
      <c r="B17" s="22" t="s">
        <v>327</v>
      </c>
      <c r="C17" s="21" t="s">
        <v>130</v>
      </c>
      <c r="D17" s="21"/>
      <c r="E17" s="23"/>
      <c r="F17" s="23" t="str">
        <f>IF(ISBLANK(D17),"",IF(NOT(ISNUMBER(D17)),"קלט לא תקין",IF(D17&lt;0,"קלט לא תקין",IF(ISBLANK(E17),"",IF(OR(E17="כלול",E17="לא רלוונטי"),0,IF(NOT(ISNUMBER(E17)),"קלט לא תקין",IF(E17&lt;0,"קלט לא תקין",ROUND(D17*E17,2))))))))</f>
        <v/>
      </c>
      <c r="G17" s="4" t="s">
        <v>328</v>
      </c>
      <c r="H17" s="4" t="s">
        <v>111</v>
      </c>
    </row>
    <row r="18" ht="46.8" customHeight="1" spans="1:8" x14ac:dyDescent="0.25">
      <c r="A18" s="21" t="s">
        <v>329</v>
      </c>
      <c r="B18" s="22" t="s">
        <v>330</v>
      </c>
      <c r="C18" s="21" t="s">
        <v>130</v>
      </c>
      <c r="D18" s="21"/>
      <c r="E18" s="23"/>
      <c r="F18" s="23" t="str">
        <f>IF(ISBLANK(D18),"",IF(NOT(ISNUMBER(D18)),"קלט לא תקין",IF(D18&lt;0,"קלט לא תקין",IF(ISBLANK(E18),"",IF(OR(E18="כלול",E18="לא רלוונטי"),0,IF(NOT(ISNUMBER(E18)),"קלט לא תקין",IF(E18&lt;0,"קלט לא תקין",ROUND(D18*E18,2))))))))</f>
        <v/>
      </c>
      <c r="G18" s="4" t="s">
        <v>331</v>
      </c>
      <c r="H18" s="4" t="s">
        <v>111</v>
      </c>
    </row>
    <row r="19" ht="46.8" customHeight="1" spans="1:8" x14ac:dyDescent="0.25">
      <c r="A19" s="21" t="s">
        <v>332</v>
      </c>
      <c r="B19" s="22" t="s">
        <v>333</v>
      </c>
      <c r="C19" s="21" t="s">
        <v>130</v>
      </c>
      <c r="D19" s="21"/>
      <c r="E19" s="23"/>
      <c r="F19" s="23" t="str">
        <f>IF(ISBLANK(D19),"",IF(NOT(ISNUMBER(D19)),"קלט לא תקין",IF(D19&lt;0,"קלט לא תקין",IF(ISBLANK(E19),"",IF(OR(E19="כלול",E19="לא רלוונטי"),0,IF(NOT(ISNUMBER(E19)),"קלט לא תקין",IF(E19&lt;0,"קלט לא תקין",ROUND(D19*E19,2))))))))</f>
        <v/>
      </c>
      <c r="G19" s="4" t="s">
        <v>334</v>
      </c>
      <c r="H19" s="4" t="s">
        <v>111</v>
      </c>
    </row>
    <row r="20" ht="226.8" customHeight="1" spans="1:8" x14ac:dyDescent="0.25">
      <c r="A20" s="21"/>
      <c r="B20" s="22"/>
      <c r="C20" s="21"/>
      <c r="D20" s="21"/>
      <c r="E20" s="21"/>
      <c r="F20" s="21"/>
      <c r="G20" s="4"/>
      <c r="H20" s="4" t="s">
        <v>4</v>
      </c>
    </row>
    <row r="21" ht="32" customHeight="1" spans="1:8" x14ac:dyDescent="0.25">
      <c r="A21" s="14"/>
      <c r="B21" s="15" t="s">
        <v>335</v>
      </c>
      <c r="C21" s="16"/>
      <c r="D21" s="16"/>
      <c r="E21" s="16"/>
      <c r="F21" s="24">
        <f>SUM(F4,F5,F6,F7,F8,F9,F13,F14,F15,F17,F18,F19)</f>
        <v>0</v>
      </c>
      <c r="G21" s="4"/>
      <c r="H21" s="4" t="s">
        <v>136</v>
      </c>
    </row>
  </sheetData>
  <mergeCells count="3">
    <mergeCell ref="B1:F1"/>
    <mergeCell ref="B11:F11"/>
    <mergeCell ref="B21:E21"/>
  </mergeCells>
  <conditionalFormatting sqref="E4">
    <cfRule type="expression" dxfId="220" priority="1">
      <formula>AND(ISNUMBER(E4),ROUND(E4,2)=INT(ROUND(E4,2)))</formula>
    </cfRule>
    <cfRule type="expression" dxfId="221" priority="2">
      <formula>AND(ISNUMBER(E4),ROUND(E4,2)&lt;&gt;INT(ROUND(E4,2)))</formula>
    </cfRule>
  </conditionalFormatting>
  <conditionalFormatting sqref="F4">
    <cfRule type="expression" dxfId="222" priority="1">
      <formula>AND(ISNUMBER(F4),ROUND(F4,2)=INT(ROUND(F4,2)))</formula>
    </cfRule>
    <cfRule type="expression" dxfId="223" priority="2">
      <formula>AND(ISNUMBER(F4),ROUND(F4,2)&lt;&gt;INT(ROUND(F4,2)))</formula>
    </cfRule>
  </conditionalFormatting>
  <conditionalFormatting sqref="E5">
    <cfRule type="expression" dxfId="224" priority="1">
      <formula>AND(ISNUMBER(E5),ROUND(E5,2)=INT(ROUND(E5,2)))</formula>
    </cfRule>
    <cfRule type="expression" dxfId="225" priority="2">
      <formula>AND(ISNUMBER(E5),ROUND(E5,2)&lt;&gt;INT(ROUND(E5,2)))</formula>
    </cfRule>
  </conditionalFormatting>
  <conditionalFormatting sqref="F5">
    <cfRule type="expression" dxfId="226" priority="1">
      <formula>AND(ISNUMBER(F5),ROUND(F5,2)=INT(ROUND(F5,2)))</formula>
    </cfRule>
    <cfRule type="expression" dxfId="227" priority="2">
      <formula>AND(ISNUMBER(F5),ROUND(F5,2)&lt;&gt;INT(ROUND(F5,2)))</formula>
    </cfRule>
  </conditionalFormatting>
  <conditionalFormatting sqref="E6">
    <cfRule type="expression" dxfId="228" priority="1">
      <formula>AND(ISNUMBER(E6),ROUND(E6,2)=INT(ROUND(E6,2)))</formula>
    </cfRule>
    <cfRule type="expression" dxfId="229" priority="2">
      <formula>AND(ISNUMBER(E6),ROUND(E6,2)&lt;&gt;INT(ROUND(E6,2)))</formula>
    </cfRule>
  </conditionalFormatting>
  <conditionalFormatting sqref="F6">
    <cfRule type="expression" dxfId="230" priority="1">
      <formula>AND(ISNUMBER(F6),ROUND(F6,2)=INT(ROUND(F6,2)))</formula>
    </cfRule>
    <cfRule type="expression" dxfId="231" priority="2">
      <formula>AND(ISNUMBER(F6),ROUND(F6,2)&lt;&gt;INT(ROUND(F6,2)))</formula>
    </cfRule>
  </conditionalFormatting>
  <conditionalFormatting sqref="E7">
    <cfRule type="expression" dxfId="232" priority="1">
      <formula>AND(ISNUMBER(E7),ROUND(E7,2)=INT(ROUND(E7,2)))</formula>
    </cfRule>
    <cfRule type="expression" dxfId="233" priority="2">
      <formula>AND(ISNUMBER(E7),ROUND(E7,2)&lt;&gt;INT(ROUND(E7,2)))</formula>
    </cfRule>
  </conditionalFormatting>
  <conditionalFormatting sqref="F7">
    <cfRule type="expression" dxfId="234" priority="1">
      <formula>AND(ISNUMBER(F7),ROUND(F7,2)=INT(ROUND(F7,2)))</formula>
    </cfRule>
    <cfRule type="expression" dxfId="235" priority="2">
      <formula>AND(ISNUMBER(F7),ROUND(F7,2)&lt;&gt;INT(ROUND(F7,2)))</formula>
    </cfRule>
  </conditionalFormatting>
  <conditionalFormatting sqref="E8">
    <cfRule type="expression" dxfId="236" priority="1">
      <formula>AND(ISNUMBER(E8),ROUND(E8,2)=INT(ROUND(E8,2)))</formula>
    </cfRule>
    <cfRule type="expression" dxfId="237" priority="2">
      <formula>AND(ISNUMBER(E8),ROUND(E8,2)&lt;&gt;INT(ROUND(E8,2)))</formula>
    </cfRule>
  </conditionalFormatting>
  <conditionalFormatting sqref="F8">
    <cfRule type="expression" dxfId="238" priority="1">
      <formula>AND(ISNUMBER(F8),ROUND(F8,2)=INT(ROUND(F8,2)))</formula>
    </cfRule>
    <cfRule type="expression" dxfId="239" priority="2">
      <formula>AND(ISNUMBER(F8),ROUND(F8,2)&lt;&gt;INT(ROUND(F8,2)))</formula>
    </cfRule>
  </conditionalFormatting>
  <conditionalFormatting sqref="E9">
    <cfRule type="expression" dxfId="240" priority="1">
      <formula>AND(ISNUMBER(E9),ROUND(E9,2)=INT(ROUND(E9,2)))</formula>
    </cfRule>
    <cfRule type="expression" dxfId="241" priority="2">
      <formula>AND(ISNUMBER(E9),ROUND(E9,2)&lt;&gt;INT(ROUND(E9,2)))</formula>
    </cfRule>
  </conditionalFormatting>
  <conditionalFormatting sqref="F9">
    <cfRule type="expression" dxfId="242" priority="1">
      <formula>AND(ISNUMBER(F9),ROUND(F9,2)=INT(ROUND(F9,2)))</formula>
    </cfRule>
    <cfRule type="expression" dxfId="243" priority="2">
      <formula>AND(ISNUMBER(F9),ROUND(F9,2)&lt;&gt;INT(ROUND(F9,2)))</formula>
    </cfRule>
  </conditionalFormatting>
  <conditionalFormatting sqref="E13">
    <cfRule type="expression" dxfId="244" priority="1">
      <formula>AND(ISNUMBER(E13),ROUND(E13,2)=INT(ROUND(E13,2)))</formula>
    </cfRule>
    <cfRule type="expression" dxfId="245" priority="2">
      <formula>AND(ISNUMBER(E13),ROUND(E13,2)&lt;&gt;INT(ROUND(E13,2)))</formula>
    </cfRule>
  </conditionalFormatting>
  <conditionalFormatting sqref="F13">
    <cfRule type="expression" dxfId="246" priority="1">
      <formula>AND(ISNUMBER(F13),ROUND(F13,2)=INT(ROUND(F13,2)))</formula>
    </cfRule>
    <cfRule type="expression" dxfId="247" priority="2">
      <formula>AND(ISNUMBER(F13),ROUND(F13,2)&lt;&gt;INT(ROUND(F13,2)))</formula>
    </cfRule>
  </conditionalFormatting>
  <conditionalFormatting sqref="E14">
    <cfRule type="expression" dxfId="248" priority="1">
      <formula>AND(ISNUMBER(E14),ROUND(E14,2)=INT(ROUND(E14,2)))</formula>
    </cfRule>
    <cfRule type="expression" dxfId="249" priority="2">
      <formula>AND(ISNUMBER(E14),ROUND(E14,2)&lt;&gt;INT(ROUND(E14,2)))</formula>
    </cfRule>
  </conditionalFormatting>
  <conditionalFormatting sqref="F14">
    <cfRule type="expression" dxfId="250" priority="1">
      <formula>AND(ISNUMBER(F14),ROUND(F14,2)=INT(ROUND(F14,2)))</formula>
    </cfRule>
    <cfRule type="expression" dxfId="251" priority="2">
      <formula>AND(ISNUMBER(F14),ROUND(F14,2)&lt;&gt;INT(ROUND(F14,2)))</formula>
    </cfRule>
  </conditionalFormatting>
  <conditionalFormatting sqref="E15">
    <cfRule type="expression" dxfId="252" priority="1">
      <formula>AND(ISNUMBER(E15),ROUND(E15,2)=INT(ROUND(E15,2)))</formula>
    </cfRule>
    <cfRule type="expression" dxfId="253" priority="2">
      <formula>AND(ISNUMBER(E15),ROUND(E15,2)&lt;&gt;INT(ROUND(E15,2)))</formula>
    </cfRule>
  </conditionalFormatting>
  <conditionalFormatting sqref="F15">
    <cfRule type="expression" dxfId="254" priority="1">
      <formula>AND(ISNUMBER(F15),ROUND(F15,2)=INT(ROUND(F15,2)))</formula>
    </cfRule>
    <cfRule type="expression" dxfId="255" priority="2">
      <formula>AND(ISNUMBER(F15),ROUND(F15,2)&lt;&gt;INT(ROUND(F15,2)))</formula>
    </cfRule>
  </conditionalFormatting>
  <conditionalFormatting sqref="E17">
    <cfRule type="expression" dxfId="256" priority="1">
      <formula>AND(ISNUMBER(E17),ROUND(E17,2)=INT(ROUND(E17,2)))</formula>
    </cfRule>
    <cfRule type="expression" dxfId="257" priority="2">
      <formula>AND(ISNUMBER(E17),ROUND(E17,2)&lt;&gt;INT(ROUND(E17,2)))</formula>
    </cfRule>
  </conditionalFormatting>
  <conditionalFormatting sqref="F17">
    <cfRule type="expression" dxfId="258" priority="1">
      <formula>AND(ISNUMBER(F17),ROUND(F17,2)=INT(ROUND(F17,2)))</formula>
    </cfRule>
    <cfRule type="expression" dxfId="259" priority="2">
      <formula>AND(ISNUMBER(F17),ROUND(F17,2)&lt;&gt;INT(ROUND(F17,2)))</formula>
    </cfRule>
  </conditionalFormatting>
  <conditionalFormatting sqref="E18">
    <cfRule type="expression" dxfId="260" priority="1">
      <formula>AND(ISNUMBER(E18),ROUND(E18,2)=INT(ROUND(E18,2)))</formula>
    </cfRule>
    <cfRule type="expression" dxfId="261" priority="2">
      <formula>AND(ISNUMBER(E18),ROUND(E18,2)&lt;&gt;INT(ROUND(E18,2)))</formula>
    </cfRule>
  </conditionalFormatting>
  <conditionalFormatting sqref="F18">
    <cfRule type="expression" dxfId="262" priority="1">
      <formula>AND(ISNUMBER(F18),ROUND(F18,2)=INT(ROUND(F18,2)))</formula>
    </cfRule>
    <cfRule type="expression" dxfId="263" priority="2">
      <formula>AND(ISNUMBER(F18),ROUND(F18,2)&lt;&gt;INT(ROUND(F18,2)))</formula>
    </cfRule>
  </conditionalFormatting>
  <conditionalFormatting sqref="E19">
    <cfRule type="expression" dxfId="264" priority="1">
      <formula>AND(ISNUMBER(E19),ROUND(E19,2)=INT(ROUND(E19,2)))</formula>
    </cfRule>
    <cfRule type="expression" dxfId="265" priority="2">
      <formula>AND(ISNUMBER(E19),ROUND(E19,2)&lt;&gt;INT(ROUND(E19,2)))</formula>
    </cfRule>
  </conditionalFormatting>
  <conditionalFormatting sqref="F19">
    <cfRule type="expression" dxfId="266" priority="1">
      <formula>AND(ISNUMBER(F19),ROUND(F19,2)=INT(ROUND(F19,2)))</formula>
    </cfRule>
    <cfRule type="expression" dxfId="267" priority="2">
      <formula>AND(ISNUMBER(F19),ROUND(F19,2)&lt;&gt;INT(ROUND(F19,2)))</formula>
    </cfRule>
  </conditionalFormatting>
  <conditionalFormatting sqref="F21">
    <cfRule type="expression" dxfId="268" priority="1">
      <formula>AND(ISNUMBER(F21),ROUND(F21,2)=INT(ROUND(F21,2)))</formula>
    </cfRule>
    <cfRule type="expression" dxfId="269" priority="2">
      <formula>AND(ISNUMBER(F21),ROUND(F21,2)&lt;&gt;INT(ROUND(F21,2)))</formula>
    </cfRule>
  </conditionalFormatting>
  <dataValidations count="15">
    <dataValidation type="decimal" operator="greaterThanOrEqual" allowBlank="1" showErrorMessage="1" error="יש להזין מספר לא שלילי" sqref="D13:D15">
      <formula1>0</formula1>
    </dataValidation>
    <dataValidation type="decimal" operator="greaterThanOrEqual" allowBlank="1" showErrorMessage="1" error="יש להזין מספר לא שלילי" sqref="D17:D19">
      <formula1>0</formula1>
    </dataValidation>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14">
      <formula1>OR(ISBLANK(E14),AND(ISNUMBER(E14),E14&gt;=0),E14="כלול",E14="לא רלוונטי")</formula1>
    </dataValidation>
    <dataValidation type="custom" allowBlank="1" showErrorMessage="1" error="מספר לא שלילי, כלול או לא רלוונטי בלבד" sqref="E15">
      <formula1>OR(ISBLANK(E15),AND(ISNUMBER(E15),E15&gt;=0),E15="כלול",E15="לא רלוונטי")</formula1>
    </dataValidation>
    <dataValidation type="custom" allowBlank="1" showErrorMessage="1" error="מספר לא שלילי, כלול או לא רלוונטי בלבד" sqref="E17">
      <formula1>OR(ISBLANK(E17),AND(ISNUMBER(E17),E17&gt;=0),E17="כלול",E17="לא רלוונטי")</formula1>
    </dataValidation>
    <dataValidation type="custom" allowBlank="1" showErrorMessage="1" error="מספר לא שלילי, כלול או לא רלוונטי בלבד" sqref="E18">
      <formula1>OR(ISBLANK(E18),AND(ISNUMBER(E18),E18&gt;=0),E18="כלול",E18="לא רלוונטי")</formula1>
    </dataValidation>
    <dataValidation type="custom" allowBlank="1" showErrorMessage="1" error="מספר לא שלילי, כלול או לא רלוונטי בלבד" sqref="E19">
      <formula1>OR(ISBLANK(E19),AND(ISNUMBER(E19),E19&gt;=0),E19="כלול",E19="לא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5" useFirstPageNumber="1"/>
  <headerFooter>
    <oddFooter>&amp;Cעמוד &amp;P</oddFooter>
  </headerFooter>
  <rowBreaks count="1" manualBreakCount="1">
    <brk id="10" max="1683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12</v>
      </c>
      <c r="B1" s="12" t="s">
        <v>20</v>
      </c>
      <c r="C1" s="3"/>
      <c r="D1" s="3"/>
      <c r="E1" s="3"/>
      <c r="F1" s="3"/>
      <c r="G1" s="1" t="s">
        <v>74</v>
      </c>
      <c r="H1" s="1" t="s">
        <v>96</v>
      </c>
    </row>
    <row r="2" ht="32" customHeight="1" spans="1:8" x14ac:dyDescent="0.25">
      <c r="A2" s="19" t="s">
        <v>97</v>
      </c>
      <c r="B2" s="20" t="s">
        <v>98</v>
      </c>
      <c r="C2" s="19" t="s">
        <v>99</v>
      </c>
      <c r="D2" s="19" t="s">
        <v>100</v>
      </c>
      <c r="E2" s="19" t="s">
        <v>101</v>
      </c>
      <c r="F2" s="19" t="s">
        <v>102</v>
      </c>
      <c r="G2" s="1"/>
      <c r="H2" s="1" t="s">
        <v>103</v>
      </c>
    </row>
    <row r="3" ht="116.39999999999999" customHeight="1" spans="1:8" x14ac:dyDescent="0.25">
      <c r="A3" s="21"/>
      <c r="B3" s="22" t="s">
        <v>336</v>
      </c>
      <c r="C3" s="21"/>
      <c r="D3" s="21"/>
      <c r="E3" s="21"/>
      <c r="F3" s="21"/>
      <c r="G3" s="4" t="s">
        <v>337</v>
      </c>
      <c r="H3" s="4" t="s">
        <v>106</v>
      </c>
    </row>
    <row r="4" ht="81.6" customHeight="1" spans="1:8" x14ac:dyDescent="0.25">
      <c r="A4" s="21" t="s">
        <v>338</v>
      </c>
      <c r="B4" s="22" t="s">
        <v>339</v>
      </c>
      <c r="C4" s="21" t="s">
        <v>147</v>
      </c>
      <c r="D4" s="21"/>
      <c r="E4" s="23"/>
      <c r="F4" s="23" t="str">
        <f>IF(ISBLANK(D4),"",IF(NOT(ISNUMBER(D4)),"קלט לא תקין",IF(D4&lt;0,"קלט לא תקין",IF(ISBLANK(E4),"",IF(OR(E4="כלול",E4="לא רלוונטי"),0,IF(NOT(ISNUMBER(E4)),"קלט לא תקין",IF(E4&lt;0,"קלט לא תקין",ROUND(D4*E4,2))))))))</f>
        <v/>
      </c>
      <c r="G4" s="4" t="s">
        <v>340</v>
      </c>
      <c r="H4" s="4" t="s">
        <v>111</v>
      </c>
    </row>
    <row r="5" ht="81.6" customHeight="1" spans="1:8" x14ac:dyDescent="0.25">
      <c r="A5" s="21" t="s">
        <v>341</v>
      </c>
      <c r="B5" s="22" t="s">
        <v>342</v>
      </c>
      <c r="C5" s="21" t="s">
        <v>130</v>
      </c>
      <c r="D5" s="21"/>
      <c r="E5" s="23"/>
      <c r="F5" s="23" t="str">
        <f>IF(ISBLANK(D5),"",IF(NOT(ISNUMBER(D5)),"קלט לא תקין",IF(D5&lt;0,"קלט לא תקין",IF(ISBLANK(E5),"",IF(OR(E5="כלול",E5="לא רלוונטי"),0,IF(NOT(ISNUMBER(E5)),"קלט לא תקין",IF(E5&lt;0,"קלט לא תקין",ROUND(D5*E5,2))))))))</f>
        <v/>
      </c>
      <c r="G5" s="4" t="s">
        <v>343</v>
      </c>
      <c r="H5" s="4" t="s">
        <v>111</v>
      </c>
    </row>
    <row r="6" ht="64.19999999999999" customHeight="1" spans="1:8" x14ac:dyDescent="0.25">
      <c r="A6" s="21" t="s">
        <v>344</v>
      </c>
      <c r="B6" s="22" t="s">
        <v>345</v>
      </c>
      <c r="C6" s="21" t="s">
        <v>130</v>
      </c>
      <c r="D6" s="21"/>
      <c r="E6" s="23"/>
      <c r="F6" s="23" t="str">
        <f>IF(ISBLANK(D6),"",IF(NOT(ISNUMBER(D6)),"קלט לא תקין",IF(D6&lt;0,"קלט לא תקין",IF(ISBLANK(E6),"",IF(OR(E6="כלול",E6="לא רלוונטי"),0,IF(NOT(ISNUMBER(E6)),"קלט לא תקין",IF(E6&lt;0,"קלט לא תקין",ROUND(D6*E6,2))))))))</f>
        <v/>
      </c>
      <c r="G6" s="4" t="s">
        <v>346</v>
      </c>
      <c r="H6" s="4" t="s">
        <v>111</v>
      </c>
    </row>
    <row r="7" ht="64.19999999999999" customHeight="1" spans="1:8" x14ac:dyDescent="0.25">
      <c r="A7" s="21" t="s">
        <v>347</v>
      </c>
      <c r="B7" s="22" t="s">
        <v>348</v>
      </c>
      <c r="C7" s="21" t="s">
        <v>109</v>
      </c>
      <c r="D7" s="21"/>
      <c r="E7" s="23"/>
      <c r="F7" s="23" t="str">
        <f>IF(ISBLANK(D7),"",IF(NOT(ISNUMBER(D7)),"קלט לא תקין",IF(D7&lt;0,"קלט לא תקין",IF(ISBLANK(E7),"",IF(OR(E7="כלול",E7="לא רלוונטי"),0,IF(NOT(ISNUMBER(E7)),"קלט לא תקין",IF(E7&lt;0,"קלט לא תקין",ROUND(D7*E7,2))))))))</f>
        <v/>
      </c>
      <c r="G7" s="4" t="s">
        <v>349</v>
      </c>
      <c r="H7" s="4" t="s">
        <v>111</v>
      </c>
    </row>
    <row r="8" ht="64.19999999999999" customHeight="1" spans="1:8" x14ac:dyDescent="0.25">
      <c r="A8" s="21" t="s">
        <v>350</v>
      </c>
      <c r="B8" s="22" t="s">
        <v>351</v>
      </c>
      <c r="C8" s="21" t="s">
        <v>147</v>
      </c>
      <c r="D8" s="21"/>
      <c r="E8" s="23"/>
      <c r="F8" s="23" t="str">
        <f>IF(ISBLANK(D8),"",IF(NOT(ISNUMBER(D8)),"קלט לא תקין",IF(D8&lt;0,"קלט לא תקין",IF(ISBLANK(E8),"",IF(OR(E8="כלול",E8="לא רלוונטי"),0,IF(NOT(ISNUMBER(E8)),"קלט לא תקין",IF(E8&lt;0,"קלט לא תקין",ROUND(D8*E8,2))))))))</f>
        <v/>
      </c>
      <c r="G8" s="4" t="s">
        <v>352</v>
      </c>
      <c r="H8" s="4" t="s">
        <v>111</v>
      </c>
    </row>
    <row r="9" ht="81.6" customHeight="1" spans="1:8" x14ac:dyDescent="0.25">
      <c r="A9" s="21" t="s">
        <v>353</v>
      </c>
      <c r="B9" s="22" t="s">
        <v>354</v>
      </c>
      <c r="C9" s="21" t="s">
        <v>147</v>
      </c>
      <c r="D9" s="21"/>
      <c r="E9" s="23"/>
      <c r="F9" s="23" t="str">
        <f>IF(ISBLANK(D9),"",IF(NOT(ISNUMBER(D9)),"קלט לא תקין",IF(D9&lt;0,"קלט לא תקין",IF(ISBLANK(E9),"",IF(OR(E9="כלול",E9="לא רלוונטי"),0,IF(NOT(ISNUMBER(E9)),"קלט לא תקין",IF(E9&lt;0,"קלט לא תקין",ROUND(D9*E9,2))))))))</f>
        <v/>
      </c>
      <c r="G9" s="4" t="s">
        <v>355</v>
      </c>
      <c r="H9" s="4" t="s">
        <v>111</v>
      </c>
    </row>
    <row r="10" ht="102.20000000000005" customHeight="1" spans="1:8" x14ac:dyDescent="0.25">
      <c r="A10" s="25"/>
      <c r="B10" s="26"/>
      <c r="C10" s="25"/>
      <c r="D10" s="25"/>
      <c r="E10" s="25"/>
      <c r="F10" s="25"/>
      <c r="G10" s="4"/>
      <c r="H10" s="4" t="s">
        <v>4</v>
      </c>
    </row>
    <row r="11" ht="32" customHeight="1" spans="1:8" x14ac:dyDescent="0.25">
      <c r="A11" s="27">
        <v>12</v>
      </c>
      <c r="B11" s="12" t="s">
        <v>356</v>
      </c>
      <c r="C11" s="3"/>
      <c r="D11" s="3"/>
      <c r="E11" s="3"/>
      <c r="F11" s="3"/>
      <c r="G11" s="4"/>
      <c r="H11" s="4" t="s">
        <v>259</v>
      </c>
    </row>
    <row r="12" ht="32" customHeight="1" spans="1:8" x14ac:dyDescent="0.25">
      <c r="A12" s="19" t="s">
        <v>97</v>
      </c>
      <c r="B12" s="20" t="s">
        <v>98</v>
      </c>
      <c r="C12" s="19" t="s">
        <v>99</v>
      </c>
      <c r="D12" s="19" t="s">
        <v>100</v>
      </c>
      <c r="E12" s="19" t="s">
        <v>101</v>
      </c>
      <c r="F12" s="19" t="s">
        <v>102</v>
      </c>
      <c r="G12" s="4"/>
      <c r="H12" s="4" t="s">
        <v>103</v>
      </c>
    </row>
    <row r="13" ht="81.6" customHeight="1" spans="1:8" x14ac:dyDescent="0.25">
      <c r="A13" s="21" t="s">
        <v>357</v>
      </c>
      <c r="B13" s="22" t="s">
        <v>358</v>
      </c>
      <c r="C13" s="21" t="s">
        <v>130</v>
      </c>
      <c r="D13" s="21"/>
      <c r="E13" s="23"/>
      <c r="F13" s="23" t="str">
        <f>IF(ISBLANK(D13),"",IF(NOT(ISNUMBER(D13)),"קלט לא תקין",IF(D13&lt;0,"קלט לא תקין",IF(ISBLANK(E13),"",IF(OR(E13="כלול",E13="לא רלוונטי"),0,IF(NOT(ISNUMBER(E13)),"קלט לא תקין",IF(E13&lt;0,"קלט לא תקין",ROUND(D13*E13,2))))))))</f>
        <v/>
      </c>
      <c r="G13" s="4" t="s">
        <v>359</v>
      </c>
      <c r="H13" s="4" t="s">
        <v>111</v>
      </c>
    </row>
    <row r="14" ht="64.19999999999999" customHeight="1" spans="1:8" x14ac:dyDescent="0.25">
      <c r="A14" s="21" t="s">
        <v>360</v>
      </c>
      <c r="B14" s="22" t="s">
        <v>361</v>
      </c>
      <c r="C14" s="21" t="s">
        <v>130</v>
      </c>
      <c r="D14" s="21"/>
      <c r="E14" s="23"/>
      <c r="F14" s="23" t="str">
        <f>IF(ISBLANK(D14),"",IF(NOT(ISNUMBER(D14)),"קלט לא תקין",IF(D14&lt;0,"קלט לא תקין",IF(ISBLANK(E14),"",IF(OR(E14="כלול",E14="לא רלוונטי"),0,IF(NOT(ISNUMBER(E14)),"קלט לא תקין",IF(E14&lt;0,"קלט לא תקין",ROUND(D14*E14,2))))))))</f>
        <v/>
      </c>
      <c r="G14" s="4" t="s">
        <v>362</v>
      </c>
      <c r="H14" s="4" t="s">
        <v>111</v>
      </c>
    </row>
    <row r="15" ht="64.19999999999999" customHeight="1" spans="1:8" x14ac:dyDescent="0.25">
      <c r="A15" s="21" t="s">
        <v>363</v>
      </c>
      <c r="B15" s="22" t="s">
        <v>364</v>
      </c>
      <c r="C15" s="21" t="s">
        <v>109</v>
      </c>
      <c r="D15" s="21"/>
      <c r="E15" s="23"/>
      <c r="F15" s="23" t="str">
        <f>IF(ISBLANK(D15),"",IF(NOT(ISNUMBER(D15)),"קלט לא תקין",IF(D15&lt;0,"קלט לא תקין",IF(ISBLANK(E15),"",IF(OR(E15="כלול",E15="לא רלוונטי"),0,IF(NOT(ISNUMBER(E15)),"קלט לא תקין",IF(E15&lt;0,"קלט לא תקין",ROUND(D15*E15,2))))))))</f>
        <v/>
      </c>
      <c r="G15" s="4" t="s">
        <v>365</v>
      </c>
      <c r="H15" s="4" t="s">
        <v>111</v>
      </c>
    </row>
    <row r="16" ht="64.19999999999999" customHeight="1" spans="1:8" x14ac:dyDescent="0.25">
      <c r="A16" s="21" t="s">
        <v>366</v>
      </c>
      <c r="B16" s="22" t="s">
        <v>367</v>
      </c>
      <c r="C16" s="21" t="s">
        <v>147</v>
      </c>
      <c r="D16" s="21"/>
      <c r="E16" s="23"/>
      <c r="F16" s="23" t="str">
        <f>IF(ISBLANK(D16),"",IF(NOT(ISNUMBER(D16)),"קלט לא תקין",IF(D16&lt;0,"קלט לא תקין",IF(ISBLANK(E16),"",IF(OR(E16="כלול",E16="לא רלוונטי"),0,IF(NOT(ISNUMBER(E16)),"קלט לא תקין",IF(E16&lt;0,"קלט לא תקין",ROUND(D16*E16,2))))))))</f>
        <v/>
      </c>
      <c r="G16" s="4" t="s">
        <v>368</v>
      </c>
      <c r="H16" s="4" t="s">
        <v>111</v>
      </c>
    </row>
    <row r="17" ht="349.80000000000007" customHeight="1" spans="1:8" x14ac:dyDescent="0.25">
      <c r="A17" s="21"/>
      <c r="B17" s="22"/>
      <c r="C17" s="21"/>
      <c r="D17" s="21"/>
      <c r="E17" s="21"/>
      <c r="F17" s="21"/>
      <c r="G17" s="4"/>
      <c r="H17" s="4" t="s">
        <v>4</v>
      </c>
    </row>
    <row r="18" ht="32" customHeight="1" spans="1:8" x14ac:dyDescent="0.25">
      <c r="A18" s="14"/>
      <c r="B18" s="15" t="s">
        <v>369</v>
      </c>
      <c r="C18" s="16"/>
      <c r="D18" s="16"/>
      <c r="E18" s="16"/>
      <c r="F18" s="24">
        <f>SUM(F4,F5,F6,F7,F8,F9,F13,F14,F15,F16)</f>
        <v>0</v>
      </c>
      <c r="G18" s="4"/>
      <c r="H18" s="4" t="s">
        <v>136</v>
      </c>
    </row>
  </sheetData>
  <mergeCells count="3">
    <mergeCell ref="B1:F1"/>
    <mergeCell ref="B11:F11"/>
    <mergeCell ref="B18:E18"/>
  </mergeCells>
  <conditionalFormatting sqref="E4">
    <cfRule type="expression" dxfId="270" priority="1">
      <formula>AND(ISNUMBER(E4),ROUND(E4,2)=INT(ROUND(E4,2)))</formula>
    </cfRule>
    <cfRule type="expression" dxfId="271" priority="2">
      <formula>AND(ISNUMBER(E4),ROUND(E4,2)&lt;&gt;INT(ROUND(E4,2)))</formula>
    </cfRule>
  </conditionalFormatting>
  <conditionalFormatting sqref="F4">
    <cfRule type="expression" dxfId="272" priority="1">
      <formula>AND(ISNUMBER(F4),ROUND(F4,2)=INT(ROUND(F4,2)))</formula>
    </cfRule>
    <cfRule type="expression" dxfId="273" priority="2">
      <formula>AND(ISNUMBER(F4),ROUND(F4,2)&lt;&gt;INT(ROUND(F4,2)))</formula>
    </cfRule>
  </conditionalFormatting>
  <conditionalFormatting sqref="E5">
    <cfRule type="expression" dxfId="274" priority="1">
      <formula>AND(ISNUMBER(E5),ROUND(E5,2)=INT(ROUND(E5,2)))</formula>
    </cfRule>
    <cfRule type="expression" dxfId="275" priority="2">
      <formula>AND(ISNUMBER(E5),ROUND(E5,2)&lt;&gt;INT(ROUND(E5,2)))</formula>
    </cfRule>
  </conditionalFormatting>
  <conditionalFormatting sqref="F5">
    <cfRule type="expression" dxfId="276" priority="1">
      <formula>AND(ISNUMBER(F5),ROUND(F5,2)=INT(ROUND(F5,2)))</formula>
    </cfRule>
    <cfRule type="expression" dxfId="277" priority="2">
      <formula>AND(ISNUMBER(F5),ROUND(F5,2)&lt;&gt;INT(ROUND(F5,2)))</formula>
    </cfRule>
  </conditionalFormatting>
  <conditionalFormatting sqref="E6">
    <cfRule type="expression" dxfId="278" priority="1">
      <formula>AND(ISNUMBER(E6),ROUND(E6,2)=INT(ROUND(E6,2)))</formula>
    </cfRule>
    <cfRule type="expression" dxfId="279" priority="2">
      <formula>AND(ISNUMBER(E6),ROUND(E6,2)&lt;&gt;INT(ROUND(E6,2)))</formula>
    </cfRule>
  </conditionalFormatting>
  <conditionalFormatting sqref="F6">
    <cfRule type="expression" dxfId="280" priority="1">
      <formula>AND(ISNUMBER(F6),ROUND(F6,2)=INT(ROUND(F6,2)))</formula>
    </cfRule>
    <cfRule type="expression" dxfId="281" priority="2">
      <formula>AND(ISNUMBER(F6),ROUND(F6,2)&lt;&gt;INT(ROUND(F6,2)))</formula>
    </cfRule>
  </conditionalFormatting>
  <conditionalFormatting sqref="E7">
    <cfRule type="expression" dxfId="282" priority="1">
      <formula>AND(ISNUMBER(E7),ROUND(E7,2)=INT(ROUND(E7,2)))</formula>
    </cfRule>
    <cfRule type="expression" dxfId="283" priority="2">
      <formula>AND(ISNUMBER(E7),ROUND(E7,2)&lt;&gt;INT(ROUND(E7,2)))</formula>
    </cfRule>
  </conditionalFormatting>
  <conditionalFormatting sqref="F7">
    <cfRule type="expression" dxfId="284" priority="1">
      <formula>AND(ISNUMBER(F7),ROUND(F7,2)=INT(ROUND(F7,2)))</formula>
    </cfRule>
    <cfRule type="expression" dxfId="285" priority="2">
      <formula>AND(ISNUMBER(F7),ROUND(F7,2)&lt;&gt;INT(ROUND(F7,2)))</formula>
    </cfRule>
  </conditionalFormatting>
  <conditionalFormatting sqref="E8">
    <cfRule type="expression" dxfId="286" priority="1">
      <formula>AND(ISNUMBER(E8),ROUND(E8,2)=INT(ROUND(E8,2)))</formula>
    </cfRule>
    <cfRule type="expression" dxfId="287" priority="2">
      <formula>AND(ISNUMBER(E8),ROUND(E8,2)&lt;&gt;INT(ROUND(E8,2)))</formula>
    </cfRule>
  </conditionalFormatting>
  <conditionalFormatting sqref="F8">
    <cfRule type="expression" dxfId="288" priority="1">
      <formula>AND(ISNUMBER(F8),ROUND(F8,2)=INT(ROUND(F8,2)))</formula>
    </cfRule>
    <cfRule type="expression" dxfId="289" priority="2">
      <formula>AND(ISNUMBER(F8),ROUND(F8,2)&lt;&gt;INT(ROUND(F8,2)))</formula>
    </cfRule>
  </conditionalFormatting>
  <conditionalFormatting sqref="E9">
    <cfRule type="expression" dxfId="290" priority="1">
      <formula>AND(ISNUMBER(E9),ROUND(E9,2)=INT(ROUND(E9,2)))</formula>
    </cfRule>
    <cfRule type="expression" dxfId="291" priority="2">
      <formula>AND(ISNUMBER(E9),ROUND(E9,2)&lt;&gt;INT(ROUND(E9,2)))</formula>
    </cfRule>
  </conditionalFormatting>
  <conditionalFormatting sqref="F9">
    <cfRule type="expression" dxfId="292" priority="1">
      <formula>AND(ISNUMBER(F9),ROUND(F9,2)=INT(ROUND(F9,2)))</formula>
    </cfRule>
    <cfRule type="expression" dxfId="293" priority="2">
      <formula>AND(ISNUMBER(F9),ROUND(F9,2)&lt;&gt;INT(ROUND(F9,2)))</formula>
    </cfRule>
  </conditionalFormatting>
  <conditionalFormatting sqref="E13">
    <cfRule type="expression" dxfId="294" priority="1">
      <formula>AND(ISNUMBER(E13),ROUND(E13,2)=INT(ROUND(E13,2)))</formula>
    </cfRule>
    <cfRule type="expression" dxfId="295" priority="2">
      <formula>AND(ISNUMBER(E13),ROUND(E13,2)&lt;&gt;INT(ROUND(E13,2)))</formula>
    </cfRule>
  </conditionalFormatting>
  <conditionalFormatting sqref="F13">
    <cfRule type="expression" dxfId="296" priority="1">
      <formula>AND(ISNUMBER(F13),ROUND(F13,2)=INT(ROUND(F13,2)))</formula>
    </cfRule>
    <cfRule type="expression" dxfId="297" priority="2">
      <formula>AND(ISNUMBER(F13),ROUND(F13,2)&lt;&gt;INT(ROUND(F13,2)))</formula>
    </cfRule>
  </conditionalFormatting>
  <conditionalFormatting sqref="E14">
    <cfRule type="expression" dxfId="298" priority="1">
      <formula>AND(ISNUMBER(E14),ROUND(E14,2)=INT(ROUND(E14,2)))</formula>
    </cfRule>
    <cfRule type="expression" dxfId="299" priority="2">
      <formula>AND(ISNUMBER(E14),ROUND(E14,2)&lt;&gt;INT(ROUND(E14,2)))</formula>
    </cfRule>
  </conditionalFormatting>
  <conditionalFormatting sqref="F14">
    <cfRule type="expression" dxfId="300" priority="1">
      <formula>AND(ISNUMBER(F14),ROUND(F14,2)=INT(ROUND(F14,2)))</formula>
    </cfRule>
    <cfRule type="expression" dxfId="301" priority="2">
      <formula>AND(ISNUMBER(F14),ROUND(F14,2)&lt;&gt;INT(ROUND(F14,2)))</formula>
    </cfRule>
  </conditionalFormatting>
  <conditionalFormatting sqref="E15">
    <cfRule type="expression" dxfId="302" priority="1">
      <formula>AND(ISNUMBER(E15),ROUND(E15,2)=INT(ROUND(E15,2)))</formula>
    </cfRule>
    <cfRule type="expression" dxfId="303" priority="2">
      <formula>AND(ISNUMBER(E15),ROUND(E15,2)&lt;&gt;INT(ROUND(E15,2)))</formula>
    </cfRule>
  </conditionalFormatting>
  <conditionalFormatting sqref="F15">
    <cfRule type="expression" dxfId="304" priority="1">
      <formula>AND(ISNUMBER(F15),ROUND(F15,2)=INT(ROUND(F15,2)))</formula>
    </cfRule>
    <cfRule type="expression" dxfId="305" priority="2">
      <formula>AND(ISNUMBER(F15),ROUND(F15,2)&lt;&gt;INT(ROUND(F15,2)))</formula>
    </cfRule>
  </conditionalFormatting>
  <conditionalFormatting sqref="E16">
    <cfRule type="expression" dxfId="306" priority="1">
      <formula>AND(ISNUMBER(E16),ROUND(E16,2)=INT(ROUND(E16,2)))</formula>
    </cfRule>
    <cfRule type="expression" dxfId="307" priority="2">
      <formula>AND(ISNUMBER(E16),ROUND(E16,2)&lt;&gt;INT(ROUND(E16,2)))</formula>
    </cfRule>
  </conditionalFormatting>
  <conditionalFormatting sqref="F16">
    <cfRule type="expression" dxfId="308" priority="1">
      <formula>AND(ISNUMBER(F16),ROUND(F16,2)=INT(ROUND(F16,2)))</formula>
    </cfRule>
    <cfRule type="expression" dxfId="309" priority="2">
      <formula>AND(ISNUMBER(F16),ROUND(F16,2)&lt;&gt;INT(ROUND(F16,2)))</formula>
    </cfRule>
  </conditionalFormatting>
  <conditionalFormatting sqref="F18">
    <cfRule type="expression" dxfId="310" priority="1">
      <formula>AND(ISNUMBER(F18),ROUND(F18,2)=INT(ROUND(F18,2)))</formula>
    </cfRule>
    <cfRule type="expression" dxfId="311" priority="2">
      <formula>AND(ISNUMBER(F18),ROUND(F18,2)&lt;&gt;INT(ROUND(F18,2)))</formula>
    </cfRule>
  </conditionalFormatting>
  <dataValidations count="12">
    <dataValidation type="decimal" operator="greaterThanOrEqual" allowBlank="1" showErrorMessage="1" error="יש להזין מספר לא שלילי" sqref="D13:D16">
      <formula1>0</formula1>
    </dataValidation>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14">
      <formula1>OR(ISBLANK(E14),AND(ISNUMBER(E14),E14&gt;=0),E14="כלול",E14="לא רלוונטי")</formula1>
    </dataValidation>
    <dataValidation type="custom" allowBlank="1" showErrorMessage="1" error="מספר לא שלילי, כלול או לא רלוונטי בלבד" sqref="E15">
      <formula1>OR(ISBLANK(E15),AND(ISNUMBER(E15),E15&gt;=0),E15="כלול",E15="לא רלוונטי")</formula1>
    </dataValidation>
    <dataValidation type="custom" allowBlank="1" showErrorMessage="1" error="מספר לא שלילי, כלול או לא רלוונטי בלבד" sqref="E16">
      <formula1>OR(ISBLANK(E16),AND(ISNUMBER(E16),E16&gt;=0),E16="כלול",E16="לא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7" useFirstPageNumber="1"/>
  <headerFooter>
    <oddFooter>&amp;Cעמוד &amp;P</oddFooter>
  </headerFooter>
  <rowBreaks count="1" manualBreakCount="1">
    <brk id="10" max="1683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13</v>
      </c>
      <c r="B1" s="12" t="s">
        <v>21</v>
      </c>
      <c r="C1" s="3"/>
      <c r="D1" s="3"/>
      <c r="E1" s="3"/>
      <c r="F1" s="3"/>
      <c r="G1" s="1" t="s">
        <v>76</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370</v>
      </c>
      <c r="C3" s="21"/>
      <c r="D3" s="21"/>
      <c r="E3" s="21"/>
      <c r="F3" s="21"/>
      <c r="G3" s="4" t="s">
        <v>371</v>
      </c>
      <c r="H3" s="4" t="s">
        <v>106</v>
      </c>
    </row>
    <row r="4" ht="64.19999999999999" customHeight="1" spans="1:8" x14ac:dyDescent="0.25">
      <c r="A4" s="21" t="s">
        <v>372</v>
      </c>
      <c r="B4" s="22" t="s">
        <v>373</v>
      </c>
      <c r="C4" s="21" t="s">
        <v>130</v>
      </c>
      <c r="D4" s="21"/>
      <c r="E4" s="23"/>
      <c r="F4" s="23" t="str">
        <f>IF(ISBLANK(D4),"",IF(NOT(ISNUMBER(D4)),"קלט לא תקין",IF(D4&lt;0,"קלט לא תקין",IF(ISBLANK(E4),"",IF(OR(E4="כלול",E4="לא רלוונטי"),0,IF(NOT(ISNUMBER(E4)),"קלט לא תקין",IF(E4&lt;0,"קלט לא תקין",ROUND(D4*E4,2))))))))</f>
        <v/>
      </c>
      <c r="G4" s="4" t="s">
        <v>374</v>
      </c>
      <c r="H4" s="4" t="s">
        <v>111</v>
      </c>
    </row>
    <row r="5" ht="64.19999999999999" customHeight="1" spans="1:8" x14ac:dyDescent="0.25">
      <c r="A5" s="21" t="s">
        <v>375</v>
      </c>
      <c r="B5" s="22" t="s">
        <v>376</v>
      </c>
      <c r="C5" s="21" t="s">
        <v>130</v>
      </c>
      <c r="D5" s="21"/>
      <c r="E5" s="23"/>
      <c r="F5" s="23" t="str">
        <f>IF(ISBLANK(D5),"",IF(NOT(ISNUMBER(D5)),"קלט לא תקין",IF(D5&lt;0,"קלט לא תקין",IF(ISBLANK(E5),"",IF(OR(E5="כלול",E5="לא רלוונטי"),0,IF(NOT(ISNUMBER(E5)),"קלט לא תקין",IF(E5&lt;0,"קלט לא תקין",ROUND(D5*E5,2))))))))</f>
        <v/>
      </c>
      <c r="G5" s="4" t="s">
        <v>377</v>
      </c>
      <c r="H5" s="4" t="s">
        <v>111</v>
      </c>
    </row>
    <row r="6" ht="64.19999999999999" customHeight="1" spans="1:8" x14ac:dyDescent="0.25">
      <c r="A6" s="21" t="s">
        <v>378</v>
      </c>
      <c r="B6" s="22" t="s">
        <v>379</v>
      </c>
      <c r="C6" s="21" t="s">
        <v>130</v>
      </c>
      <c r="D6" s="21"/>
      <c r="E6" s="23"/>
      <c r="F6" s="23" t="str">
        <f>IF(ISBLANK(D6),"",IF(NOT(ISNUMBER(D6)),"קלט לא תקין",IF(D6&lt;0,"קלט לא תקין",IF(ISBLANK(E6),"",IF(OR(E6="כלול",E6="לא רלוונטי"),0,IF(NOT(ISNUMBER(E6)),"קלט לא תקין",IF(E6&lt;0,"קלט לא תקין",ROUND(D6*E6,2))))))))</f>
        <v/>
      </c>
      <c r="G6" s="4" t="s">
        <v>380</v>
      </c>
      <c r="H6" s="4" t="s">
        <v>111</v>
      </c>
    </row>
    <row r="7" ht="367.20000000000005" customHeight="1" spans="1:8" x14ac:dyDescent="0.25">
      <c r="A7" s="21"/>
      <c r="B7" s="22"/>
      <c r="C7" s="21"/>
      <c r="D7" s="21"/>
      <c r="E7" s="21"/>
      <c r="F7" s="21"/>
      <c r="G7" s="4"/>
      <c r="H7" s="4" t="s">
        <v>4</v>
      </c>
    </row>
    <row r="8" ht="32" customHeight="1" spans="1:8" x14ac:dyDescent="0.25">
      <c r="A8" s="14"/>
      <c r="B8" s="15" t="s">
        <v>381</v>
      </c>
      <c r="C8" s="16"/>
      <c r="D8" s="16"/>
      <c r="E8" s="16"/>
      <c r="F8" s="24">
        <f>SUM(F4,F5,F6)</f>
        <v>0</v>
      </c>
      <c r="G8" s="4"/>
      <c r="H8" s="4" t="s">
        <v>136</v>
      </c>
    </row>
  </sheetData>
  <mergeCells count="2">
    <mergeCell ref="B1:F1"/>
    <mergeCell ref="B8:E8"/>
  </mergeCells>
  <conditionalFormatting sqref="E4">
    <cfRule type="expression" dxfId="312" priority="1">
      <formula>AND(ISNUMBER(E4),ROUND(E4,2)=INT(ROUND(E4,2)))</formula>
    </cfRule>
    <cfRule type="expression" dxfId="313" priority="2">
      <formula>AND(ISNUMBER(E4),ROUND(E4,2)&lt;&gt;INT(ROUND(E4,2)))</formula>
    </cfRule>
  </conditionalFormatting>
  <conditionalFormatting sqref="F4">
    <cfRule type="expression" dxfId="314" priority="1">
      <formula>AND(ISNUMBER(F4),ROUND(F4,2)=INT(ROUND(F4,2)))</formula>
    </cfRule>
    <cfRule type="expression" dxfId="315" priority="2">
      <formula>AND(ISNUMBER(F4),ROUND(F4,2)&lt;&gt;INT(ROUND(F4,2)))</formula>
    </cfRule>
  </conditionalFormatting>
  <conditionalFormatting sqref="E5">
    <cfRule type="expression" dxfId="316" priority="1">
      <formula>AND(ISNUMBER(E5),ROUND(E5,2)=INT(ROUND(E5,2)))</formula>
    </cfRule>
    <cfRule type="expression" dxfId="317" priority="2">
      <formula>AND(ISNUMBER(E5),ROUND(E5,2)&lt;&gt;INT(ROUND(E5,2)))</formula>
    </cfRule>
  </conditionalFormatting>
  <conditionalFormatting sqref="F5">
    <cfRule type="expression" dxfId="318" priority="1">
      <formula>AND(ISNUMBER(F5),ROUND(F5,2)=INT(ROUND(F5,2)))</formula>
    </cfRule>
    <cfRule type="expression" dxfId="319" priority="2">
      <formula>AND(ISNUMBER(F5),ROUND(F5,2)&lt;&gt;INT(ROUND(F5,2)))</formula>
    </cfRule>
  </conditionalFormatting>
  <conditionalFormatting sqref="E6">
    <cfRule type="expression" dxfId="320" priority="1">
      <formula>AND(ISNUMBER(E6),ROUND(E6,2)=INT(ROUND(E6,2)))</formula>
    </cfRule>
    <cfRule type="expression" dxfId="321" priority="2">
      <formula>AND(ISNUMBER(E6),ROUND(E6,2)&lt;&gt;INT(ROUND(E6,2)))</formula>
    </cfRule>
  </conditionalFormatting>
  <conditionalFormatting sqref="F6">
    <cfRule type="expression" dxfId="322" priority="1">
      <formula>AND(ISNUMBER(F6),ROUND(F6,2)=INT(ROUND(F6,2)))</formula>
    </cfRule>
    <cfRule type="expression" dxfId="323" priority="2">
      <formula>AND(ISNUMBER(F6),ROUND(F6,2)&lt;&gt;INT(ROUND(F6,2)))</formula>
    </cfRule>
  </conditionalFormatting>
  <conditionalFormatting sqref="F8">
    <cfRule type="expression" dxfId="324" priority="1">
      <formula>AND(ISNUMBER(F8),ROUND(F8,2)=INT(ROUND(F8,2)))</formula>
    </cfRule>
    <cfRule type="expression" dxfId="325" priority="2">
      <formula>AND(ISNUMBER(F8),ROUND(F8,2)&lt;&gt;INT(ROUND(F8,2)))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9" useFirstPageNumber="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14</v>
      </c>
      <c r="B1" s="12" t="s">
        <v>22</v>
      </c>
      <c r="C1" s="3"/>
      <c r="D1" s="3"/>
      <c r="E1" s="3"/>
      <c r="F1" s="3"/>
      <c r="G1" s="1" t="s">
        <v>78</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382</v>
      </c>
      <c r="C3" s="21"/>
      <c r="D3" s="21"/>
      <c r="E3" s="21"/>
      <c r="F3" s="21"/>
      <c r="G3" s="4" t="s">
        <v>383</v>
      </c>
      <c r="H3" s="4" t="s">
        <v>106</v>
      </c>
    </row>
    <row r="4" ht="46.8" customHeight="1" spans="1:8" x14ac:dyDescent="0.25">
      <c r="A4" s="21" t="s">
        <v>384</v>
      </c>
      <c r="B4" s="22" t="s">
        <v>385</v>
      </c>
      <c r="C4" s="21" t="s">
        <v>147</v>
      </c>
      <c r="D4" s="21"/>
      <c r="E4" s="23"/>
      <c r="F4" s="23" t="str">
        <f>IF(ISBLANK(D4),"",IF(NOT(ISNUMBER(D4)),"קלט לא תקין",IF(D4&lt;0,"קלט לא תקין",IF(ISBLANK(E4),"",IF(OR(E4="כלול",E4="לא רלוונטי"),0,IF(NOT(ISNUMBER(E4)),"קלט לא תקין",IF(E4&lt;0,"קלט לא תקין",ROUND(D4*E4,2))))))))</f>
        <v/>
      </c>
      <c r="G4" s="4" t="s">
        <v>386</v>
      </c>
      <c r="H4" s="4" t="s">
        <v>111</v>
      </c>
    </row>
    <row r="5" ht="46.8" customHeight="1" spans="1:8" x14ac:dyDescent="0.25">
      <c r="A5" s="21" t="s">
        <v>387</v>
      </c>
      <c r="B5" s="22" t="s">
        <v>388</v>
      </c>
      <c r="C5" s="21" t="s">
        <v>147</v>
      </c>
      <c r="D5" s="21"/>
      <c r="E5" s="23"/>
      <c r="F5" s="23" t="str">
        <f>IF(ISBLANK(D5),"",IF(NOT(ISNUMBER(D5)),"קלט לא תקין",IF(D5&lt;0,"קלט לא תקין",IF(ISBLANK(E5),"",IF(OR(E5="כלול",E5="לא רלוונטי"),0,IF(NOT(ISNUMBER(E5)),"קלט לא תקין",IF(E5&lt;0,"קלט לא תקין",ROUND(D5*E5,2))))))))</f>
        <v/>
      </c>
      <c r="G5" s="4" t="s">
        <v>389</v>
      </c>
      <c r="H5" s="4" t="s">
        <v>111</v>
      </c>
    </row>
    <row r="6" ht="64.19999999999999" customHeight="1" spans="1:8" x14ac:dyDescent="0.25">
      <c r="A6" s="21" t="s">
        <v>390</v>
      </c>
      <c r="B6" s="22" t="s">
        <v>391</v>
      </c>
      <c r="C6" s="21" t="s">
        <v>130</v>
      </c>
      <c r="D6" s="21"/>
      <c r="E6" s="23"/>
      <c r="F6" s="23" t="str">
        <f>IF(ISBLANK(D6),"",IF(NOT(ISNUMBER(D6)),"קלט לא תקין",IF(D6&lt;0,"קלט לא תקין",IF(ISBLANK(E6),"",IF(OR(E6="כלול",E6="לא רלוונטי"),0,IF(NOT(ISNUMBER(E6)),"קלט לא תקין",IF(E6&lt;0,"קלט לא תקין",ROUND(D6*E6,2))))))))</f>
        <v/>
      </c>
      <c r="G6" s="4" t="s">
        <v>392</v>
      </c>
      <c r="H6" s="4" t="s">
        <v>111</v>
      </c>
    </row>
    <row r="7" ht="400" customHeight="1" spans="1:8" x14ac:dyDescent="0.25">
      <c r="A7" s="21"/>
      <c r="B7" s="22"/>
      <c r="C7" s="21"/>
      <c r="D7" s="21"/>
      <c r="E7" s="21"/>
      <c r="F7" s="21"/>
      <c r="G7" s="4"/>
      <c r="H7" s="4" t="s">
        <v>4</v>
      </c>
    </row>
    <row r="8" ht="2" customHeight="1" spans="1:8" x14ac:dyDescent="0.25">
      <c r="A8" s="21"/>
      <c r="B8" s="22"/>
      <c r="C8" s="21"/>
      <c r="D8" s="21"/>
      <c r="E8" s="21"/>
      <c r="F8" s="21"/>
      <c r="G8" s="4"/>
      <c r="H8" s="4" t="s">
        <v>4</v>
      </c>
    </row>
    <row r="9" ht="32" customHeight="1" spans="1:8" x14ac:dyDescent="0.25">
      <c r="A9" s="14"/>
      <c r="B9" s="15" t="s">
        <v>393</v>
      </c>
      <c r="C9" s="16"/>
      <c r="D9" s="16"/>
      <c r="E9" s="16"/>
      <c r="F9" s="24">
        <f>SUM(F4,F5,F6)</f>
        <v>0</v>
      </c>
      <c r="G9" s="4"/>
      <c r="H9" s="4" t="s">
        <v>136</v>
      </c>
    </row>
  </sheetData>
  <mergeCells count="2">
    <mergeCell ref="B1:F1"/>
    <mergeCell ref="B9:E9"/>
  </mergeCells>
  <conditionalFormatting sqref="E4">
    <cfRule type="expression" dxfId="326" priority="1">
      <formula>AND(ISNUMBER(E4),ROUND(E4,2)=INT(ROUND(E4,2)))</formula>
    </cfRule>
    <cfRule type="expression" dxfId="327" priority="2">
      <formula>AND(ISNUMBER(E4),ROUND(E4,2)&lt;&gt;INT(ROUND(E4,2)))</formula>
    </cfRule>
  </conditionalFormatting>
  <conditionalFormatting sqref="F4">
    <cfRule type="expression" dxfId="328" priority="1">
      <formula>AND(ISNUMBER(F4),ROUND(F4,2)=INT(ROUND(F4,2)))</formula>
    </cfRule>
    <cfRule type="expression" dxfId="329" priority="2">
      <formula>AND(ISNUMBER(F4),ROUND(F4,2)&lt;&gt;INT(ROUND(F4,2)))</formula>
    </cfRule>
  </conditionalFormatting>
  <conditionalFormatting sqref="E5">
    <cfRule type="expression" dxfId="330" priority="1">
      <formula>AND(ISNUMBER(E5),ROUND(E5,2)=INT(ROUND(E5,2)))</formula>
    </cfRule>
    <cfRule type="expression" dxfId="331" priority="2">
      <formula>AND(ISNUMBER(E5),ROUND(E5,2)&lt;&gt;INT(ROUND(E5,2)))</formula>
    </cfRule>
  </conditionalFormatting>
  <conditionalFormatting sqref="F5">
    <cfRule type="expression" dxfId="332" priority="1">
      <formula>AND(ISNUMBER(F5),ROUND(F5,2)=INT(ROUND(F5,2)))</formula>
    </cfRule>
    <cfRule type="expression" dxfId="333" priority="2">
      <formula>AND(ISNUMBER(F5),ROUND(F5,2)&lt;&gt;INT(ROUND(F5,2)))</formula>
    </cfRule>
  </conditionalFormatting>
  <conditionalFormatting sqref="E6">
    <cfRule type="expression" dxfId="334" priority="1">
      <formula>AND(ISNUMBER(E6),ROUND(E6,2)=INT(ROUND(E6,2)))</formula>
    </cfRule>
    <cfRule type="expression" dxfId="335" priority="2">
      <formula>AND(ISNUMBER(E6),ROUND(E6,2)&lt;&gt;INT(ROUND(E6,2)))</formula>
    </cfRule>
  </conditionalFormatting>
  <conditionalFormatting sqref="F6">
    <cfRule type="expression" dxfId="336" priority="1">
      <formula>AND(ISNUMBER(F6),ROUND(F6,2)=INT(ROUND(F6,2)))</formula>
    </cfRule>
    <cfRule type="expression" dxfId="337" priority="2">
      <formula>AND(ISNUMBER(F6),ROUND(F6,2)&lt;&gt;INT(ROUND(F6,2)))</formula>
    </cfRule>
  </conditionalFormatting>
  <conditionalFormatting sqref="F9">
    <cfRule type="expression" dxfId="338" priority="1">
      <formula>AND(ISNUMBER(F9),ROUND(F9,2)=INT(ROUND(F9,2)))</formula>
    </cfRule>
    <cfRule type="expression" dxfId="339" priority="2">
      <formula>AND(ISNUMBER(F9),ROUND(F9,2)&lt;&gt;INT(ROUND(F9,2)))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20" useFirstPageNumber="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15</v>
      </c>
      <c r="B1" s="12" t="s">
        <v>23</v>
      </c>
      <c r="C1" s="3"/>
      <c r="D1" s="3"/>
      <c r="E1" s="3"/>
      <c r="F1" s="3"/>
      <c r="G1" s="1" t="s">
        <v>80</v>
      </c>
      <c r="H1" s="1" t="s">
        <v>96</v>
      </c>
    </row>
    <row r="2" ht="32" customHeight="1" spans="1:8" x14ac:dyDescent="0.25">
      <c r="A2" s="19" t="s">
        <v>97</v>
      </c>
      <c r="B2" s="20" t="s">
        <v>98</v>
      </c>
      <c r="C2" s="19" t="s">
        <v>99</v>
      </c>
      <c r="D2" s="19" t="s">
        <v>100</v>
      </c>
      <c r="E2" s="19" t="s">
        <v>101</v>
      </c>
      <c r="F2" s="19" t="s">
        <v>102</v>
      </c>
      <c r="G2" s="1"/>
      <c r="H2" s="1" t="s">
        <v>103</v>
      </c>
    </row>
    <row r="3" ht="99" customHeight="1" spans="1:8" x14ac:dyDescent="0.25">
      <c r="A3" s="21"/>
      <c r="B3" s="22" t="s">
        <v>394</v>
      </c>
      <c r="C3" s="21"/>
      <c r="D3" s="21"/>
      <c r="E3" s="21"/>
      <c r="F3" s="21"/>
      <c r="G3" s="4" t="s">
        <v>395</v>
      </c>
      <c r="H3" s="4" t="s">
        <v>106</v>
      </c>
    </row>
    <row r="4" ht="46.8" customHeight="1" spans="1:8" x14ac:dyDescent="0.25">
      <c r="A4" s="21" t="s">
        <v>396</v>
      </c>
      <c r="B4" s="22" t="s">
        <v>397</v>
      </c>
      <c r="C4" s="21" t="s">
        <v>109</v>
      </c>
      <c r="D4" s="21"/>
      <c r="E4" s="23"/>
      <c r="F4" s="23" t="str">
        <f>IF(ISBLANK(D4),"",IF(NOT(ISNUMBER(D4)),"קלט לא תקין",IF(D4&lt;0,"קלט לא תקין",IF(ISBLANK(E4),"",IF(OR(E4="כלול",E4="לא רלוונטי"),0,IF(NOT(ISNUMBER(E4)),"קלט לא תקין",IF(E4&lt;0,"קלט לא תקין",ROUND(D4*E4,2))))))))</f>
        <v/>
      </c>
      <c r="G4" s="4" t="s">
        <v>398</v>
      </c>
      <c r="H4" s="4" t="s">
        <v>111</v>
      </c>
    </row>
    <row r="5" ht="46.8" customHeight="1" spans="1:8" x14ac:dyDescent="0.25">
      <c r="A5" s="21" t="s">
        <v>399</v>
      </c>
      <c r="B5" s="22" t="s">
        <v>400</v>
      </c>
      <c r="C5" s="21" t="s">
        <v>130</v>
      </c>
      <c r="D5" s="21"/>
      <c r="E5" s="23"/>
      <c r="F5" s="23" t="str">
        <f>IF(ISBLANK(D5),"",IF(NOT(ISNUMBER(D5)),"קלט לא תקין",IF(D5&lt;0,"קלט לא תקין",IF(ISBLANK(E5),"",IF(OR(E5="כלול",E5="לא רלוונטי"),0,IF(NOT(ISNUMBER(E5)),"קלט לא תקין",IF(E5&lt;0,"קלט לא תקין",ROUND(D5*E5,2))))))))</f>
        <v/>
      </c>
      <c r="G5" s="4" t="s">
        <v>401</v>
      </c>
      <c r="H5" s="4" t="s">
        <v>111</v>
      </c>
    </row>
    <row r="6" ht="64.19999999999999" customHeight="1" spans="1:8" x14ac:dyDescent="0.25">
      <c r="A6" s="21" t="s">
        <v>402</v>
      </c>
      <c r="B6" s="22" t="s">
        <v>403</v>
      </c>
      <c r="C6" s="21" t="s">
        <v>130</v>
      </c>
      <c r="D6" s="21"/>
      <c r="E6" s="23"/>
      <c r="F6" s="23" t="str">
        <f>IF(ISBLANK(D6),"",IF(NOT(ISNUMBER(D6)),"קלט לא תקין",IF(D6&lt;0,"קלט לא תקין",IF(ISBLANK(E6),"",IF(OR(E6="כלול",E6="לא רלוונטי"),0,IF(NOT(ISNUMBER(E6)),"קלט לא תקין",IF(E6&lt;0,"קלט לא תקין",ROUND(D6*E6,2))))))))</f>
        <v/>
      </c>
      <c r="G6" s="4" t="s">
        <v>404</v>
      </c>
      <c r="H6" s="4" t="s">
        <v>111</v>
      </c>
    </row>
    <row r="7" ht="367.2" customHeight="1" spans="1:8" x14ac:dyDescent="0.25">
      <c r="A7" s="21"/>
      <c r="B7" s="22"/>
      <c r="C7" s="21"/>
      <c r="D7" s="21"/>
      <c r="E7" s="21"/>
      <c r="F7" s="21"/>
      <c r="G7" s="4"/>
      <c r="H7" s="4" t="s">
        <v>4</v>
      </c>
    </row>
    <row r="8" ht="32" customHeight="1" spans="1:8" x14ac:dyDescent="0.25">
      <c r="A8" s="14"/>
      <c r="B8" s="15" t="s">
        <v>405</v>
      </c>
      <c r="C8" s="16"/>
      <c r="D8" s="16"/>
      <c r="E8" s="16"/>
      <c r="F8" s="24">
        <f>SUM(F4,F5,F6)</f>
        <v>0</v>
      </c>
      <c r="G8" s="4"/>
      <c r="H8" s="4" t="s">
        <v>136</v>
      </c>
    </row>
  </sheetData>
  <mergeCells count="2">
    <mergeCell ref="B1:F1"/>
    <mergeCell ref="B8:E8"/>
  </mergeCells>
  <conditionalFormatting sqref="E4">
    <cfRule type="expression" dxfId="340" priority="1">
      <formula>AND(ISNUMBER(E4),ROUND(E4,2)=INT(ROUND(E4,2)))</formula>
    </cfRule>
    <cfRule type="expression" dxfId="341" priority="2">
      <formula>AND(ISNUMBER(E4),ROUND(E4,2)&lt;&gt;INT(ROUND(E4,2)))</formula>
    </cfRule>
  </conditionalFormatting>
  <conditionalFormatting sqref="F4">
    <cfRule type="expression" dxfId="342" priority="1">
      <formula>AND(ISNUMBER(F4),ROUND(F4,2)=INT(ROUND(F4,2)))</formula>
    </cfRule>
    <cfRule type="expression" dxfId="343" priority="2">
      <formula>AND(ISNUMBER(F4),ROUND(F4,2)&lt;&gt;INT(ROUND(F4,2)))</formula>
    </cfRule>
  </conditionalFormatting>
  <conditionalFormatting sqref="E5">
    <cfRule type="expression" dxfId="344" priority="1">
      <formula>AND(ISNUMBER(E5),ROUND(E5,2)=INT(ROUND(E5,2)))</formula>
    </cfRule>
    <cfRule type="expression" dxfId="345" priority="2">
      <formula>AND(ISNUMBER(E5),ROUND(E5,2)&lt;&gt;INT(ROUND(E5,2)))</formula>
    </cfRule>
  </conditionalFormatting>
  <conditionalFormatting sqref="F5">
    <cfRule type="expression" dxfId="346" priority="1">
      <formula>AND(ISNUMBER(F5),ROUND(F5,2)=INT(ROUND(F5,2)))</formula>
    </cfRule>
    <cfRule type="expression" dxfId="347" priority="2">
      <formula>AND(ISNUMBER(F5),ROUND(F5,2)&lt;&gt;INT(ROUND(F5,2)))</formula>
    </cfRule>
  </conditionalFormatting>
  <conditionalFormatting sqref="E6">
    <cfRule type="expression" dxfId="348" priority="1">
      <formula>AND(ISNUMBER(E6),ROUND(E6,2)=INT(ROUND(E6,2)))</formula>
    </cfRule>
    <cfRule type="expression" dxfId="349" priority="2">
      <formula>AND(ISNUMBER(E6),ROUND(E6,2)&lt;&gt;INT(ROUND(E6,2)))</formula>
    </cfRule>
  </conditionalFormatting>
  <conditionalFormatting sqref="F6">
    <cfRule type="expression" dxfId="350" priority="1">
      <formula>AND(ISNUMBER(F6),ROUND(F6,2)=INT(ROUND(F6,2)))</formula>
    </cfRule>
    <cfRule type="expression" dxfId="351" priority="2">
      <formula>AND(ISNUMBER(F6),ROUND(F6,2)&lt;&gt;INT(ROUND(F6,2)))</formula>
    </cfRule>
  </conditionalFormatting>
  <conditionalFormatting sqref="F8">
    <cfRule type="expression" dxfId="352" priority="1">
      <formula>AND(ISNUMBER(F8),ROUND(F8,2)=INT(ROUND(F8,2)))</formula>
    </cfRule>
    <cfRule type="expression" dxfId="353" priority="2">
      <formula>AND(ISNUMBER(F8),ROUND(F8,2)&lt;&gt;INT(ROUND(F8,2)))</formula>
    </cfRule>
  </conditionalFormatting>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21" useFirstPageNumber="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16</v>
      </c>
      <c r="B1" s="12" t="s">
        <v>24</v>
      </c>
      <c r="C1" s="3"/>
      <c r="D1" s="3"/>
      <c r="E1" s="3"/>
      <c r="F1" s="3"/>
      <c r="G1" s="1" t="s">
        <v>82</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406</v>
      </c>
      <c r="C3" s="21"/>
      <c r="D3" s="21"/>
      <c r="E3" s="21"/>
      <c r="F3" s="21"/>
      <c r="G3" s="4" t="s">
        <v>407</v>
      </c>
      <c r="H3" s="4" t="s">
        <v>106</v>
      </c>
    </row>
    <row r="4" ht="64.19999999999999" customHeight="1" spans="1:8" x14ac:dyDescent="0.25">
      <c r="A4" s="21" t="s">
        <v>408</v>
      </c>
      <c r="B4" s="22" t="s">
        <v>409</v>
      </c>
      <c r="C4" s="21" t="s">
        <v>120</v>
      </c>
      <c r="D4" s="21"/>
      <c r="E4" s="23"/>
      <c r="F4" s="23" t="str">
        <f>IF(ISBLANK(D4),"",IF(NOT(ISNUMBER(D4)),"קלט לא תקין",IF(D4&lt;0,"קלט לא תקין",IF(ISBLANK(E4),"",IF(OR(E4="כלול",E4="לא רלוונטי"),0,IF(NOT(ISNUMBER(E4)),"קלט לא תקין",IF(E4&lt;0,"קלט לא תקין",ROUND(D4*E4,2))))))))</f>
        <v/>
      </c>
      <c r="G4" s="4" t="s">
        <v>410</v>
      </c>
      <c r="H4" s="4" t="s">
        <v>111</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411</v>
      </c>
      <c r="C7" s="16"/>
      <c r="D7" s="16"/>
      <c r="E7" s="16"/>
      <c r="F7" s="24">
        <f>SUM(F4)</f>
        <v>0</v>
      </c>
      <c r="G7" s="4"/>
      <c r="H7" s="4" t="s">
        <v>136</v>
      </c>
    </row>
  </sheetData>
  <mergeCells count="2">
    <mergeCell ref="B1:F1"/>
    <mergeCell ref="B7:E7"/>
  </mergeCells>
  <conditionalFormatting sqref="E4">
    <cfRule type="expression" dxfId="354" priority="1">
      <formula>AND(ISNUMBER(E4),ROUND(E4,2)=INT(ROUND(E4,2)))</formula>
    </cfRule>
    <cfRule type="expression" dxfId="355" priority="2">
      <formula>AND(ISNUMBER(E4),ROUND(E4,2)&lt;&gt;INT(ROUND(E4,2)))</formula>
    </cfRule>
  </conditionalFormatting>
  <conditionalFormatting sqref="F4">
    <cfRule type="expression" dxfId="356" priority="1">
      <formula>AND(ISNUMBER(F4),ROUND(F4,2)=INT(ROUND(F4,2)))</formula>
    </cfRule>
    <cfRule type="expression" dxfId="357" priority="2">
      <formula>AND(ISNUMBER(F4),ROUND(F4,2)&lt;&gt;INT(ROUND(F4,2)))</formula>
    </cfRule>
  </conditionalFormatting>
  <conditionalFormatting sqref="F7">
    <cfRule type="expression" dxfId="358" priority="1">
      <formula>AND(ISNUMBER(F7),ROUND(F7,2)=INT(ROUND(F7,2)))</formula>
    </cfRule>
    <cfRule type="expression" dxfId="359"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2" useFirstPageNumber="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17</v>
      </c>
      <c r="B1" s="12" t="s">
        <v>25</v>
      </c>
      <c r="C1" s="3"/>
      <c r="D1" s="3"/>
      <c r="E1" s="3"/>
      <c r="F1" s="3"/>
      <c r="G1" s="1" t="s">
        <v>84</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406</v>
      </c>
      <c r="C3" s="21"/>
      <c r="D3" s="21"/>
      <c r="E3" s="21"/>
      <c r="F3" s="21"/>
      <c r="G3" s="4" t="s">
        <v>412</v>
      </c>
      <c r="H3" s="4" t="s">
        <v>106</v>
      </c>
    </row>
    <row r="4" ht="46.8" customHeight="1" spans="1:8" x14ac:dyDescent="0.25">
      <c r="A4" s="21" t="s">
        <v>413</v>
      </c>
      <c r="B4" s="22" t="s">
        <v>414</v>
      </c>
      <c r="C4" s="21" t="s">
        <v>130</v>
      </c>
      <c r="D4" s="21"/>
      <c r="E4" s="23"/>
      <c r="F4" s="23" t="str">
        <f>IF(ISBLANK(D4),"",IF(NOT(ISNUMBER(D4)),"קלט לא תקין",IF(D4&lt;0,"קלט לא תקין",IF(ISBLANK(E4),"",IF(OR(E4="כלול",E4="לא רלוונטי"),0,IF(NOT(ISNUMBER(E4)),"קלט לא תקין",IF(E4&lt;0,"קלט לא תקין",ROUND(D4*E4,2))))))))</f>
        <v/>
      </c>
      <c r="G4" s="4" t="s">
        <v>415</v>
      </c>
      <c r="H4" s="4" t="s">
        <v>111</v>
      </c>
    </row>
    <row r="5" ht="400" customHeight="1" spans="1:8" x14ac:dyDescent="0.25">
      <c r="A5" s="21"/>
      <c r="B5" s="22"/>
      <c r="C5" s="21"/>
      <c r="D5" s="21"/>
      <c r="E5" s="21"/>
      <c r="F5" s="21"/>
      <c r="G5" s="4"/>
      <c r="H5" s="4" t="s">
        <v>4</v>
      </c>
    </row>
    <row r="6" ht="113" customHeight="1" spans="1:8" x14ac:dyDescent="0.25">
      <c r="A6" s="21"/>
      <c r="B6" s="22"/>
      <c r="C6" s="21"/>
      <c r="D6" s="21"/>
      <c r="E6" s="21"/>
      <c r="F6" s="21"/>
      <c r="G6" s="4"/>
      <c r="H6" s="4" t="s">
        <v>4</v>
      </c>
    </row>
    <row r="7" ht="32" customHeight="1" spans="1:8" x14ac:dyDescent="0.25">
      <c r="A7" s="14"/>
      <c r="B7" s="15" t="s">
        <v>416</v>
      </c>
      <c r="C7" s="16"/>
      <c r="D7" s="16"/>
      <c r="E7" s="16"/>
      <c r="F7" s="24">
        <f>SUM(F4)</f>
        <v>0</v>
      </c>
      <c r="G7" s="4"/>
      <c r="H7" s="4" t="s">
        <v>136</v>
      </c>
    </row>
  </sheetData>
  <mergeCells count="2">
    <mergeCell ref="B1:F1"/>
    <mergeCell ref="B7:E7"/>
  </mergeCells>
  <conditionalFormatting sqref="E4">
    <cfRule type="expression" dxfId="360" priority="1">
      <formula>AND(ISNUMBER(E4),ROUND(E4,2)=INT(ROUND(E4,2)))</formula>
    </cfRule>
    <cfRule type="expression" dxfId="361" priority="2">
      <formula>AND(ISNUMBER(E4),ROUND(E4,2)&lt;&gt;INT(ROUND(E4,2)))</formula>
    </cfRule>
  </conditionalFormatting>
  <conditionalFormatting sqref="F4">
    <cfRule type="expression" dxfId="362" priority="1">
      <formula>AND(ISNUMBER(F4),ROUND(F4,2)=INT(ROUND(F4,2)))</formula>
    </cfRule>
    <cfRule type="expression" dxfId="363" priority="2">
      <formula>AND(ISNUMBER(F4),ROUND(F4,2)&lt;&gt;INT(ROUND(F4,2)))</formula>
    </cfRule>
  </conditionalFormatting>
  <conditionalFormatting sqref="F7">
    <cfRule type="expression" dxfId="364" priority="1">
      <formula>AND(ISNUMBER(F7),ROUND(F7,2)=INT(ROUND(F7,2)))</formula>
    </cfRule>
    <cfRule type="expression" dxfId="365"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3" useFirstPageNumber="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18</v>
      </c>
      <c r="B1" s="12" t="s">
        <v>26</v>
      </c>
      <c r="C1" s="3"/>
      <c r="D1" s="3"/>
      <c r="E1" s="3"/>
      <c r="F1" s="3"/>
      <c r="G1" s="1" t="s">
        <v>86</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417</v>
      </c>
      <c r="C3" s="21"/>
      <c r="D3" s="21"/>
      <c r="E3" s="21"/>
      <c r="F3" s="21"/>
      <c r="G3" s="4" t="s">
        <v>418</v>
      </c>
      <c r="H3" s="4" t="s">
        <v>106</v>
      </c>
    </row>
    <row r="4" ht="64.19999999999999" customHeight="1" spans="1:8" x14ac:dyDescent="0.25">
      <c r="A4" s="21" t="s">
        <v>419</v>
      </c>
      <c r="B4" s="22" t="s">
        <v>420</v>
      </c>
      <c r="C4" s="21" t="s">
        <v>166</v>
      </c>
      <c r="D4" s="21"/>
      <c r="E4" s="23"/>
      <c r="F4" s="23" t="str">
        <f>IF(ISBLANK(D4),"",IF(NOT(ISNUMBER(D4)),"קלט לא תקין",IF(D4&lt;0,"קלט לא תקין",IF(ISBLANK(E4),"",IF(OR(E4="כלול",E4="לא רלוונטי"),0,IF(NOT(ISNUMBER(E4)),"קלט לא תקין",IF(E4&lt;0,"קלט לא תקין",ROUND(D4*E4,2))))))))</f>
        <v/>
      </c>
      <c r="G4" s="4" t="s">
        <v>421</v>
      </c>
      <c r="H4" s="4" t="s">
        <v>111</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422</v>
      </c>
      <c r="C7" s="16"/>
      <c r="D7" s="16"/>
      <c r="E7" s="16"/>
      <c r="F7" s="24">
        <f>SUM(F4)</f>
        <v>0</v>
      </c>
      <c r="G7" s="4"/>
      <c r="H7" s="4" t="s">
        <v>136</v>
      </c>
    </row>
  </sheetData>
  <mergeCells count="2">
    <mergeCell ref="B1:F1"/>
    <mergeCell ref="B7:E7"/>
  </mergeCells>
  <conditionalFormatting sqref="E4">
    <cfRule type="expression" dxfId="366" priority="1">
      <formula>AND(ISNUMBER(E4),ROUND(E4,2)=INT(ROUND(E4,2)))</formula>
    </cfRule>
    <cfRule type="expression" dxfId="367" priority="2">
      <formula>AND(ISNUMBER(E4),ROUND(E4,2)&lt;&gt;INT(ROUND(E4,2)))</formula>
    </cfRule>
  </conditionalFormatting>
  <conditionalFormatting sqref="F4">
    <cfRule type="expression" dxfId="368" priority="1">
      <formula>AND(ISNUMBER(F4),ROUND(F4,2)=INT(ROUND(F4,2)))</formula>
    </cfRule>
    <cfRule type="expression" dxfId="369" priority="2">
      <formula>AND(ISNUMBER(F4),ROUND(F4,2)&lt;&gt;INT(ROUND(F4,2)))</formula>
    </cfRule>
  </conditionalFormatting>
  <conditionalFormatting sqref="F7">
    <cfRule type="expression" dxfId="370" priority="1">
      <formula>AND(ISNUMBER(F7),ROUND(F7,2)=INT(ROUND(F7,2)))</formula>
    </cfRule>
    <cfRule type="expression" dxfId="371"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4" useFirstPageNumber="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19</v>
      </c>
      <c r="B1" s="12" t="s">
        <v>27</v>
      </c>
      <c r="C1" s="3"/>
      <c r="D1" s="3"/>
      <c r="E1" s="3"/>
      <c r="F1" s="3"/>
      <c r="G1" s="1" t="s">
        <v>88</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406</v>
      </c>
      <c r="C3" s="21"/>
      <c r="D3" s="21"/>
      <c r="E3" s="21"/>
      <c r="F3" s="21"/>
      <c r="G3" s="4" t="s">
        <v>423</v>
      </c>
      <c r="H3" s="4" t="s">
        <v>106</v>
      </c>
    </row>
    <row r="4" ht="46.8" customHeight="1" spans="1:8" x14ac:dyDescent="0.25">
      <c r="A4" s="21" t="s">
        <v>424</v>
      </c>
      <c r="B4" s="22" t="s">
        <v>425</v>
      </c>
      <c r="C4" s="21" t="s">
        <v>120</v>
      </c>
      <c r="D4" s="21"/>
      <c r="E4" s="23"/>
      <c r="F4" s="23" t="str">
        <f>IF(ISBLANK(D4),"",IF(NOT(ISNUMBER(D4)),"קלט לא תקין",IF(D4&lt;0,"קלט לא תקין",IF(ISBLANK(E4),"",IF(OR(E4="כלול",E4="לא רלוונטי"),0,IF(NOT(ISNUMBER(E4)),"קלט לא תקין",IF(E4&lt;0,"קלט לא תקין",ROUND(D4*E4,2))))))))</f>
        <v/>
      </c>
      <c r="G4" s="4" t="s">
        <v>426</v>
      </c>
      <c r="H4" s="4" t="s">
        <v>111</v>
      </c>
    </row>
    <row r="5" ht="46.8" customHeight="1" spans="1:8" x14ac:dyDescent="0.25">
      <c r="A5" s="21" t="s">
        <v>427</v>
      </c>
      <c r="B5" s="22" t="s">
        <v>428</v>
      </c>
      <c r="C5" s="21" t="s">
        <v>120</v>
      </c>
      <c r="D5" s="21"/>
      <c r="E5" s="23"/>
      <c r="F5" s="23" t="str">
        <f>IF(ISBLANK(D5),"",IF(NOT(ISNUMBER(D5)),"קלט לא תקין",IF(D5&lt;0,"קלט לא תקין",IF(ISBLANK(E5),"",IF(OR(E5="כלול",E5="לא רלוונטי"),0,IF(NOT(ISNUMBER(E5)),"קלט לא תקין",IF(E5&lt;0,"קלט לא תקין",ROUND(D5*E5,2))))))))</f>
        <v/>
      </c>
      <c r="G5" s="4" t="s">
        <v>429</v>
      </c>
      <c r="H5" s="4" t="s">
        <v>111</v>
      </c>
    </row>
    <row r="6" ht="400" customHeight="1" spans="1:8" x14ac:dyDescent="0.25">
      <c r="A6" s="21"/>
      <c r="B6" s="22"/>
      <c r="C6" s="21"/>
      <c r="D6" s="21"/>
      <c r="E6" s="21"/>
      <c r="F6" s="21"/>
      <c r="G6" s="4"/>
      <c r="H6" s="4" t="s">
        <v>4</v>
      </c>
    </row>
    <row r="7" ht="66.20000000000005" customHeight="1" spans="1:8" x14ac:dyDescent="0.25">
      <c r="A7" s="21"/>
      <c r="B7" s="22"/>
      <c r="C7" s="21"/>
      <c r="D7" s="21"/>
      <c r="E7" s="21"/>
      <c r="F7" s="21"/>
      <c r="G7" s="4"/>
      <c r="H7" s="4" t="s">
        <v>4</v>
      </c>
    </row>
    <row r="8" ht="32" customHeight="1" spans="1:8" x14ac:dyDescent="0.25">
      <c r="A8" s="14"/>
      <c r="B8" s="15" t="s">
        <v>430</v>
      </c>
      <c r="C8" s="16"/>
      <c r="D8" s="16"/>
      <c r="E8" s="16"/>
      <c r="F8" s="24">
        <f>SUM(F4,F5)</f>
        <v>0</v>
      </c>
      <c r="G8" s="4"/>
      <c r="H8" s="4" t="s">
        <v>136</v>
      </c>
    </row>
  </sheetData>
  <mergeCells count="2">
    <mergeCell ref="B1:F1"/>
    <mergeCell ref="B8:E8"/>
  </mergeCells>
  <conditionalFormatting sqref="E4">
    <cfRule type="expression" dxfId="372" priority="1">
      <formula>AND(ISNUMBER(E4),ROUND(E4,2)=INT(ROUND(E4,2)))</formula>
    </cfRule>
    <cfRule type="expression" dxfId="373" priority="2">
      <formula>AND(ISNUMBER(E4),ROUND(E4,2)&lt;&gt;INT(ROUND(E4,2)))</formula>
    </cfRule>
  </conditionalFormatting>
  <conditionalFormatting sqref="F4">
    <cfRule type="expression" dxfId="374" priority="1">
      <formula>AND(ISNUMBER(F4),ROUND(F4,2)=INT(ROUND(F4,2)))</formula>
    </cfRule>
    <cfRule type="expression" dxfId="375" priority="2">
      <formula>AND(ISNUMBER(F4),ROUND(F4,2)&lt;&gt;INT(ROUND(F4,2)))</formula>
    </cfRule>
  </conditionalFormatting>
  <conditionalFormatting sqref="E5">
    <cfRule type="expression" dxfId="376" priority="1">
      <formula>AND(ISNUMBER(E5),ROUND(E5,2)=INT(ROUND(E5,2)))</formula>
    </cfRule>
    <cfRule type="expression" dxfId="377" priority="2">
      <formula>AND(ISNUMBER(E5),ROUND(E5,2)&lt;&gt;INT(ROUND(E5,2)))</formula>
    </cfRule>
  </conditionalFormatting>
  <conditionalFormatting sqref="F5">
    <cfRule type="expression" dxfId="378" priority="1">
      <formula>AND(ISNUMBER(F5),ROUND(F5,2)=INT(ROUND(F5,2)))</formula>
    </cfRule>
    <cfRule type="expression" dxfId="379" priority="2">
      <formula>AND(ISNUMBER(F5),ROUND(F5,2)&lt;&gt;INT(ROUND(F5,2)))</formula>
    </cfRule>
  </conditionalFormatting>
  <conditionalFormatting sqref="F8">
    <cfRule type="expression" dxfId="380" priority="1">
      <formula>AND(ISNUMBER(F8),ROUND(F8,2)=INT(ROUND(F8,2)))</formula>
    </cfRule>
    <cfRule type="expression" dxfId="381"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25" useFirstPageNumber="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20</v>
      </c>
      <c r="B1" s="12" t="s">
        <v>28</v>
      </c>
      <c r="C1" s="3"/>
      <c r="D1" s="3"/>
      <c r="E1" s="3"/>
      <c r="F1" s="3"/>
      <c r="G1" s="1" t="s">
        <v>90</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431</v>
      </c>
      <c r="C3" s="21"/>
      <c r="D3" s="21"/>
      <c r="E3" s="21"/>
      <c r="F3" s="21"/>
      <c r="G3" s="4" t="s">
        <v>432</v>
      </c>
      <c r="H3" s="4" t="s">
        <v>106</v>
      </c>
    </row>
    <row r="4" ht="64.19999999999999" customHeight="1" spans="1:8" x14ac:dyDescent="0.25">
      <c r="A4" s="21" t="s">
        <v>433</v>
      </c>
      <c r="B4" s="22" t="s">
        <v>434</v>
      </c>
      <c r="C4" s="21" t="s">
        <v>130</v>
      </c>
      <c r="D4" s="21"/>
      <c r="E4" s="23"/>
      <c r="F4" s="23" t="str">
        <f>IF(ISBLANK(D4),"",IF(NOT(ISNUMBER(D4)),"קלט לא תקין",IF(D4&lt;0,"קלט לא תקין",IF(ISBLANK(E4),"",IF(OR(E4="כלול",E4="לא רלוונטי"),0,IF(NOT(ISNUMBER(E4)),"קלט לא תקין",IF(E4&lt;0,"קלט לא תקין",ROUND(D4*E4,2))))))))</f>
        <v/>
      </c>
      <c r="G4" s="4" t="s">
        <v>435</v>
      </c>
      <c r="H4" s="4" t="s">
        <v>111</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436</v>
      </c>
      <c r="C7" s="16"/>
      <c r="D7" s="16"/>
      <c r="E7" s="16"/>
      <c r="F7" s="24">
        <f>SUM(F4)</f>
        <v>0</v>
      </c>
      <c r="G7" s="4"/>
      <c r="H7" s="4" t="s">
        <v>136</v>
      </c>
    </row>
  </sheetData>
  <mergeCells count="2">
    <mergeCell ref="B1:F1"/>
    <mergeCell ref="B7:E7"/>
  </mergeCells>
  <conditionalFormatting sqref="E4">
    <cfRule type="expression" dxfId="382" priority="1">
      <formula>AND(ISNUMBER(E4),ROUND(E4,2)=INT(ROUND(E4,2)))</formula>
    </cfRule>
    <cfRule type="expression" dxfId="383" priority="2">
      <formula>AND(ISNUMBER(E4),ROUND(E4,2)&lt;&gt;INT(ROUND(E4,2)))</formula>
    </cfRule>
  </conditionalFormatting>
  <conditionalFormatting sqref="F4">
    <cfRule type="expression" dxfId="384" priority="1">
      <formula>AND(ISNUMBER(F4),ROUND(F4,2)=INT(ROUND(F4,2)))</formula>
    </cfRule>
    <cfRule type="expression" dxfId="385" priority="2">
      <formula>AND(ISNUMBER(F4),ROUND(F4,2)&lt;&gt;INT(ROUND(F4,2)))</formula>
    </cfRule>
  </conditionalFormatting>
  <conditionalFormatting sqref="F7">
    <cfRule type="expression" dxfId="386" priority="1">
      <formula>AND(ISNUMBER(F7),ROUND(F7,2)=INT(ROUND(F7,2)))</formula>
    </cfRule>
    <cfRule type="expression" dxfId="387"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6" useFirstPageNumber="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21</v>
      </c>
      <c r="B1" s="12" t="s">
        <v>30</v>
      </c>
      <c r="C1" s="3"/>
      <c r="D1" s="3"/>
      <c r="E1" s="3"/>
      <c r="F1" s="3"/>
      <c r="G1" s="1" t="s">
        <v>92</v>
      </c>
      <c r="H1" s="1" t="s">
        <v>96</v>
      </c>
    </row>
    <row r="2" ht="32" customHeight="1" spans="1:8" x14ac:dyDescent="0.25">
      <c r="A2" s="19" t="s">
        <v>97</v>
      </c>
      <c r="B2" s="20" t="s">
        <v>98</v>
      </c>
      <c r="C2" s="19" t="s">
        <v>99</v>
      </c>
      <c r="D2" s="19" t="s">
        <v>100</v>
      </c>
      <c r="E2" s="19" t="s">
        <v>101</v>
      </c>
      <c r="F2" s="19" t="s">
        <v>102</v>
      </c>
      <c r="G2" s="1"/>
      <c r="H2" s="1" t="s">
        <v>103</v>
      </c>
    </row>
    <row r="3" ht="64.19999999999999" customHeight="1" spans="1:8" x14ac:dyDescent="0.25">
      <c r="A3" s="21"/>
      <c r="B3" s="22" t="s">
        <v>406</v>
      </c>
      <c r="C3" s="21"/>
      <c r="D3" s="21"/>
      <c r="E3" s="21"/>
      <c r="F3" s="21"/>
      <c r="G3" s="4" t="s">
        <v>437</v>
      </c>
      <c r="H3" s="4" t="s">
        <v>106</v>
      </c>
    </row>
    <row r="4" ht="64.19999999999999" customHeight="1" spans="1:8" x14ac:dyDescent="0.25">
      <c r="A4" s="21" t="s">
        <v>438</v>
      </c>
      <c r="B4" s="22" t="s">
        <v>439</v>
      </c>
      <c r="C4" s="21" t="s">
        <v>130</v>
      </c>
      <c r="D4" s="21"/>
      <c r="E4" s="23"/>
      <c r="F4" s="23" t="str">
        <f>IF(ISBLANK(D4),"",IF(NOT(ISNUMBER(D4)),"קלט לא תקין",IF(D4&lt;0,"קלט לא תקין",IF(ISBLANK(E4),"",IF(OR(E4="כלול",E4="לא רלוונטי"),0,IF(NOT(ISNUMBER(E4)),"קלט לא תקין",IF(E4&lt;0,"קלט לא תקין",ROUND(D4*E4,2))))))))</f>
        <v/>
      </c>
      <c r="G4" s="4" t="s">
        <v>440</v>
      </c>
      <c r="H4" s="4" t="s">
        <v>111</v>
      </c>
    </row>
    <row r="5" ht="400" customHeight="1" spans="1:8" x14ac:dyDescent="0.25">
      <c r="A5" s="21"/>
      <c r="B5" s="22"/>
      <c r="C5" s="21"/>
      <c r="D5" s="21"/>
      <c r="E5" s="21"/>
      <c r="F5" s="21"/>
      <c r="G5" s="4"/>
      <c r="H5" s="4" t="s">
        <v>4</v>
      </c>
    </row>
    <row r="6" ht="95.60000000000002" customHeight="1" spans="1:8" x14ac:dyDescent="0.25">
      <c r="A6" s="21"/>
      <c r="B6" s="22"/>
      <c r="C6" s="21"/>
      <c r="D6" s="21"/>
      <c r="E6" s="21"/>
      <c r="F6" s="21"/>
      <c r="G6" s="4"/>
      <c r="H6" s="4" t="s">
        <v>4</v>
      </c>
    </row>
    <row r="7" ht="32" customHeight="1" spans="1:8" x14ac:dyDescent="0.25">
      <c r="A7" s="14"/>
      <c r="B7" s="15" t="s">
        <v>441</v>
      </c>
      <c r="C7" s="16"/>
      <c r="D7" s="16"/>
      <c r="E7" s="16"/>
      <c r="F7" s="24">
        <f>SUM(F4)</f>
        <v>0</v>
      </c>
      <c r="G7" s="4"/>
      <c r="H7" s="4" t="s">
        <v>136</v>
      </c>
    </row>
  </sheetData>
  <mergeCells count="2">
    <mergeCell ref="B1:F1"/>
    <mergeCell ref="B7:E7"/>
  </mergeCells>
  <conditionalFormatting sqref="E4">
    <cfRule type="expression" dxfId="388" priority="1">
      <formula>AND(ISNUMBER(E4),ROUND(E4,2)=INT(ROUND(E4,2)))</formula>
    </cfRule>
    <cfRule type="expression" dxfId="389" priority="2">
      <formula>AND(ISNUMBER(E4),ROUND(E4,2)&lt;&gt;INT(ROUND(E4,2)))</formula>
    </cfRule>
  </conditionalFormatting>
  <conditionalFormatting sqref="F4">
    <cfRule type="expression" dxfId="390" priority="1">
      <formula>AND(ISNUMBER(F4),ROUND(F4,2)=INT(ROUND(F4,2)))</formula>
    </cfRule>
    <cfRule type="expression" dxfId="391" priority="2">
      <formula>AND(ISNUMBER(F4),ROUND(F4,2)&lt;&gt;INT(ROUND(F4,2)))</formula>
    </cfRule>
  </conditionalFormatting>
  <conditionalFormatting sqref="F7">
    <cfRule type="expression" dxfId="392" priority="1">
      <formula>AND(ISNUMBER(F7),ROUND(F7,2)=INT(ROUND(F7,2)))</formula>
    </cfRule>
    <cfRule type="expression" dxfId="393" priority="2">
      <formula>AND(ISNUMBER(F7),ROUND(F7,2)&lt;&gt;INT(ROUND(F7,2)))</formula>
    </cfRule>
  </conditionalFormatting>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27" useFirstPageNumber="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22</v>
      </c>
      <c r="B1" s="12" t="s">
        <v>31</v>
      </c>
      <c r="C1" s="3"/>
      <c r="D1" s="3"/>
      <c r="E1" s="3"/>
      <c r="F1" s="3"/>
      <c r="G1" s="1" t="s">
        <v>94</v>
      </c>
      <c r="H1" s="1" t="s">
        <v>96</v>
      </c>
    </row>
    <row r="2" ht="32" customHeight="1" spans="1:8" x14ac:dyDescent="0.25">
      <c r="A2" s="19" t="s">
        <v>97</v>
      </c>
      <c r="B2" s="20" t="s">
        <v>98</v>
      </c>
      <c r="C2" s="19" t="s">
        <v>99</v>
      </c>
      <c r="D2" s="19" t="s">
        <v>100</v>
      </c>
      <c r="E2" s="19" t="s">
        <v>101</v>
      </c>
      <c r="F2" s="19" t="s">
        <v>102</v>
      </c>
      <c r="G2" s="1"/>
      <c r="H2" s="1" t="s">
        <v>103</v>
      </c>
    </row>
    <row r="3" ht="81.6" customHeight="1" spans="1:8" x14ac:dyDescent="0.25">
      <c r="A3" s="21"/>
      <c r="B3" s="22" t="s">
        <v>442</v>
      </c>
      <c r="C3" s="21"/>
      <c r="D3" s="21"/>
      <c r="E3" s="21"/>
      <c r="F3" s="21"/>
      <c r="G3" s="4" t="s">
        <v>443</v>
      </c>
      <c r="H3" s="4" t="s">
        <v>106</v>
      </c>
    </row>
    <row r="4" ht="46.8" customHeight="1" spans="1:8" x14ac:dyDescent="0.25">
      <c r="A4" s="21" t="s">
        <v>444</v>
      </c>
      <c r="B4" s="22" t="s">
        <v>445</v>
      </c>
      <c r="C4" s="21" t="s">
        <v>147</v>
      </c>
      <c r="D4" s="21"/>
      <c r="E4" s="23"/>
      <c r="F4" s="23" t="str">
        <f>IF(ISBLANK(D4),"",IF(NOT(ISNUMBER(D4)),"קלט לא תקין",IF(D4&lt;0,"קלט לא תקין",IF(ISBLANK(E4),"",IF(OR(E4="כלול",E4="לא רלוונטי"),0,IF(NOT(ISNUMBER(E4)),"קלט לא תקין",IF(E4&lt;0,"קלט לא תקין",ROUND(D4*E4,2))))))))</f>
        <v/>
      </c>
      <c r="G4" s="4" t="s">
        <v>446</v>
      </c>
      <c r="H4" s="4" t="s">
        <v>111</v>
      </c>
    </row>
    <row r="5" ht="46.8" customHeight="1" spans="1:8" x14ac:dyDescent="0.25">
      <c r="A5" s="21" t="s">
        <v>447</v>
      </c>
      <c r="B5" s="22" t="s">
        <v>448</v>
      </c>
      <c r="C5" s="21" t="s">
        <v>130</v>
      </c>
      <c r="D5" s="21"/>
      <c r="E5" s="23"/>
      <c r="F5" s="23" t="str">
        <f>IF(ISBLANK(D5),"",IF(NOT(ISNUMBER(D5)),"קלט לא תקין",IF(D5&lt;0,"קלט לא תקין",IF(ISBLANK(E5),"",IF(OR(E5="כלול",E5="לא רלוונטי"),0,IF(NOT(ISNUMBER(E5)),"קלט לא תקין",IF(E5&lt;0,"קלט לא תקין",ROUND(D5*E5,2))))))))</f>
        <v/>
      </c>
      <c r="G5" s="4" t="s">
        <v>449</v>
      </c>
      <c r="H5" s="4" t="s">
        <v>111</v>
      </c>
    </row>
    <row r="6" ht="400" customHeight="1" spans="1:8" x14ac:dyDescent="0.25">
      <c r="A6" s="21"/>
      <c r="B6" s="22"/>
      <c r="C6" s="21"/>
      <c r="D6" s="21"/>
      <c r="E6" s="21"/>
      <c r="F6" s="21"/>
      <c r="G6" s="4"/>
      <c r="H6" s="4" t="s">
        <v>4</v>
      </c>
    </row>
    <row r="7" ht="48.80000000000001" customHeight="1" spans="1:8" x14ac:dyDescent="0.25">
      <c r="A7" s="21"/>
      <c r="B7" s="22"/>
      <c r="C7" s="21"/>
      <c r="D7" s="21"/>
      <c r="E7" s="21"/>
      <c r="F7" s="21"/>
      <c r="G7" s="4"/>
      <c r="H7" s="4" t="s">
        <v>4</v>
      </c>
    </row>
    <row r="8" ht="32" customHeight="1" spans="1:8" x14ac:dyDescent="0.25">
      <c r="A8" s="14"/>
      <c r="B8" s="15" t="s">
        <v>450</v>
      </c>
      <c r="C8" s="16"/>
      <c r="D8" s="16"/>
      <c r="E8" s="16"/>
      <c r="F8" s="24">
        <f>SUM(F4,F5)</f>
        <v>0</v>
      </c>
      <c r="G8" s="4"/>
      <c r="H8" s="4" t="s">
        <v>136</v>
      </c>
    </row>
  </sheetData>
  <mergeCells count="2">
    <mergeCell ref="B1:F1"/>
    <mergeCell ref="B8:E8"/>
  </mergeCells>
  <conditionalFormatting sqref="E4">
    <cfRule type="expression" dxfId="394" priority="1">
      <formula>AND(ISNUMBER(E4),ROUND(E4,2)=INT(ROUND(E4,2)))</formula>
    </cfRule>
    <cfRule type="expression" dxfId="395" priority="2">
      <formula>AND(ISNUMBER(E4),ROUND(E4,2)&lt;&gt;INT(ROUND(E4,2)))</formula>
    </cfRule>
  </conditionalFormatting>
  <conditionalFormatting sqref="F4">
    <cfRule type="expression" dxfId="396" priority="1">
      <formula>AND(ISNUMBER(F4),ROUND(F4,2)=INT(ROUND(F4,2)))</formula>
    </cfRule>
    <cfRule type="expression" dxfId="397" priority="2">
      <formula>AND(ISNUMBER(F4),ROUND(F4,2)&lt;&gt;INT(ROUND(F4,2)))</formula>
    </cfRule>
  </conditionalFormatting>
  <conditionalFormatting sqref="E5">
    <cfRule type="expression" dxfId="398" priority="1">
      <formula>AND(ISNUMBER(E5),ROUND(E5,2)=INT(ROUND(E5,2)))</formula>
    </cfRule>
    <cfRule type="expression" dxfId="399" priority="2">
      <formula>AND(ISNUMBER(E5),ROUND(E5,2)&lt;&gt;INT(ROUND(E5,2)))</formula>
    </cfRule>
  </conditionalFormatting>
  <conditionalFormatting sqref="F5">
    <cfRule type="expression" dxfId="400" priority="1">
      <formula>AND(ISNUMBER(F5),ROUND(F5,2)=INT(ROUND(F5,2)))</formula>
    </cfRule>
    <cfRule type="expression" dxfId="401" priority="2">
      <formula>AND(ISNUMBER(F5),ROUND(F5,2)&lt;&gt;INT(ROUND(F5,2)))</formula>
    </cfRule>
  </conditionalFormatting>
  <conditionalFormatting sqref="F8">
    <cfRule type="expression" dxfId="402" priority="1">
      <formula>AND(ISNUMBER(F8),ROUND(F8,2)=INT(ROUND(F8,2)))</formula>
    </cfRule>
    <cfRule type="expression" dxfId="403" priority="2">
      <formula>AND(ISNUMBER(F8),ROUND(F8,2)&lt;&gt;INT(ROUND(F8,2)))</formula>
    </cfRule>
  </conditionalFormatting>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28" useFirstPageNumber="1"/>
  <headerFooter>
    <oddFooter>&amp;Cעמוד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451</v>
      </c>
      <c r="C1" s="3"/>
      <c r="D1" s="3"/>
      <c r="E1" s="3"/>
      <c r="F1" s="3"/>
    </row>
    <row r="2" ht="30" customHeight="1" spans="1:6" x14ac:dyDescent="0.25">
      <c r="A2" s="28" t="s">
        <v>6</v>
      </c>
      <c r="B2" s="29" t="s">
        <v>452</v>
      </c>
      <c r="C2" s="30"/>
      <c r="D2" s="30"/>
      <c r="E2" s="28" t="s">
        <v>102</v>
      </c>
      <c r="F2" s="30"/>
    </row>
    <row r="3" ht="24" customHeight="1" spans="1:6" x14ac:dyDescent="0.25">
      <c r="A3" s="31">
        <v>1</v>
      </c>
      <c r="B3" s="32" t="s">
        <v>9</v>
      </c>
      <c r="C3" s="33"/>
      <c r="D3" s="33"/>
      <c r="E3" s="34">
        <f>'פירוק והריסה'!F13</f>
        <v>0</v>
      </c>
      <c r="F3" s="35"/>
    </row>
    <row r="4" ht="24" customHeight="1" spans="1:6" x14ac:dyDescent="0.25">
      <c r="A4" s="31">
        <v>2</v>
      </c>
      <c r="B4" s="32" t="s">
        <v>10</v>
      </c>
      <c r="C4" s="33"/>
      <c r="D4" s="33"/>
      <c r="E4" s="34">
        <f>'בנייה ומחיצות פנים'!F11</f>
        <v>0</v>
      </c>
      <c r="F4" s="35"/>
    </row>
    <row r="5" ht="24" customHeight="1" spans="1:6" x14ac:dyDescent="0.25">
      <c r="A5" s="31">
        <v>3</v>
      </c>
      <c r="B5" s="32" t="s">
        <v>11</v>
      </c>
      <c r="C5" s="33"/>
      <c r="D5" s="33"/>
      <c r="E5" s="34">
        <f>'אינסטלציה ותברואה'!F13</f>
        <v>0</v>
      </c>
      <c r="F5" s="35"/>
    </row>
    <row r="6" ht="24" customHeight="1" spans="1:6" x14ac:dyDescent="0.25">
      <c r="A6" s="31">
        <v>4</v>
      </c>
      <c r="B6" s="32" t="s">
        <v>12</v>
      </c>
      <c r="C6" s="33"/>
      <c r="D6" s="33"/>
      <c r="E6" s="34">
        <f>'חשמל והכנות תקשורת'!F15</f>
        <v>0</v>
      </c>
      <c r="F6" s="35"/>
    </row>
    <row r="7" ht="24" customHeight="1" spans="1:6" x14ac:dyDescent="0.25">
      <c r="A7" s="31">
        <v>5</v>
      </c>
      <c r="B7" s="32" t="s">
        <v>13</v>
      </c>
      <c r="C7" s="33"/>
      <c r="D7" s="33"/>
      <c r="E7" s="34">
        <f>'הכנות רצפה והגבהות'!F7</f>
        <v>0</v>
      </c>
      <c r="F7" s="35"/>
    </row>
    <row r="8" ht="24" customHeight="1" spans="1:6" x14ac:dyDescent="0.25">
      <c r="A8" s="31">
        <v>6</v>
      </c>
      <c r="B8" s="32" t="s">
        <v>14</v>
      </c>
      <c r="C8" s="33"/>
      <c r="D8" s="33"/>
      <c r="E8" s="34">
        <f>'איטום'!F7</f>
        <v>0</v>
      </c>
      <c r="F8" s="35"/>
    </row>
    <row r="9" ht="24" customHeight="1" spans="1:6" x14ac:dyDescent="0.25">
      <c r="A9" s="31">
        <v>7</v>
      </c>
      <c r="B9" s="32" t="s">
        <v>15</v>
      </c>
      <c r="C9" s="33"/>
      <c r="D9" s="33"/>
      <c r="E9" s="34">
        <f>'דלתות פנים'!F7</f>
        <v>0</v>
      </c>
      <c r="F9" s="35"/>
    </row>
    <row r="10" ht="24" customHeight="1" spans="1:6" x14ac:dyDescent="0.25">
      <c r="A10" s="31">
        <v>8</v>
      </c>
      <c r="B10" s="32" t="s">
        <v>16</v>
      </c>
      <c r="C10" s="33"/>
      <c r="D10" s="33"/>
      <c r="E10" s="34">
        <f>'ריצוף וחיפוי אושי־אושי'!F16</f>
        <v>0</v>
      </c>
      <c r="F10" s="35"/>
    </row>
    <row r="11" ht="24" customHeight="1" spans="1:6" x14ac:dyDescent="0.25">
      <c r="A11" s="31">
        <v>9</v>
      </c>
      <c r="B11" s="32" t="s">
        <v>17</v>
      </c>
      <c r="C11" s="33"/>
      <c r="D11" s="33"/>
      <c r="E11" s="34">
        <f>'תקרות והנמכות'!F9</f>
        <v>0</v>
      </c>
      <c r="F11" s="35"/>
    </row>
    <row r="12" ht="24" customHeight="1" spans="1:6" x14ac:dyDescent="0.25">
      <c r="A12" s="31">
        <v>10</v>
      </c>
      <c r="B12" s="32" t="s">
        <v>18</v>
      </c>
      <c r="C12" s="33"/>
      <c r="D12" s="33"/>
      <c r="E12" s="34">
        <f>'צבע וגמרים דקורטיביים'!F9</f>
        <v>0</v>
      </c>
      <c r="F12" s="35"/>
    </row>
    <row r="13" ht="24" customHeight="1" spans="1:6" x14ac:dyDescent="0.25">
      <c r="A13" s="31">
        <v>11</v>
      </c>
      <c r="B13" s="32" t="s">
        <v>19</v>
      </c>
      <c r="C13" s="33"/>
      <c r="D13" s="33"/>
      <c r="E13" s="34">
        <f>'נגרות אושי־אושי'!F21</f>
        <v>0</v>
      </c>
      <c r="F13" s="35"/>
    </row>
    <row r="14" ht="24" customHeight="1" spans="1:6" x14ac:dyDescent="0.25">
      <c r="A14" s="31">
        <v>12</v>
      </c>
      <c r="B14" s="32" t="s">
        <v>20</v>
      </c>
      <c r="C14" s="33"/>
      <c r="D14" s="33"/>
      <c r="E14" s="34">
        <f>'מסגרות אושי־אושי'!F18</f>
        <v>0</v>
      </c>
      <c r="F14" s="35"/>
    </row>
    <row r="15" ht="24" customHeight="1" spans="1:6" x14ac:dyDescent="0.25">
      <c r="A15" s="31">
        <v>13</v>
      </c>
      <c r="B15" s="32" t="s">
        <v>21</v>
      </c>
      <c r="C15" s="33"/>
      <c r="D15" s="33"/>
      <c r="E15" s="34">
        <f>'אלומיניום וזיגוג אושי־אושי'!F8</f>
        <v>0</v>
      </c>
      <c r="F15" s="35"/>
    </row>
    <row r="16" ht="24" customHeight="1" spans="1:6" x14ac:dyDescent="0.25">
      <c r="A16" s="31">
        <v>14</v>
      </c>
      <c r="B16" s="32" t="s">
        <v>22</v>
      </c>
      <c r="C16" s="33"/>
      <c r="D16" s="33"/>
      <c r="E16" s="34">
        <f>'משטחים מיוחדים'!F9</f>
        <v>0</v>
      </c>
      <c r="F16" s="35"/>
    </row>
    <row r="17" ht="24" customHeight="1" spans="1:6" x14ac:dyDescent="0.25">
      <c r="A17" s="31">
        <v>15</v>
      </c>
      <c r="B17" s="32" t="s">
        <v>23</v>
      </c>
      <c r="C17" s="33"/>
      <c r="D17" s="33"/>
      <c r="E17" s="34">
        <f>'אספקות גמר נפרדות'!F8</f>
        <v>0</v>
      </c>
      <c r="F17" s="35"/>
    </row>
    <row r="18" ht="24" customHeight="1" spans="1:6" x14ac:dyDescent="0.25">
      <c r="A18" s="31">
        <v>16</v>
      </c>
      <c r="B18" s="32" t="s">
        <v>24</v>
      </c>
      <c r="C18" s="33"/>
      <c r="D18" s="33"/>
      <c r="E18" s="34">
        <f>'מיזוג ואוורור'!F7</f>
        <v>0</v>
      </c>
      <c r="F18" s="35"/>
    </row>
    <row r="19" ht="24" customHeight="1" spans="1:6" x14ac:dyDescent="0.25">
      <c r="A19" s="31">
        <v>17</v>
      </c>
      <c r="B19" s="32" t="s">
        <v>25</v>
      </c>
      <c r="C19" s="33"/>
      <c r="D19" s="33"/>
      <c r="E19" s="34">
        <f>'ציוד מטבח ונירוסטה'!F7</f>
        <v>0</v>
      </c>
      <c r="F19" s="35"/>
    </row>
    <row r="20" ht="24" customHeight="1" spans="1:6" x14ac:dyDescent="0.25">
      <c r="A20" s="31">
        <v>18</v>
      </c>
      <c r="B20" s="32" t="s">
        <v>26</v>
      </c>
      <c r="C20" s="33"/>
      <c r="D20" s="33"/>
      <c r="E20" s="34">
        <f>'הכנות ומערכת גז'!F7</f>
        <v>0</v>
      </c>
      <c r="F20" s="35"/>
    </row>
    <row r="21" ht="24" customHeight="1" spans="1:6" x14ac:dyDescent="0.25">
      <c r="A21" s="31">
        <v>19</v>
      </c>
      <c r="B21" s="32" t="s">
        <v>27</v>
      </c>
      <c r="C21" s="33"/>
      <c r="D21" s="33"/>
      <c r="E21" s="34">
        <f>'כיבוי וגילוי'!F8</f>
        <v>0</v>
      </c>
      <c r="F21" s="35"/>
    </row>
    <row r="22" ht="24" customHeight="1" spans="1:6" x14ac:dyDescent="0.25">
      <c r="A22" s="31">
        <v>20</v>
      </c>
      <c r="B22" s="32" t="s">
        <v>28</v>
      </c>
      <c r="C22" s="33"/>
      <c r="D22" s="33"/>
      <c r="E22" s="34">
        <f>'אביזרי נגישות'!F7</f>
        <v>0</v>
      </c>
      <c r="F22" s="35"/>
    </row>
    <row r="23" ht="24" customHeight="1" spans="1:6" x14ac:dyDescent="0.25">
      <c r="A23" s="31">
        <v>21</v>
      </c>
      <c r="B23" s="32" t="s">
        <v>30</v>
      </c>
      <c r="C23" s="33"/>
      <c r="D23" s="33"/>
      <c r="E23" s="34">
        <f>'שילוט ומיתוג'!F7</f>
        <v>0</v>
      </c>
      <c r="F23" s="35"/>
    </row>
    <row r="24" ht="24" customHeight="1" spans="1:6" x14ac:dyDescent="0.25">
      <c r="A24" s="31">
        <v>22</v>
      </c>
      <c r="B24" s="32" t="s">
        <v>31</v>
      </c>
      <c r="C24" s="33"/>
      <c r="D24" s="33"/>
      <c r="E24" s="34">
        <f>'ריהוט וישיבה'!F8</f>
        <v>0</v>
      </c>
      <c r="F24" s="35"/>
    </row>
    <row r="25" ht="24" customHeight="1" spans="1:6" x14ac:dyDescent="0.25">
      <c r="A25" s="4"/>
      <c r="B25" s="36" t="s">
        <v>453</v>
      </c>
      <c r="C25" s="37"/>
      <c r="D25" s="37"/>
      <c r="E25" s="37"/>
      <c r="F25" s="37"/>
    </row>
    <row r="26" ht="32" customHeight="1" spans="1:6" x14ac:dyDescent="0.25">
      <c r="A26" s="4"/>
      <c r="B26" s="38" t="s">
        <v>102</v>
      </c>
      <c r="C26" s="39"/>
      <c r="D26" s="39"/>
      <c r="E26" s="40">
        <f>SUM(E3:E24)</f>
        <v>0</v>
      </c>
      <c r="F26" s="41"/>
    </row>
    <row r="27" ht="32" customHeight="1" spans="1:6" x14ac:dyDescent="0.25">
      <c r="A27" s="4"/>
      <c r="B27" s="42" t="str">
        <f>IF(ISNUMBER('שער'!F14),"מע"&amp;CHAR(34)&amp;"מ ("&amp;'שער'!F14&amp;"%)","מע"&amp;CHAR(34)&amp;"מ (לא הוגדר)")</f>
        <v>מע״מ (18%)</v>
      </c>
      <c r="C27" s="43"/>
      <c r="D27" s="43"/>
      <c r="E27" s="44">
        <f>IF(ISBLANK('שער'!F14),"",IF(ISNUMBER('שער'!F14),ROUND(E26*'שער'!F14/100,2),"קלט לא תקין"))</f>
        <v>0</v>
      </c>
      <c r="F27" s="45"/>
    </row>
    <row r="28" ht="32" customHeight="1" spans="1:6" x14ac:dyDescent="0.25">
      <c r="A28" s="4"/>
      <c r="B28" s="46" t="s">
        <v>454</v>
      </c>
      <c r="C28" s="47"/>
      <c r="D28" s="47"/>
      <c r="E28" s="48">
        <f>IF(ISNUMBER(E27),SUM(E26,E27),"")</f>
        <v>0</v>
      </c>
      <c r="F28" s="49"/>
    </row>
  </sheetData>
  <mergeCells count="54">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B11:D11"/>
    <mergeCell ref="E11:F11"/>
    <mergeCell ref="B12:D12"/>
    <mergeCell ref="E12:F12"/>
    <mergeCell ref="B13:D13"/>
    <mergeCell ref="E13:F13"/>
    <mergeCell ref="B14:D14"/>
    <mergeCell ref="E14:F14"/>
    <mergeCell ref="B15:D15"/>
    <mergeCell ref="E15:F15"/>
    <mergeCell ref="B16:D16"/>
    <mergeCell ref="E16:F16"/>
    <mergeCell ref="B17:D17"/>
    <mergeCell ref="E17:F17"/>
    <mergeCell ref="B18:D18"/>
    <mergeCell ref="E18:F18"/>
    <mergeCell ref="B19:D19"/>
    <mergeCell ref="E19:F19"/>
    <mergeCell ref="B20:D20"/>
    <mergeCell ref="E20:F20"/>
    <mergeCell ref="B21:D21"/>
    <mergeCell ref="E21:F21"/>
    <mergeCell ref="B22:D22"/>
    <mergeCell ref="E22:F22"/>
    <mergeCell ref="B23:D23"/>
    <mergeCell ref="E23:F23"/>
    <mergeCell ref="B24:D24"/>
    <mergeCell ref="E24:F24"/>
    <mergeCell ref="B25:F25"/>
    <mergeCell ref="B26:D26"/>
    <mergeCell ref="E26:F26"/>
    <mergeCell ref="B27:D27"/>
    <mergeCell ref="E27:F27"/>
    <mergeCell ref="B28:D28"/>
    <mergeCell ref="E28:F28"/>
  </mergeCells>
  <conditionalFormatting sqref="E3">
    <cfRule type="expression" dxfId="404" priority="1">
      <formula>AND(ISNUMBER(E3),ROUND(E3,2)=INT(ROUND(E3,2)))</formula>
    </cfRule>
    <cfRule type="expression" dxfId="405" priority="2">
      <formula>AND(ISNUMBER(E3),ROUND(E3,2)&lt;&gt;INT(ROUND(E3,2)))</formula>
    </cfRule>
  </conditionalFormatting>
  <conditionalFormatting sqref="E4">
    <cfRule type="expression" dxfId="406" priority="1">
      <formula>AND(ISNUMBER(E4),ROUND(E4,2)=INT(ROUND(E4,2)))</formula>
    </cfRule>
    <cfRule type="expression" dxfId="407" priority="2">
      <formula>AND(ISNUMBER(E4),ROUND(E4,2)&lt;&gt;INT(ROUND(E4,2)))</formula>
    </cfRule>
  </conditionalFormatting>
  <conditionalFormatting sqref="E5">
    <cfRule type="expression" dxfId="408" priority="1">
      <formula>AND(ISNUMBER(E5),ROUND(E5,2)=INT(ROUND(E5,2)))</formula>
    </cfRule>
    <cfRule type="expression" dxfId="409" priority="2">
      <formula>AND(ISNUMBER(E5),ROUND(E5,2)&lt;&gt;INT(ROUND(E5,2)))</formula>
    </cfRule>
  </conditionalFormatting>
  <conditionalFormatting sqref="E6">
    <cfRule type="expression" dxfId="410" priority="1">
      <formula>AND(ISNUMBER(E6),ROUND(E6,2)=INT(ROUND(E6,2)))</formula>
    </cfRule>
    <cfRule type="expression" dxfId="411" priority="2">
      <formula>AND(ISNUMBER(E6),ROUND(E6,2)&lt;&gt;INT(ROUND(E6,2)))</formula>
    </cfRule>
  </conditionalFormatting>
  <conditionalFormatting sqref="E7">
    <cfRule type="expression" dxfId="412" priority="1">
      <formula>AND(ISNUMBER(E7),ROUND(E7,2)=INT(ROUND(E7,2)))</formula>
    </cfRule>
    <cfRule type="expression" dxfId="413" priority="2">
      <formula>AND(ISNUMBER(E7),ROUND(E7,2)&lt;&gt;INT(ROUND(E7,2)))</formula>
    </cfRule>
  </conditionalFormatting>
  <conditionalFormatting sqref="E8">
    <cfRule type="expression" dxfId="414" priority="1">
      <formula>AND(ISNUMBER(E8),ROUND(E8,2)=INT(ROUND(E8,2)))</formula>
    </cfRule>
    <cfRule type="expression" dxfId="415" priority="2">
      <formula>AND(ISNUMBER(E8),ROUND(E8,2)&lt;&gt;INT(ROUND(E8,2)))</formula>
    </cfRule>
  </conditionalFormatting>
  <conditionalFormatting sqref="E9">
    <cfRule type="expression" dxfId="416" priority="1">
      <formula>AND(ISNUMBER(E9),ROUND(E9,2)=INT(ROUND(E9,2)))</formula>
    </cfRule>
    <cfRule type="expression" dxfId="417" priority="2">
      <formula>AND(ISNUMBER(E9),ROUND(E9,2)&lt;&gt;INT(ROUND(E9,2)))</formula>
    </cfRule>
  </conditionalFormatting>
  <conditionalFormatting sqref="E10">
    <cfRule type="expression" dxfId="418" priority="1">
      <formula>AND(ISNUMBER(E10),ROUND(E10,2)=INT(ROUND(E10,2)))</formula>
    </cfRule>
    <cfRule type="expression" dxfId="419" priority="2">
      <formula>AND(ISNUMBER(E10),ROUND(E10,2)&lt;&gt;INT(ROUND(E10,2)))</formula>
    </cfRule>
  </conditionalFormatting>
  <conditionalFormatting sqref="E11">
    <cfRule type="expression" dxfId="420" priority="1">
      <formula>AND(ISNUMBER(E11),ROUND(E11,2)=INT(ROUND(E11,2)))</formula>
    </cfRule>
    <cfRule type="expression" dxfId="421" priority="2">
      <formula>AND(ISNUMBER(E11),ROUND(E11,2)&lt;&gt;INT(ROUND(E11,2)))</formula>
    </cfRule>
  </conditionalFormatting>
  <conditionalFormatting sqref="E12">
    <cfRule type="expression" dxfId="422" priority="1">
      <formula>AND(ISNUMBER(E12),ROUND(E12,2)=INT(ROUND(E12,2)))</formula>
    </cfRule>
    <cfRule type="expression" dxfId="423" priority="2">
      <formula>AND(ISNUMBER(E12),ROUND(E12,2)&lt;&gt;INT(ROUND(E12,2)))</formula>
    </cfRule>
  </conditionalFormatting>
  <conditionalFormatting sqref="E13">
    <cfRule type="expression" dxfId="424" priority="1">
      <formula>AND(ISNUMBER(E13),ROUND(E13,2)=INT(ROUND(E13,2)))</formula>
    </cfRule>
    <cfRule type="expression" dxfId="425" priority="2">
      <formula>AND(ISNUMBER(E13),ROUND(E13,2)&lt;&gt;INT(ROUND(E13,2)))</formula>
    </cfRule>
  </conditionalFormatting>
  <conditionalFormatting sqref="E14">
    <cfRule type="expression" dxfId="426" priority="1">
      <formula>AND(ISNUMBER(E14),ROUND(E14,2)=INT(ROUND(E14,2)))</formula>
    </cfRule>
    <cfRule type="expression" dxfId="427" priority="2">
      <formula>AND(ISNUMBER(E14),ROUND(E14,2)&lt;&gt;INT(ROUND(E14,2)))</formula>
    </cfRule>
  </conditionalFormatting>
  <conditionalFormatting sqref="E15">
    <cfRule type="expression" dxfId="428" priority="1">
      <formula>AND(ISNUMBER(E15),ROUND(E15,2)=INT(ROUND(E15,2)))</formula>
    </cfRule>
    <cfRule type="expression" dxfId="429" priority="2">
      <formula>AND(ISNUMBER(E15),ROUND(E15,2)&lt;&gt;INT(ROUND(E15,2)))</formula>
    </cfRule>
  </conditionalFormatting>
  <conditionalFormatting sqref="E16">
    <cfRule type="expression" dxfId="430" priority="1">
      <formula>AND(ISNUMBER(E16),ROUND(E16,2)=INT(ROUND(E16,2)))</formula>
    </cfRule>
    <cfRule type="expression" dxfId="431" priority="2">
      <formula>AND(ISNUMBER(E16),ROUND(E16,2)&lt;&gt;INT(ROUND(E16,2)))</formula>
    </cfRule>
  </conditionalFormatting>
  <conditionalFormatting sqref="E17">
    <cfRule type="expression" dxfId="432" priority="1">
      <formula>AND(ISNUMBER(E17),ROUND(E17,2)=INT(ROUND(E17,2)))</formula>
    </cfRule>
    <cfRule type="expression" dxfId="433" priority="2">
      <formula>AND(ISNUMBER(E17),ROUND(E17,2)&lt;&gt;INT(ROUND(E17,2)))</formula>
    </cfRule>
  </conditionalFormatting>
  <conditionalFormatting sqref="E18">
    <cfRule type="expression" dxfId="434" priority="1">
      <formula>AND(ISNUMBER(E18),ROUND(E18,2)=INT(ROUND(E18,2)))</formula>
    </cfRule>
    <cfRule type="expression" dxfId="435" priority="2">
      <formula>AND(ISNUMBER(E18),ROUND(E18,2)&lt;&gt;INT(ROUND(E18,2)))</formula>
    </cfRule>
  </conditionalFormatting>
  <conditionalFormatting sqref="E19">
    <cfRule type="expression" dxfId="436" priority="1">
      <formula>AND(ISNUMBER(E19),ROUND(E19,2)=INT(ROUND(E19,2)))</formula>
    </cfRule>
    <cfRule type="expression" dxfId="437" priority="2">
      <formula>AND(ISNUMBER(E19),ROUND(E19,2)&lt;&gt;INT(ROUND(E19,2)))</formula>
    </cfRule>
  </conditionalFormatting>
  <conditionalFormatting sqref="E20">
    <cfRule type="expression" dxfId="438" priority="1">
      <formula>AND(ISNUMBER(E20),ROUND(E20,2)=INT(ROUND(E20,2)))</formula>
    </cfRule>
    <cfRule type="expression" dxfId="439" priority="2">
      <formula>AND(ISNUMBER(E20),ROUND(E20,2)&lt;&gt;INT(ROUND(E20,2)))</formula>
    </cfRule>
  </conditionalFormatting>
  <conditionalFormatting sqref="E21">
    <cfRule type="expression" dxfId="440" priority="1">
      <formula>AND(ISNUMBER(E21),ROUND(E21,2)=INT(ROUND(E21,2)))</formula>
    </cfRule>
    <cfRule type="expression" dxfId="441" priority="2">
      <formula>AND(ISNUMBER(E21),ROUND(E21,2)&lt;&gt;INT(ROUND(E21,2)))</formula>
    </cfRule>
  </conditionalFormatting>
  <conditionalFormatting sqref="E22">
    <cfRule type="expression" dxfId="442" priority="1">
      <formula>AND(ISNUMBER(E22),ROUND(E22,2)=INT(ROUND(E22,2)))</formula>
    </cfRule>
    <cfRule type="expression" dxfId="443" priority="2">
      <formula>AND(ISNUMBER(E22),ROUND(E22,2)&lt;&gt;INT(ROUND(E22,2)))</formula>
    </cfRule>
  </conditionalFormatting>
  <conditionalFormatting sqref="E23">
    <cfRule type="expression" dxfId="444" priority="1">
      <formula>AND(ISNUMBER(E23),ROUND(E23,2)=INT(ROUND(E23,2)))</formula>
    </cfRule>
    <cfRule type="expression" dxfId="445" priority="2">
      <formula>AND(ISNUMBER(E23),ROUND(E23,2)&lt;&gt;INT(ROUND(E23,2)))</formula>
    </cfRule>
  </conditionalFormatting>
  <conditionalFormatting sqref="E24">
    <cfRule type="expression" dxfId="446" priority="1">
      <formula>AND(ISNUMBER(E24),ROUND(E24,2)=INT(ROUND(E24,2)))</formula>
    </cfRule>
    <cfRule type="expression" dxfId="447" priority="2">
      <formula>AND(ISNUMBER(E24),ROUND(E24,2)&lt;&gt;INT(ROUND(E24,2)))</formula>
    </cfRule>
  </conditionalFormatting>
  <conditionalFormatting sqref="E26">
    <cfRule type="expression" dxfId="448" priority="1">
      <formula>AND(ISNUMBER(E26),ROUND(E26,2)=INT(ROUND(E26,2)))</formula>
    </cfRule>
    <cfRule type="expression" dxfId="449" priority="2">
      <formula>AND(ISNUMBER(E26),ROUND(E26,2)&lt;&gt;INT(ROUND(E26,2)))</formula>
    </cfRule>
  </conditionalFormatting>
  <conditionalFormatting sqref="E27">
    <cfRule type="expression" dxfId="450" priority="1">
      <formula>AND(ISNUMBER(E27),ROUND(E27,2)=INT(ROUND(E27,2)))</formula>
    </cfRule>
    <cfRule type="expression" dxfId="451" priority="2">
      <formula>AND(ISNUMBER(E27),ROUND(E27,2)&lt;&gt;INT(ROUND(E27,2)))</formula>
    </cfRule>
  </conditionalFormatting>
  <conditionalFormatting sqref="E28">
    <cfRule type="expression" dxfId="452" priority="1">
      <formula>AND(ISNUMBER(E28),ROUND(E28,2)=INT(ROUND(E28,2)))</formula>
    </cfRule>
    <cfRule type="expression" dxfId="453" priority="2">
      <formula>AND(ISNUMBER(E28),ROUND(E28,2)&lt;&gt;INT(ROUND(E28,2)))</formula>
    </cfRule>
  </conditionalFormatting>
  <pageMargins left="0.25" right="0.25" top="0.75" bottom="0.75" header="0" footer="0.25"/>
  <pageSetup paperSize="9" orientation="portrait" fitToWidth="1" fitToHeight="0" firstPageNumber="29"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שער</vt:lpstr>
      <vt:lpstr>מקרא והנחיות</vt:lpstr>
      <vt:lpstr>_BOQ_META</vt:lpstr>
      <vt:lpstr>פירוק והריסה</vt:lpstr>
      <vt:lpstr>בנייה ומחיצות פנים</vt:lpstr>
      <vt:lpstr>אינסטלציה ותברואה</vt:lpstr>
      <vt:lpstr>חשמל והכנות תקשורת</vt:lpstr>
      <vt:lpstr>הכנות רצפה והגבהות</vt:lpstr>
      <vt:lpstr>איטום</vt:lpstr>
      <vt:lpstr>דלתות פנים</vt:lpstr>
      <vt:lpstr>ריצוף וחיפוי אושי־אושי</vt:lpstr>
      <vt:lpstr>תקרות והנמכות</vt:lpstr>
      <vt:lpstr>צבע וגמרים דקורטיביים</vt:lpstr>
      <vt:lpstr>נגרות אושי־אושי</vt:lpstr>
      <vt:lpstr>מסגרות אושי־אושי</vt:lpstr>
      <vt:lpstr>אלומיניום וזיגוג אושי־אושי</vt:lpstr>
      <vt:lpstr>משטחים מיוחדים</vt:lpstr>
      <vt:lpstr>אספקות גמר נפרדות</vt:lpstr>
      <vt:lpstr>מיזוג ואוורור</vt:lpstr>
      <vt:lpstr>ציוד מטבח ונירוסטה</vt:lpstr>
      <vt:lpstr>הכנות ומערכת גז</vt:lpstr>
      <vt:lpstr>כיבוי וגילוי</vt:lpstr>
      <vt:lpstr>אביזרי נגישות</vt:lpstr>
      <vt:lpstr>שילוט ומיתוג</vt:lpstr>
      <vt:lpstr>ריהוט וישיבה</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2026-10-28T11:56:40Z</dcterms:created>
  <dcterms:modified xsi:type="dcterms:W3CDTF">2026-10-28T11:56:40Z</dcterms:modified>
</cp:coreProperties>
</file>