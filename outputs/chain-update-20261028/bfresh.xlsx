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שער" state="visible" r:id="rId4"/>
    <sheet sheetId="2" name="מקרא והנחיות" state="visible" r:id="rId5"/>
    <sheet sheetId="3" name="_BOQ_META" state="hidden" r:id="rId6"/>
    <sheet sheetId="4" name="פירוק והריסה" state="visible" r:id="rId7"/>
    <sheet sheetId="5" name="מחיצות והכנות לדלפק" state="visible" r:id="rId8"/>
    <sheet sheetId="6" name="אינסטלציה ותברואה" state="visible" r:id="rId9"/>
    <sheet sheetId="7" name="חשמל והכנות תקשורת" state="visible" r:id="rId10"/>
    <sheet sheetId="8" name="הכנות רצפה והגבהות" state="visible" r:id="rId11"/>
    <sheet sheetId="9" name="איטום" state="visible" r:id="rId12"/>
    <sheet sheetId="10" name="דלתות בחנות או בחדר שירות" state="visible" r:id="rId13"/>
    <sheet sheetId="11" name="ריצוף וחיפוי הדלפק" state="visible" r:id="rId14"/>
    <sheet sheetId="12" name="תקרה וקרניזים לדוכן" state="visible" r:id="rId15"/>
    <sheet sheetId="13" name="צבע וגמר" state="visible" r:id="rId16"/>
    <sheet sheetId="14" name="נגרות ביפרש" state="visible" r:id="rId17"/>
    <sheet sheetId="15" name="מסגרות ביפרש" state="visible" r:id="rId18"/>
    <sheet sheetId="16" name="זיגוג וחופת דלפק" state="visible" r:id="rId19"/>
    <sheet sheetId="17" name="משטחים ודפנות מיוחדים" state="visible" r:id="rId20"/>
    <sheet sheetId="18" name="אספקות גמר נפרדות" state="visible" r:id="rId21"/>
    <sheet sheetId="19" name="מיזוג ואוורור" state="visible" r:id="rId22"/>
    <sheet sheetId="20" name="ציוד מטבח ונירוסטה" state="visible" r:id="rId23"/>
    <sheet sheetId="21" name="הכנות ומערכת גז" state="visible" r:id="rId24"/>
    <sheet sheetId="22" name="כיבוי וגילוי" state="visible" r:id="rId25"/>
    <sheet sheetId="23" name="שילוט ומיתוג" state="visible" r:id="rId26"/>
    <sheet sheetId="24" name="ריהוט נייד" state="visible" r:id="rId27"/>
    <sheet sheetId="25" name="ריכוז עלויות" state="visible" r:id="rId28"/>
  </sheets>
  <definedNames>
    <definedName name="_xlnm.Print_Area" localSheetId="0">'שער'!$A1:$F13</definedName>
    <definedName name="_xlnm.Print_Area" localSheetId="1">'מקרא והנחיות'!$A1:$F35</definedName>
    <definedName name="_xlnm.Print_Area" localSheetId="3">'פירוק והריסה'!$A1:$F12</definedName>
    <definedName name="_xlnm.Print_Area" localSheetId="4">'מחיצות והכנות לדלפק'!$A1:$F10</definedName>
    <definedName name="_xlnm.Print_Area" localSheetId="5">'אינסטלציה ותברואה'!$A1:$F12</definedName>
    <definedName name="_xlnm.Print_Area" localSheetId="6">'חשמל והכנות תקשורת'!$A1:$F15</definedName>
    <definedName name="_xlnm.Print_Area" localSheetId="7">'הכנות רצפה והגבהות'!$A1:$F7</definedName>
    <definedName name="_xlnm.Print_Area" localSheetId="8">'איטום'!$A1:$F7</definedName>
    <definedName name="_xlnm.Print_Area" localSheetId="9">'דלתות בחנות או בחדר שירות'!$A1:$F7</definedName>
    <definedName name="_xlnm.Print_Area" localSheetId="10">'ריצוף וחיפוי הדלפק'!$A1:$F11</definedName>
    <definedName name="_xlnm.Print_Area" localSheetId="11">'תקרה וקרניזים לדוכן'!$A1:$F8</definedName>
    <definedName name="_xlnm.Print_Area" localSheetId="12">'צבע וגמר'!$A1:$F8</definedName>
    <definedName name="_xlnm.Print_Area" localSheetId="13">'נגרות ביפרש'!$A1:$F11</definedName>
    <definedName name="_xlnm.Print_Area" localSheetId="14">'מסגרות ביפרש'!$A1:$F17</definedName>
    <definedName name="_xlnm.Print_Area" localSheetId="15">'זיגוג וחופת דלפק'!$A1:$F9</definedName>
    <definedName name="_xlnm.Print_Area" localSheetId="16">'משטחים ודפנות מיוחדים'!$A1:$F10</definedName>
    <definedName name="_xlnm.Print_Area" localSheetId="17">'אספקות גמר נפרדות'!$A1:$F8</definedName>
    <definedName name="_xlnm.Print_Area" localSheetId="18">'מיזוג ואוורור'!$A1:$F7</definedName>
    <definedName name="_xlnm.Print_Area" localSheetId="19">'ציוד מטבח ונירוסטה'!$A1:$F7</definedName>
    <definedName name="_xlnm.Print_Area" localSheetId="20">'הכנות ומערכת גז'!$A1:$F7</definedName>
    <definedName name="_xlnm.Print_Area" localSheetId="21">'כיבוי וגילוי'!$A1:$F8</definedName>
    <definedName name="_xlnm.Print_Area" localSheetId="22">'שילוט ומיתוג'!$A1:$F7</definedName>
    <definedName name="_xlnm.Print_Area" localSheetId="23">'ריהוט נייד'!$A1:$F7</definedName>
    <definedName name="_xlnm.Print_Area" localSheetId="24">'ריכוז עלויות'!$A1:$F27</definedName>
  </definedNames>
  <calcPr calcId="171027" fullCalcOnLoad="1"/>
</workbook>
</file>

<file path=xl/sharedStrings.xml><?xml version="1.0" encoding="utf-8"?>
<sst xmlns="http://schemas.openxmlformats.org/spreadsheetml/2006/main" count="890" uniqueCount="403">
  <si>
    <t>פירוט טכני וכתב כמויות</t>
  </si>
  <si>
    <t/>
  </si>
  <si>
    <t>2026-10-28</t>
  </si>
  <si>
    <t>נחלת יצחק 34 ת"א | טל- 0505241244</t>
  </si>
  <si>
    <t>spacer</t>
  </si>
  <si>
    <t>מקרא ותוכן עניינים</t>
  </si>
  <si>
    <t>פרק</t>
  </si>
  <si>
    <t>שם הפרק</t>
  </si>
  <si>
    <t>עמוד</t>
  </si>
  <si>
    <t>פירוק והריסה</t>
  </si>
  <si>
    <t>מחיצות והכנות לדלפק</t>
  </si>
  <si>
    <t>אינסטלציה ותברואה</t>
  </si>
  <si>
    <t>חשמל והכנות תקשורת</t>
  </si>
  <si>
    <t>הכנות רצפה והגבהות</t>
  </si>
  <si>
    <t>איטום</t>
  </si>
  <si>
    <t>דלתות בחנות או בחדר שירות</t>
  </si>
  <si>
    <t>ריצוף וחיפוי הדלפק</t>
  </si>
  <si>
    <t>תקרה וקרניזים לדוכן</t>
  </si>
  <si>
    <t>צבע וגמר</t>
  </si>
  <si>
    <t>נגרות ביפרש</t>
  </si>
  <si>
    <t>מסגרות ביפרש</t>
  </si>
  <si>
    <t>זיגוג וחופת דלפק</t>
  </si>
  <si>
    <t>משטחים ודפנות מיוחדים</t>
  </si>
  <si>
    <t>אספקות גמר נפרדות</t>
  </si>
  <si>
    <t>מיזוג ואוורור</t>
  </si>
  <si>
    <t>ציוד מטבח ונירוסטה</t>
  </si>
  <si>
    <t>הכנות ומערכת גז</t>
  </si>
  <si>
    <t>כיבוי וגילוי</t>
  </si>
  <si>
    <t>שילוט ומיתוג</t>
  </si>
  <si>
    <t>מקרא והנחיות — המשך</t>
  </si>
  <si>
    <t>ריהוט נייד</t>
  </si>
  <si>
    <t>הנחיות והערות כלליות לקבלן</t>
  </si>
  <si>
    <t>1. יש להגיש הצעה לפי הסעיפים והתכולות שבמסמך הפרויקט. יש להעביר לבירור אי־התאמה, גבול תכולה לא ברור או פרט חסר לפני ביצוע העבודה הנוגעת להם.</t>
  </si>
  <si>
    <t>2. אספקה, התקנה, תשתית וחיבור בידי קבלנים או ספקים שונים יפורטו בנפרד. אין להסיק אחריות רק מהופעת שם ספק או מהסימון קיים.</t>
  </si>
  <si>
    <t>3. מפרטי הרשת שנקבעו בשורות נשמרים. רק פרטי סניף ובחירות שנותרו פתוחות יושלמו לפי מסמכי הפרויקט וההכרעות המאושרים; אין למלא מחלוקת מערך של סניף קודם ללא אישור.</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</si>
  <si>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</si>
  <si>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</si>
  <si>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BOQ_WORKBOOK</t>
  </si>
  <si>
    <t>contractor</t>
  </si>
  <si>
    <t>d6d6b0e3-35ba-4a70-b25a-644b4fcb2752</t>
  </si>
  <si>
    <t>9164786e-25f1-4590-bd1c-10b21b694cb9</t>
  </si>
  <si>
    <t>bfresh</t>
  </si>
  <si>
    <t>["8189bc4f-d508-4fbf-af8e-947594637817","e7f7d9dd-858f-45b5-85a3-26465f8d29d1","c8c2cbd0-6b00-4f97-9970-14224685d7a0","3716ff48-6609-494b-8182-59ff37209cf5","0877b93e-6c74-451a-84c3-1890085b89fb","859f33f1-9a45-4c6a-aeb9-53d787cbffff","004b11c9-e9fe-4bc9-a628-b25d45f52687","f168410b-fdac-47e6-a2c9-cb836f8a21b7","8ca27162-cf4c-4235-9625-144bc5f8b3b8","e11d6aeb-dad6-48da-a2ff-73af4a3884cb","78f2831d-b2fe-4cc4-8a44-bf741ea81b7f","1c6df516-1715-4ad1-8bcd-2f628170a9ab","0e5a14aa-9bf4-4548-9938-f5cfffa73598","7530b13f-fabb-41fe-9523-01f3cac97750","4d50a42d-8662-461f-a783-aee52c2ab469","044361b7-a153-40d6-9552-4292637bb427","cb524d1f-62a7-4303-acfe-7f207f94b8d6","eaf4a6ee-6dd6-4504-87ec-302f84ef4b45","422ba6c0-3a4d-491c-b266-dae2195b3cce","63ea7e18-6a0d-4990-8cdb-03d40038c15c","5d74e8dc-9ffe-438f-844c-d5b9d72d6154"]</t>
  </si>
  <si>
    <t>layout</t>
  </si>
  <si>
    <t>{"font":"Assistant","sideMarginMm":6.35,"verticalMarginMm":19.05}</t>
  </si>
  <si>
    <t>{"title":[{"sheet":"שער","cell":"B4"}],"location":[{"sheet":"שער","cell":"B5"}],"client":[{"sheet":"שער","cell":"B6"}],"date":[{"sheet":"שער","cell":"B8"}],"office":[{"sheet":"שער","cell":"B12"}],"revision":[{"sheet":"שער","cell":"B14"}],"contractor":[{"sheet":"שער","cell":"D14"}],"vat":[{"sheet":"שער","cell":"F14"}],"instructions":[{"sheet":"מקרא והנחיות","cell":"A30"},{"sheet":"מקרא והנחיות","cell":"A31"},{"sheet":"מקרא והנחיות","cell":"A32"},{"sheet":"מקרא והנחיות","cell":"A33"},{"sheet":"מקרא והנחיות","cell":"A34"}]}</t>
  </si>
  <si>
    <t>{"width":2836,"height":771,"sha256":"11e4cb844c2fce059d04ea30f256087da08ced63e5ed936793dfe2e25a583992"}</t>
  </si>
  <si>
    <t>chapterId</t>
  </si>
  <si>
    <t>sheet</t>
  </si>
  <si>
    <t>active</t>
  </si>
  <si>
    <t>rowIds</t>
  </si>
  <si>
    <t>8189bc4f-d508-4fbf-af8e-947594637817</t>
  </si>
  <si>
    <t>["1b2325c4-3966-498f-8366-a0f5dda84597","0bfab241-ed81-43ee-99b0-5526452543a7","b4a6859b-aadb-4a39-859d-136a349ec68c","5a048a3b-1e97-41e1-bbaf-f07b3e5a1af8","4bc42c11-c26d-4db2-9bed-59b566c56110","81b27a8b-b6cf-406b-9a4f-4064fd0e67ce","e3f473bc-d7e6-46b1-984d-3181e8d54797","070e4db8-dea0-48c6-956d-0c3a3be755b0"]</t>
  </si>
  <si>
    <t>e7f7d9dd-858f-45b5-85a3-26465f8d29d1</t>
  </si>
  <si>
    <t>["89ec1321-ba79-4713-9bd0-0c59184ce03f","e2a1ca32-0e8e-4f85-9128-d045e82423f9","510a2791-66f0-499a-b814-91c4e57deb43","0a23b5af-82e5-46aa-bef6-7362e7c40c87","06cac1d3-0240-43e5-ab54-96c72adc3ca0","f97b0dae-366b-48bf-9519-7bc170cb2766"]</t>
  </si>
  <si>
    <t>c8c2cbd0-6b00-4f97-9970-14224685d7a0</t>
  </si>
  <si>
    <t>["092f557e-3e6d-4dac-980b-fd4f0c61f9c7","2811b5de-0b50-4acf-acb4-3b5c53525d1f","0cde9a76-fa91-402d-8488-94c9c574b974","09dbb842-7103-4270-97e3-fc858f2b9bfa","d85e0b12-5b80-4b4b-81e6-4447766dd4e7","f9e4c395-0fcd-4cf5-8a14-9db72695105f","8353bc9d-b942-445e-80a8-787dea0c752e","0d5e5a43-8ea4-4402-99e7-ea8f9b6a714f"]</t>
  </si>
  <si>
    <t>3716ff48-6609-494b-8182-59ff37209cf5</t>
  </si>
  <si>
    <t>["a5538cd3-1abd-44d5-858e-058a8ab6b72d","1b5296c6-de36-4329-b2e5-25d47b534a89","73197d04-2d4d-4608-a0ca-03c64087c7f9","7697e26b-4e56-407f-85a7-279bb9abcaef","3098007d-3d51-4129-815b-8e2d0a8a9fc9","69f96b77-f6b6-4c7d-ad66-ecbca9ded3e3","1cd83078-58d3-4fa8-8e49-45b89032bcbf","b8e01dec-be46-41c0-8713-a61f281f92fd","9b4db498-670d-4e7c-b392-976f68575547","b42e0cb8-4764-4c95-9206-a702a3ca94fa","880cc642-297a-42d8-b61f-31afc044a081"]</t>
  </si>
  <si>
    <t>0877b93e-6c74-451a-84c3-1890085b89fb</t>
  </si>
  <si>
    <t>["8eb99a66-c8da-4a85-a2e8-263b4882b200","bf62f5ce-1eac-4520-b186-93108dfcdd4e"]</t>
  </si>
  <si>
    <t>859f33f1-9a45-4c6a-aeb9-53d787cbffff</t>
  </si>
  <si>
    <t>["c29540f3-d119-4395-bc60-4274c439e0e2","3df8333e-a3b0-4391-9a1e-b3d44e5439aa"]</t>
  </si>
  <si>
    <t>004b11c9-e9fe-4bc9-a628-b25d45f52687</t>
  </si>
  <si>
    <t>["59988ad9-fe8c-426c-b71f-00890db727f8","da179852-7c12-45bc-bd39-523c09d68224"]</t>
  </si>
  <si>
    <t>f168410b-fdac-47e6-a2c9-cb836f8a21b7</t>
  </si>
  <si>
    <t>["2706522f-38a0-44a0-8be9-f9afa33c4b6e","f88046c6-21f1-4ac8-b189-b2dafa348bf3","8529bf7c-eaf0-4510-b50c-306442581bce","64b035af-4601-4388-93ca-c94bc58dff83","cd04e3f9-8ca9-4f41-a059-6e5c1b8b115f","b0c8b859-961f-4ae0-8753-f22a36c4b5ed","b36f8fc7-83c3-4bbd-9c96-8427d842fcd9"]</t>
  </si>
  <si>
    <t>8ca27162-cf4c-4235-9625-144bc5f8b3b8</t>
  </si>
  <si>
    <t>["c5d5a26a-cdf1-414b-99d6-4f6d5a6037df","791d629c-829a-4192-af58-0003592fb5d4","d7028dfd-f9c5-47fc-9546-314b8c314e0b"]</t>
  </si>
  <si>
    <t>e11d6aeb-dad6-48da-a2ff-73af4a3884cb</t>
  </si>
  <si>
    <t>["933649d2-61ca-4673-9bd0-9bf2dda9ad08","ba766927-4f03-4179-92d8-6c6e51f354b3","df5a3fb5-c708-48a4-b3fb-4eeb6877449f","02ac2483-3766-4e87-9642-a7538fa09b5e"]</t>
  </si>
  <si>
    <t>78f2831d-b2fe-4cc4-8a44-bf741ea81b7f</t>
  </si>
  <si>
    <t>["77077759-eca1-4237-b460-2fedc4e61575","5e73d0f2-1aab-4b35-9404-644e8e8734ab","adb34e5f-abfc-49e2-9d76-19db9e87e7d4","870e4611-5e0d-4302-b0d6-c9129b6ab79d","f4c2e9cd-a657-4712-810c-af158ce59e1a","b8f78421-12e0-4c9a-a585-05d1131e0c5d","9e0af212-d35f-4346-bd50-afbe618ec86a"]</t>
  </si>
  <si>
    <t>1c6df516-1715-4ad1-8bcd-2f628170a9ab</t>
  </si>
  <si>
    <t>["43534dfe-d369-429c-b2f9-469d130c9b7e","a4701464-123d-44f4-9e1a-a2d784fb3481","8176c706-3602-4bd6-93e6-7e85344bb0fe","d30dc058-e754-42aa-930d-fdf9936518c9","240649a4-986b-4ea3-91f7-bb92df91dfd1","4087d0f4-41bf-46d9-92cb-1a32f43550c4","e062b74d-4237-47e0-a444-785c70dd1ce0","cb910325-b9f3-453d-b7e0-9cf6dfb5954f","bc375460-a6ad-443b-9283-39151afa9d58"]</t>
  </si>
  <si>
    <t>0e5a14aa-9bf4-4548-9938-f5cfffa73598</t>
  </si>
  <si>
    <t>["c2ddd13f-b748-4789-bcfb-fc799a945e39","0758be5f-dc5e-49e8-82f8-e9f756071631","d5a0f1f9-7ef0-4b71-a688-57ad080ad214","862377fd-42e5-4b4c-b6d1-f8abddcc938e","1bcf48e6-a29b-4913-83b9-671bd262ab26"]</t>
  </si>
  <si>
    <t>7530b13f-fabb-41fe-9523-01f3cac97750</t>
  </si>
  <si>
    <t>["b2b4daf5-d986-428a-b4e5-096166af4a0a","708ecb63-c3dc-40a7-a346-a91f5ad2bdf3","c134bfb7-939b-496a-9e70-8a6a7a3d96c5","57282de5-e5a7-48d0-93db-d093957675c1","aa3618dd-746f-4f87-affc-2f103d6e3fe9","f73fa722-1ea6-4368-ad3b-c095740b75da"]</t>
  </si>
  <si>
    <t>4d50a42d-8662-461f-a783-aee52c2ab469</t>
  </si>
  <si>
    <t>["5ea8ad7f-0828-41b3-8b09-d4e8b0f57a07","400177af-7fe0-43eb-a111-588c4f445c3c","46d13d85-a281-4238-ada6-b1d8c670556c","50741612-b365-4216-8cd4-e3c8884dd716"]</t>
  </si>
  <si>
    <t>044361b7-a153-40d6-9552-4292637bb427</t>
  </si>
  <si>
    <t>["e89605ed-c940-4327-bd98-9501b7725240","eb037280-056d-42ef-a362-1f0023849d3e"]</t>
  </si>
  <si>
    <t>cb524d1f-62a7-4303-acfe-7f207f94b8d6</t>
  </si>
  <si>
    <t>["8b3c1c07-f9b4-4244-ac0a-e02bcb47a252","43ed42ac-04e6-42ed-bcfb-ba2ea0937ba3"]</t>
  </si>
  <si>
    <t>eaf4a6ee-6dd6-4504-87ec-302f84ef4b45</t>
  </si>
  <si>
    <t>["bd0cb7cf-2954-4926-8dd0-9e6dd447fb29","11c1874d-e02a-4d99-bae8-6e1f6ed480bb"]</t>
  </si>
  <si>
    <t>422ba6c0-3a4d-491c-b266-dae2195b3cce</t>
  </si>
  <si>
    <t>["081bd666-a85d-432b-a361-7d4d2a7a0724","7582ad5a-817c-4a6e-89fa-aed0e5d540f5","2c1bc97f-7c6f-4322-bd74-8d582df9ab9d"]</t>
  </si>
  <si>
    <t>63ea7e18-6a0d-4990-8cdb-03d40038c15c</t>
  </si>
  <si>
    <t>["85d398ac-d801-45b6-ad38-25eaa60363a8","b419cbf9-e1c1-4cbb-b922-551bda1c93e2"]</t>
  </si>
  <si>
    <t>5d74e8dc-9ffe-438f-844c-d5b9d72d6154</t>
  </si>
  <si>
    <t>["9d72ad11-d181-4a95-8f42-8f46cb7a5c8d","efa2d487-7bff-4c57-9999-f2892375b0fe"]</t>
  </si>
  <si>
    <t>chapter</t>
  </si>
  <si>
    <t>סעיף</t>
  </si>
  <si>
    <t>תיאור עבודה</t>
  </si>
  <si>
    <t>יח׳</t>
  </si>
  <si>
    <t>כמות</t>
  </si>
  <si>
    <t>מחיר יחידה</t>
  </si>
  <si>
    <t>סה״כ</t>
  </si>
  <si>
    <t>columns</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</si>
  <si>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</si>
  <si>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1b2325c4-3966-498f-8366-a0f5dda84597</t>
  </si>
  <si>
    <t>note</t>
  </si>
  <si>
    <t>1.01</t>
  </si>
  <si>
    <t>פירוק מעטפת דלפק {זיהוי}, לרבות חיפויים, משטחים ודפנות המיועדים להחלפה. שלד, ציוד ותשתיות שנותרים לשימוש: {פירוט}.</t>
  </si>
  <si>
    <t>קומפ'</t>
  </si>
  <si>
    <t>0bfab241-ed81-43ee-99b0-5526452543a7</t>
  </si>
  <si>
    <t>item</t>
  </si>
  <si>
    <t>1.02</t>
  </si>
  <si>
    <t>פירוק ופינוי ריהוט קבוע, ארונות וציוד המיועדים לפינוי באזור {אזור}; פריטים לשימוש חוזר וגבולות פירוק יפורטו לפני תחילת העבודה.</t>
  </si>
  <si>
    <t>b4a6859b-aadb-4a39-859d-136a349ec68c</t>
  </si>
  <si>
    <t>1.03</t>
  </si>
  <si>
    <t>פירוק תקרה או הנמכה מסוג {סוג} באזור {אזור}, לרבות התשתית המיועדת לפירוק. הטיפול בחלקים: {פינוי או שמירה להרכבה מחדש}.</t>
  </si>
  <si>
    <t>מ"ר</t>
  </si>
  <si>
    <t>5a048a3b-1e97-41e1-bbaf-f07b3e5a1af8</t>
  </si>
  <si>
    <t>1.04</t>
  </si>
  <si>
    <t>פירוק ריצוף ושכבות תשתית באזור {אזור}, עד {גבול ועומק פירוק}, כהכנה לעבודות החדשות המפורטות בפרויקט.</t>
  </si>
  <si>
    <t>4bc42c11-c26d-4db2-9bed-59b566c56110</t>
  </si>
  <si>
    <t>1.05</t>
  </si>
  <si>
    <t>פירוק מערכת חשמל ואביזריה באזור {אזור}, בגבולות הנקובים בתכנון. מעגלים ואביזרים שנשארים פעילים או מיועדים להרכבה מחדש: {פירוט}.</t>
  </si>
  <si>
    <t>81b27a8b-b6cf-406b-9a4f-4064fd0e67ce</t>
  </si>
  <si>
    <t>1.06</t>
  </si>
  <si>
    <t>פירוק צנרת ואביזרי אינסטלציה המיועדים להחלפה באזור {אזור}, בגבולות {תחילה וסיום}; הגנת וחסימת קצוות החיבור לפי התכנון.</t>
  </si>
  <si>
    <t>e3f473bc-d7e6-46b1-984d-3181e8d54797</t>
  </si>
  <si>
    <t>1.07</t>
  </si>
  <si>
    <t>פירוק שילוט קיים מטיפוס {זיהוי}, כולל רכיבי התקנה והזנה המיועדים לפירוק, ושמירה על רכיבים שסומנו להמשך שימוש.</t>
  </si>
  <si>
    <t>070e4db8-dea0-48c6-956d-0c3a3be755b0</t>
  </si>
  <si>
    <t>סיכום חלקי פרק 1 להעברה</t>
  </si>
  <si>
    <t>total</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</si>
  <si>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</si>
  <si>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89ec1321-ba79-4713-9bd0-0c59184ce03f</t>
  </si>
  <si>
    <t>2.01</t>
  </si>
  <si>
    <t>הקמת מחיצה נמוכה כתשתית לדלפק או להפרדה באזור {אזור}, בגובה ובחתך {מידות}, במערכת {סוג}, לרבות {תכולה ועיגון}.</t>
  </si>
  <si>
    <t>מ.א.</t>
  </si>
  <si>
    <t>e2a1ca32-0e8e-4f85-9128-d045e82423f9</t>
  </si>
  <si>
    <t>2.02</t>
  </si>
  <si>
    <t>ביצוע עיבוי או חיפוי קיר קיים במערכת {סוג}, בגובה {גובה}, באזור {אזור}, לצורך {ייעוד}, לרבות תשתית וחיבורים כמפורט.</t>
  </si>
  <si>
    <t>510a2791-66f0-499a-b814-91c4e57deb43</t>
  </si>
  <si>
    <t>2.03</t>
  </si>
  <si>
    <t>אספקה והתקנת מגן פינה מנירוסטה מטיפוס {טיפוס}, במידות {מידות}, עובי וגמר {מפרט}, על תשתית {סוג} ובאופן חיבור {פרט}.</t>
  </si>
  <si>
    <t>יח'</t>
  </si>
  <si>
    <t>0a23b5af-82e5-46aa-bef6-7362e7c40c87</t>
  </si>
  <si>
    <t>2.04</t>
  </si>
  <si>
    <t>אספקה והתקנת מגן קצה מנירוסטה מטיפוס {טיפוס}, במידות {מידות}, עובי וגמר {מפרט}, על תשתית {סוג} ובאופן חיבור {פרט}.</t>
  </si>
  <si>
    <t>06cac1d3-0240-43e5-ab54-96c72adc3ca0</t>
  </si>
  <si>
    <t>2.05</t>
  </si>
  <si>
    <t>אספקה והתקנת משקוף נירוסטה לפתח {זיהוי וייעוד}, במידות {מידות}, עובי וגמר {מפרט}, לרבות החיבורים והעיגון שנקבעו לפריט.</t>
  </si>
  <si>
    <t>f97b0dae-366b-48bf-9519-7bc170cb2766</t>
  </si>
  <si>
    <t>סיכום חלקי פרק 2 להעברה</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</si>
  <si>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</si>
  <si>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092f557e-3e6d-4dac-980b-fd4f0c61f9c7</t>
  </si>
  <si>
    <t>3.01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</si>
  <si>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</si>
  <si>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2811b5de-0b50-4acf-acb4-3b5c53525d1f</t>
  </si>
  <si>
    <t>3.02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</si>
  <si>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</si>
  <si>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</si>
  <si>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0cde9a76-fa91-402d-8488-94c9c574b974</t>
  </si>
  <si>
    <t>3.03</t>
  </si>
  <si>
    <t>ביצוע נקודת מים קרים ודלוחין עבור {כיור או ציוד}, לפי תכנון הפרויקט, לרבות הצנרת ואביזרי החיבור בגבולות {תכולה}.</t>
  </si>
  <si>
    <t>09dbb842-7103-4270-97e3-fc858f2b9bfa</t>
  </si>
  <si>
    <t>3.04</t>
  </si>
  <si>
    <t>ביצוע נקודת דלוחין עצמאית עבור {ציוד או ייעוד}, לרבות חיבור וסיום לפי תכנון הפרויקט. אין לכלול שוב ניקוז שכבר נכלל בנקודת מים משולבת.</t>
  </si>
  <si>
    <t>d85e0b12-5b80-4b4b-81e6-4447766dd4e7</t>
  </si>
  <si>
    <t>3.05</t>
  </si>
  <si>
    <t>ביצוע נקודת ניקוז למיזוג אוויר מטיפוס {טיפוס}, לפי תכנון המיזוג והתברואה; קצה וגבול החיבור לקבלן המיזוג: {פירוט}.</t>
  </si>
  <si>
    <t>f9e4c395-0fcd-4cf5-8a14-9db72695105f</t>
  </si>
  <si>
    <t>3.06</t>
  </si>
  <si>
    <t>התקנת תעלת ניקוז מטיפוס {טיפוס}, במידות {מידות}, על התשתית המוגדרת, וחיבורה למערכת הניקוז. אספקת התעלה, עיגון ואיטום המפגש: {חלוקת אחריות}.</t>
  </si>
  <si>
    <t>8353bc9d-b942-445e-80a8-787dea0c752e</t>
  </si>
  <si>
    <t>3.07</t>
  </si>
  <si>
    <t>אספקה והתקנת מתקן חימום מים מסוג {סוג}, בקיבול או הספק {נתון}, עם אביזרים וחיבורים כמפורט בתכנון. גבולות עבודות החשמל ועיגון המתקן: {פירוט}.</t>
  </si>
  <si>
    <t>0d5e5a43-8ea4-4402-99e7-ea8f9b6a714f</t>
  </si>
  <si>
    <t>סיכום חלקי פרק 3 להעברה</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</si>
  <si>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</si>
  <si>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a5538cd3-1abd-44d5-858e-058a8ab6b72d</t>
  </si>
  <si>
    <t>4.01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</si>
  <si>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</si>
  <si>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1b5296c6-de36-4329-b2e5-25d47b534a89</t>
  </si>
  <si>
    <t>4.02</t>
  </si>
  <si>
    <t>ביצוע יציאה נוספת לגוף תאורה המשויך למעגל {זיהוי}, לפי תכנון החשמל; תכולת החיבור: {פירוט}.</t>
  </si>
  <si>
    <t>73197d04-2d4d-4608-a0ca-03c64087c7f9</t>
  </si>
  <si>
    <t>4.03</t>
  </si>
  <si>
    <t>התקנת וחיבור גוף תאורה מטיפוס {טיפוס} על תשתית {קיימת או חדשה}, לרבות אביזרי ההתקנה המוגדרים. אספקת הגוף: {אחריות}.</t>
  </si>
  <si>
    <t>7697e26b-4e56-407f-85a7-279bb9abcaef</t>
  </si>
  <si>
    <t>4.04</t>
  </si>
  <si>
    <t>ביצוע נקודת כוח חד־פאזית עבור {ייעוד}, באזור {אזור}, עם האביזר והתשתית לפי תכנון החשמל ובגבולות {תכולה}.</t>
  </si>
  <si>
    <t>3098007d-3d51-4129-815b-8e2d0a8a9fc9</t>
  </si>
  <si>
    <t>4.05</t>
  </si>
  <si>
    <t>ביצוע נקודת כוח תלת־פאזית עבור {ציוד}, לפי מפרט ההזנה של מתכנן החשמל ויצרן הציוד. אביזר החיבור וגבול העבודה: {פירוט}.</t>
  </si>
  <si>
    <t>69f96b77-f6b6-4c7d-ad66-ecbca9ded3e3</t>
  </si>
  <si>
    <t>4.06</t>
  </si>
  <si>
    <t>ביצוע נקודת הזנה למיזוג אוויר עבור {יחידה}, בהתאם לתכנון החשמל והמיזוג, לרבות אביזר סיום וגבול חיבור {פירוט}.</t>
  </si>
  <si>
    <t>1cd83078-58d3-4fa8-8e49-45b89032bcbf</t>
  </si>
  <si>
    <t>4.07</t>
  </si>
  <si>
    <t>ביצוע נקודת הזנה למפוח עבור {יחידה וייעוד}, בהתאם לתכנון החשמל והאוורור, לרבות אביזר סיום וגבול חיבור {פירוט}.</t>
  </si>
  <si>
    <t>b8e01dec-be46-41c0-8713-a61f281f92fd</t>
  </si>
  <si>
    <t>4.08</t>
  </si>
  <si>
    <t>ביצוע תשתית תקשורת מטיפוס {סוג}, בין נקודות {קצוות}, לרבות צנרת, חוט משיכה ואביזרי סיום שנקבעו. כבילה פעילה וציוד קצה: {תכולה ואחריות}.</t>
  </si>
  <si>
    <t>9b4db498-670d-4e7c-b392-976f68575547</t>
  </si>
  <si>
    <t>4.09</t>
  </si>
  <si>
    <t>אספקה והתקנת לוח חשמל {זיהוי}, כולל מכלול הרכיבים, הסימון, החיווט והחיבור שנקבעו בתכנון החשמל. גודל החיבור והמפרט יושלמו בפרויקט.</t>
  </si>
  <si>
    <t>b42e0cb8-4764-4c95-9206-a702a3ca94fa</t>
  </si>
  <si>
    <t>4.10</t>
  </si>
  <si>
    <t>ביצוע הזנת חשמל והפעלה לשלט {זיהוי}, לרבות מעבר כבל בתשתית המוגדרת וחיבור בנקודת הסיום {מיקום}. השלט וספקו יתומחרו בנפרד אלא אם צוינה תכולה אחרת.</t>
  </si>
  <si>
    <t>880cc642-297a-42d8-b61f-31afc044a081</t>
  </si>
  <si>
    <t>סיכום חלקי פרק 4 להעברה</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</si>
  <si>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</si>
  <si>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8eb99a66-c8da-4a85-a2e8-263b4882b200</t>
  </si>
  <si>
    <t>5.01</t>
  </si>
  <si>
    <t>ביצוע שכבת הכנה, מילוי או הגבהה באזור {אזור}, מחומר {מערכת}, בעובי ובמפלס {נתונים}, לרבות {תשתית, גמר והשלמות נכללים}, לפי פרט מאושר.</t>
  </si>
  <si>
    <t>bf62f5ce-1eac-4520-b186-93108dfcdd4e</t>
  </si>
  <si>
    <t>סיכום חלקי פרק 5 להעברה</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</si>
  <si>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</si>
  <si>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c29540f3-d119-4395-bc60-4274c439e0e2</t>
  </si>
  <si>
    <t>6.01</t>
  </si>
  <si>
    <t>ביצוע איטום באזור רטוב {זיהוי ואזור}, במערכת {מפרט מאושר}, לרבות הכנת תשתית, מפגשי קיר ורצפה, חדירות וסיומות לפי הפרט. בדיקות ותכולת ההכנה: {פירוט}.</t>
  </si>
  <si>
    <t>3df8333e-a3b0-4391-9a1e-b3d44e5439aa</t>
  </si>
  <si>
    <t>סיכום חלקי פרק 6 להעברה</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</si>
  <si>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</si>
  <si>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59988ad9-fe8c-426c-b71f-00890db727f8</t>
  </si>
  <si>
    <t>7.01</t>
  </si>
  <si>
    <t xml:space="preserve">אספקה והתקנת דלת פנים מטיפוס {זיהוי}.
מידות ופתיחה: {מידות וכיוון}; כנף ומילוי: {מפרט}; משקוף והלבשות: {מפרט}; פרזול: {מפרט}; גמר וגוון: {מפרט}; תכנית ופרט: {הפניה}.</t>
  </si>
  <si>
    <t>da179852-7c12-45bc-bd39-523c09d68224</t>
  </si>
  <si>
    <t>סיכום חלקי פרק 7 להעברה</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</si>
  <si>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</si>
  <si>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2706522f-38a0-44a0-8be9-f9afa33c4b6e</t>
  </si>
  <si>
    <t>8.01</t>
  </si>
  <si>
    <t>ריצוף אזור הכנת המזון ופנים הדלפק {אזור}, באריחי גרניט פורצלן אנטיסליפ במידות 30×30 ס״מ, עם מישקים 3 מ״מ ורובה אפוקסית שחורה. דרגת ההחלקה ודגם האריח {בחירה לפי שימוש ותכנון הסניף; אינם מפורטים במקור דובאי}. מפגשים, שיפועים ונקזים לפי פרט {הפניה}; אספקת האריחים {אחריות}.</t>
  </si>
  <si>
    <t>f88046c6-21f1-4ac8-b189-b2dafa348bf3</t>
  </si>
  <si>
    <t>8.02</t>
  </si>
  <si>
    <t>חיפוי דופן חיצונית של דלפק {זיהוי}, בחומר {סוג, דגם ומידה}, בדוגמה ובגמר {פירוט}, על תשתית {סוג}; פרופילים וחיבוריהם נכללים רק לפי התכולה המפורשת.</t>
  </si>
  <si>
    <t>8529bf7c-eaf0-4510-b50c-306442581bce</t>
  </si>
  <si>
    <t>8.03</t>
  </si>
  <si>
    <t>חיפוי דופן פנימית לדלפק {זיהוי}, באריחי קרמיקה לבנה במידות 30×60 ס״מ, עם מישקים 3 מ״מ ורובה כחולה, לגובה {גובה}, על תשתית {סוג}. אספקת האריחים {אחריות}. אין לכלול חיפוי פורמייקה באותו שטח.</t>
  </si>
  <si>
    <t>64b035af-4601-4388-93ca-c94bc58dff83</t>
  </si>
  <si>
    <t>8.04</t>
  </si>
  <si>
    <t>התקנת פנל תואם לריצוף {חומר וגמר}, בגובה {גובה}, לאורך האזור {אזור}, לרבות פינות וסיומות לפי הפרט.</t>
  </si>
  <si>
    <t>cd04e3f9-8ca9-4f41-a059-6e5c1b8b115f</t>
  </si>
  <si>
    <t>8.05</t>
  </si>
  <si>
    <t>חיפוי קירות מטבח באזור {אזור}, באריחי קרמיקה לבנה מבריקה במידות 30×60 ס״מ, עם מישקים 2 מ״מ ורובה לבנה, לגובה {גובה לפי הסניף}. אספקת האריחים {אחריות}; פינות ומפגשים לפי פרט {הפניה}.</t>
  </si>
  <si>
    <t>b0c8b859-961f-4ae0-8753-f22a36c4b5ed</t>
  </si>
  <si>
    <t>8.06</t>
  </si>
  <si>
    <t>ריצוף אזור ישיבה או שטח ציבורי {אזור}, כשנכלל בסניף, באריחי גרניט פורצלן דמוי טרצו במידות 80×80 ס״מ, עם מישקים 2 מ״מ ורובה אפורה, על תשתית {סוג}. אספקת האריחים {אחריות}.</t>
  </si>
  <si>
    <t>b36f8fc7-83c3-4bbd-9c96-8427d842fcd9</t>
  </si>
  <si>
    <t>סיכום חלקי פרק 8 להעברה</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</si>
  <si>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</si>
  <si>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c5d5a26a-cdf1-414b-99d6-4f6d5a6037df</t>
  </si>
  <si>
    <t>9.01</t>
  </si>
  <si>
    <t>ביצוע קרניז מטיפוס {טיפוס}, בחתך ובגובה {מידות}, באזור {אזור}, לרבות הכנה לתאורה או למיזוג לפי הפרט וללא אספקת גוף התאורה.</t>
  </si>
  <si>
    <t>791d629c-829a-4192-af58-0003592fb5d4</t>
  </si>
  <si>
    <t>9.02</t>
  </si>
  <si>
    <t>אספקה והתקנת תקרת מגשים ברוחב 30 ס״מ באזור מטבח או מחסן {אזור}, בגמר לבן RAL 9010 ופרופיל סיום L, לרבות תשתית ותלייה ופתחים לפי התכנון. גובה, חלוקה ועובי מגש {לפי תכנון הסניף}.</t>
  </si>
  <si>
    <t>d7028dfd-f9c5-47fc-9546-314b8c314e0b</t>
  </si>
  <si>
    <t>סיכום חלקי פרק 9 להעברה</t>
  </si>
  <si>
    <t>עבודות הצבע כוללות הכנת תשתית, תיקונים וחומרי יסוד לפי המשטח והוראות המוצר. גמר קירות ותקרות אקריליים: סופרקריל, שתי שכבות לפחות ועד כיסוי מלא, גוון אפור Dunn Edwards Paints DE6374. קרניזי גל: צבע שמן מט משי בגוון כחול RAL 5012 בסעיף נפרד. המוצרים והגוונים משויכים למשטח המפורט, ללא העתקת הוראות דילול בטרפנטין. גוון אינו מחליף התאמת מוצר הצבע לתשתית.</t>
  </si>
  <si>
    <t>933649d2-61ca-4673-9bd0-9bf2dda9ad08</t>
  </si>
  <si>
    <t>10.01</t>
  </si>
  <si>
    <t>הכנת וצביעת קירות באזור {אזור}, לרבות תיקוני תשתית והחלקה {תכולה}, בצבע אקרילי מסוג סופרקריל בשתי שכבות לפחות ועד כיסוי מלא; גוון אפור Dunn Edwards Paints DE6374. חומר יסוד לפי המשטח והוראות המוצר.</t>
  </si>
  <si>
    <t>ba766927-4f03-4179-92d8-6c6e51f354b3</t>
  </si>
  <si>
    <t>10.02</t>
  </si>
  <si>
    <t>הכנת וצביעת תקרות גבס והנמכות באזור {אזור}, לרבות תיקוני תשתית ושפכטל אמריקאי עד החלקה, בצבע אקרילי מסוג סופרקריל בשתי שכבות לפחות ועד כיסוי מלא; גוון אפור Dunn Edwards Paints DE6374. חומר יסוד לפי המשטח והוראות המוצר.</t>
  </si>
  <si>
    <t>df5a3fb5-c708-48a4-b3fb-4eeb6877449f</t>
  </si>
  <si>
    <t>10.03</t>
  </si>
  <si>
    <t>הכנת וצביעת קרניז גל באזור {אזור}, לרבות תיקוני תשתית ושפכטל אמריקאי עד החלקה, בצבע שמן מט משי בשתי שכבות לפחות ועד כיסוי מלא, בגוון כחול RAL 5012. מידות ומיקום הקרניז {לפי תכנון הסניף}. אין לחייב שוב גמר צבע שנכלל במחיר קרניז מוגמר.</t>
  </si>
  <si>
    <t>02ac2483-3766-4e87-9642-a7538fa09b5e</t>
  </si>
  <si>
    <t>סיכום חלקי פרק 10 להעברה</t>
  </si>
  <si>
    <t>מחיר כל פריט נגרות כולל חומרים, פרזול, גמר, הובלה והרכבה שפורטו. לוחות עץ לבוד בעובי 18 מ״מ בציפוי פורמייקה בגמר נירוסטה מוברשת D2178; עץ מסיבי במבוק בגמר לכה מט משי 15% ברק; רכיבי MDF דקורטיביים בגמר כחול RAL 5012. אין חלופת בירמן 1100 או חזית אלון מולבן כברירת מחדל. מידות כלליות, חלוקה ומפלסים לפי הסניף. רכיבי מתכת, קוריאן, זיגוג ושילוט בסעיפים נפרדים מוחרגים.</t>
  </si>
  <si>
    <t>77077759-eca1-4237-b460-2fedc4e61575</t>
  </si>
  <si>
    <t>11.01</t>
  </si>
  <si>
    <t>אספקה והתקנת משטח מדורג להגשה לדלפק {זיהוי}, מעץ מסיבי במבוק בעובי 2 ס״מ וברוחב 26 ס״מ, עם קנט קדמי ואחורי לפי הפרט, בגמר לכה מט משי 15% ברק. אורך, צורה ומפלסים {לפי תכנון הסניף}. שלד מסגרות, דפנות וקוריאן מתומחרים בנפרד.</t>
  </si>
  <si>
    <t>5e73d0f2-1aab-4b35-9404-644e8e8734ab</t>
  </si>
  <si>
    <t>11.02</t>
  </si>
  <si>
    <t>אספקה והתקנת דופן פנימית לדלפק {זיהוי}, מלוחות עץ לבוד בעובי 18 מ״מ מצופים פורמייקה D2178 בגמר נירוסטה מוברשת, על שלד המתומחר בנפרד, לרבות פתחים והתאמות לציוד. גובה וחלוקה {מידות הסניף}. אין לחייב גם חיפוי קרמי באותו שטח.</t>
  </si>
  <si>
    <t>adb34e5f-abfc-49e2-9d76-19db9e87e7d4</t>
  </si>
  <si>
    <t>11.03</t>
  </si>
  <si>
    <t>אספקה והתקנת דופן נגרות דקורטיבית לדלפק {זיהוי}, עשויה לוחות וסרגלי MDF בגמר צבע כחול RAL 5012, בגובה ובחלוקה {מידות הסניף}, על שלד מתומחר בנפרד. אין להחליף בחזית אלון מולבן מן המקורות הישנים. אריחים ורכיבי מיתוג בסעיפים נפרדים אינם כלולים.</t>
  </si>
  <si>
    <t>870e4611-5e0d-4302-b0d6-c9129b6ab79d</t>
  </si>
  <si>
    <t>11.04</t>
  </si>
  <si>
    <t>אספקה והתקנת שער כניסה לדלפק {זיהוי}, מלוח MDF בגמר לבן ופס עליון מעץ מסיבי במבוק בחתך 4×5 ס״מ, בגמר לכה מט משי 15% ברק לרכיב הבמבוק, לרבות צירים וסגירה לפי פרט {הפניה}. מידות פתח וכיוון פתיחה {לפי הסניף}.</t>
  </si>
  <si>
    <t>f4c2e9cd-a657-4712-810c-af158ce59e1a</t>
  </si>
  <si>
    <t>11.05</t>
  </si>
  <si>
    <t>התקנת לוחות תשתית לדופן דלפק {זיהוי}, מחומר ובעובי {מפרט}, על גבי {תשתית}, כהכנה לחיפוי {חומר}. החיפוי הסופי מתומחר בפרק הריצוף והחיפוי או בפרק המשטחים.</t>
  </si>
  <si>
    <t>b8f78421-12e0-4c9a-a585-05d1131e0c5d</t>
  </si>
  <si>
    <t>11.06</t>
  </si>
  <si>
    <t>אספקה והתקנת רקע נגרות לקיר מיתוג {זיהוי}, מלוחות MDF פריקים על קורות עץ 40×40 מ״מ כהרחקה מהקיר, בחלוקה לריבועים באמצעות סרגלי MDF ‏60×20 מ״מ, בגמר כחול RAL 5012. מידות כלליות וחלוקה {לפי הסניף}. אותיות LED, ספקים והזנה מתומחרים בנפרד.</t>
  </si>
  <si>
    <t>9e0af212-d35f-4346-bd50-afbe618ec86a</t>
  </si>
  <si>
    <t>סיכום חלקי פרק 11 להעברה</t>
  </si>
  <si>
    <t>עבודות המסגרות כוללות חומרי גלם, חיבורים, עיגון, הכנת שטח, חומרי יסוד וגמר המפורטים לפריט, הובלה והרכבה. לשלד דלפק פנימי: פרופיל פלדה 40×40 מ״מ וגמר שחור מט RAL 9005; עובי דופן, הגנת קורוזיה וחיבורים לפי תכנון הסניף. כחול RAL 5012 חל רק ברכיבים שסומנו כחולים בפרט המאושר. רכיבי נגרות, קוריאן, זכוכית ותאורה בסעיפים נפרדים מוחרגים.</t>
  </si>
  <si>
    <t>43534dfe-d369-429c-b2f9-469d130c9b7e</t>
  </si>
  <si>
    <t>12.01</t>
  </si>
  <si>
    <t>אספקה והתקנת שלד מסגרות פנימי לדלפק {זיהוי}, מפרופילי פלדה 40×40 מ״מ, בגמר שחור מט RAL 9005, בגובה ובחלוקה {מידות}, לרבות עיגון והכנות למעבר תשתיות לפי תכנון {הפניה}. עובי דופן והגנת קורוזיה {מפרט תכנון}. נגרות, אריחים, קוריאן וזכוכית אינם כלולים.</t>
  </si>
  <si>
    <t>a4701464-123d-44f4-9e1a-a2d784fb3481</t>
  </si>
  <si>
    <t>12.02</t>
  </si>
  <si>
    <t>אספקה והתקנת יחידת מדפי מתכת או מתקן תצוגה מטיפוס {טיפוס}, במידות {מידות}, מפרופילים ומשטחים {מפרט}, בגמר {גמר}, לרבות תלייה או עיגון המוגדרים לפריט.</t>
  </si>
  <si>
    <t>8176c706-3602-4bd6-93e6-7e85344bb0fe</t>
  </si>
  <si>
    <t>12.03</t>
  </si>
  <si>
    <t>אספקה והתקנת מסגרת תמיכה לפריט {זיהוי}, במידות {מידות}, מפרופילים ובגמר {מפרט}, לרבות עיגון והכנות כמפורט. הפריט הנתמך מתומחר בנפרד.</t>
  </si>
  <si>
    <t>d30dc058-e754-42aa-930d-fdf9936518c9</t>
  </si>
  <si>
    <t>12.04</t>
  </si>
  <si>
    <t>אספקה והתקנת מסגרת תומכת לשילוט בהיקף דלפק {זיהוי}, במידות ובפרופילים {מפרט}, לרבות עיגון והכנה למעבר הזנה. אותיות, תאורה ושלט גמר אינם כלולים.</t>
  </si>
  <si>
    <t>240649a4-986b-4ea3-91f7-bb92df91dfd1</t>
  </si>
  <si>
    <t>12.05</t>
  </si>
  <si>
    <t>אספקה והתקנת שלד מפרופיל מגולוון 40×40 מ״מ בגמר טבעי לתמיכת מעטפת Alucobond באזור {זיהוי}, לפי תכנון ואישור מהנדס {הפניה}. אורך, גובה ועובי דופן {לפי הסניף}; לוחות הגמר מתומחרים בנפרד.</t>
  </si>
  <si>
    <t>4087d0f4-41bf-46d9-92cb-1a32f43550c4</t>
  </si>
  <si>
    <t>12.06</t>
  </si>
  <si>
    <t>אספקה והתקנת לוחות Alucobond חלקים ברוחב 42 ס״מ, עם נתק 2 ס״מ בין הלוחות, בגמר כחול RAL 5012, על גבי שלד המתומחר בנפרד. גובה ואורך המעטפת {לפי הסניף}; עובי לוח {פרט תכנון, אינו מפורט במקור}. פרספקס ותאורה מתומחרים בנפרד.</t>
  </si>
  <si>
    <t>e062b74d-4237-47e0-a444-785c70dd1ce0</t>
  </si>
  <si>
    <t>12.07</t>
  </si>
  <si>
    <t>אספקה והתקנת לוחות Alucobond מחוררים ברוחב 42 ס״מ, עם נתק 2 ס״מ בין הלוחות, בגמר כחול RAL 5012, על גבי שלד המתומחר בנפרד. גובה ואורך המעטפת {לפי הסניף}; עובי לוח {פרט תכנון, אינו מפורט במקור}. פרספקס ותאורה מתומחרים בנפרד.</t>
  </si>
  <si>
    <t>cb910325-b9f3-453d-b7e0-9cf6dfb5954f</t>
  </si>
  <si>
    <t>מסגרות ביפרש (המשך)</t>
  </si>
  <si>
    <t>heading</t>
  </si>
  <si>
    <t>12.08</t>
  </si>
  <si>
    <t>אספקה והתקנת פרופיל הפרדה דקורטיבי מאלומיניום מכופף 80×50 מ״מ, בגמר לבן RAL 9003, בין אזורי מעטפת {זיהוי}. אורך ועיגון {לפי פרט הסניף}.</t>
  </si>
  <si>
    <t>bc375460-a6ad-443b-9283-39151afa9d58</t>
  </si>
  <si>
    <t>סיכום חלקי פרק 12 להעברה</t>
  </si>
  <si>
    <t>לחופת הדלפק ולמדף הפנימי: זכוכית מחוסמת שקופה 10 מ״מ. חופה ומדף מתומחרים בנפרד. המחיר כולל את הפרזול, התמיכות והחיבורים המוגדרים לפריט; אורך וצורת הדלפק מותאמים לסניף. זיגוג אחר אינו נכלל אוטומטית במפרט החופה.</t>
  </si>
  <si>
    <t>c2ddd13f-b748-4789-bcfb-fc799a945e39</t>
  </si>
  <si>
    <t>13.01</t>
  </si>
  <si>
    <t>אספקה והתקנת חופת זכוכית לדלפק {זיהוי}, מזכוכית מחוסמת שקופה בעובי 10 מ״מ, ברוחב 60 ס״מ ובגובה 40 ס״מ, לרבות דפנות, פרזול וחיבור לפי הפרט. אורך, תוואי ופינות {לפי הסניף}; מדף פנימי מתומחר בנפרד.</t>
  </si>
  <si>
    <t>0758be5f-dc5e-49e8-82f8-e9f756071631</t>
  </si>
  <si>
    <t>13.02</t>
  </si>
  <si>
    <t>אספקה והתקנת מדף פנימי בחופת דלפק {זיהוי}, מזכוכית מחוסמת שקופה בעובי 10 מ״מ וברוחב 35 ס״מ, לרבות תמיכות וחיבור לפי הפרט. אורך וגובה התקנה {לפי הסניף}.</t>
  </si>
  <si>
    <t>d5a0f1f9-7ef0-4b71-a688-57ad080ad214</t>
  </si>
  <si>
    <t>13.03</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</si>
  <si>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</si>
  <si>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862377fd-42e5-4b4c-b6d1-f8abddcc938e</t>
  </si>
  <si>
    <t>13.04</t>
  </si>
  <si>
    <t>אספקה והתקנת לוחות פרספקס חלבי בעובי 4 מ״מ ובגובה 80 ס״מ בגב לוחות Alucobond מחוררים, כהכנה לתאורת LED אחורית. אורך וחלוקה {לפי הסניף}; שלד, Alucobond, גוף תאורה והזנה מתומחרים בנפרד.</t>
  </si>
  <si>
    <t>1bcf48e6-a29b-4913-83b9-671bd262ab26</t>
  </si>
  <si>
    <t>סיכום חלקי פרק 13 להעברה</t>
  </si>
  <si>
    <t>מפרט משטחים ודפנות: Corian בגוון/דגם Glacier White; משטח פנים 8 מ״מ, דפנות מדורגות 12 מ״מ וקופינג 40 מ״מ. המחירים כוללים עיבוד, פתחים, קנטים, פינות מעוגלות, הובלה והרכבה כמפורט. אורך ותוואי לפי הסניף. אין לחייב שוב אותם משטחים בנגרות או בציוד.</t>
  </si>
  <si>
    <t>b2b4daf5-d986-428a-b4e5-096166af4a0a</t>
  </si>
  <si>
    <t>14.01</t>
  </si>
  <si>
    <t>אספקה והתקנת משטח עבודה Corian Glacier White בעובי 8 מ״מ, ברוחב 65–70 ס״מ, בפנים הדלפק או אי העבודה {זיהוי}, מעל משטחי העבודה והמקררים, כולל פתחים והתאמות לציוד. אורך ותוואי {לפי הסניף}.</t>
  </si>
  <si>
    <t>708ecb63-c3dc-40a7-a346-a91f5ad2bdf3</t>
  </si>
  <si>
    <t>14.02</t>
  </si>
  <si>
    <t>אספקה והתקנת דופן מדורגת Corian Glacier White בעובי 12 מ״מ וברוחב 26 ס״מ, עם פינות מעוגלות, על מסגרת מתכת המתומחרת בנפרד, באזור {זיהוי}. אורך ותוואי {לפי הסניף}.</t>
  </si>
  <si>
    <t>c134bfb7-939b-496a-9e70-8a6a7a3d96c5</t>
  </si>
  <si>
    <t>14.03</t>
  </si>
  <si>
    <t>אספקה והתקנת קופינג Corian Glacier White בעובי 40 מ״מ וברוחב 20 ס״מ, עם פינות מעוגלות, על מחיצה מוגבהת בהיקף דלפק {זיהוי}. אורך ותוואי {לפי הסניף}; התשתית מתומחרת בנפרד.</t>
  </si>
  <si>
    <t>57282de5-e5a7-48d0-93db-d093957675c1</t>
  </si>
  <si>
    <t>14.04</t>
  </si>
  <si>
    <t>אספקה והתקנת דופן מדורגת Corian Glacier White בעובי 12 מ״מ וברוחב 29 ס״מ, עם פינות מעוגלות, על מסגרת מתכת המתומחרת בנפרד, באזור {זיהוי}. אורך ותוואי {לפי הסניף}.</t>
  </si>
  <si>
    <t>aa3618dd-746f-4f87-affc-2f103d6e3fe9</t>
  </si>
  <si>
    <t>14.05</t>
  </si>
  <si>
    <t>אספקה והתקנת דופן מדורגת Corian Glacier White בעובי 12 מ״מ וברוחב 32 ס״מ, עם פינות מעוגלות, על מסגרת מתכת המתומחרת בנפרד, באזור {זיהוי}. אורך ותוואי {לפי הסניף}.</t>
  </si>
  <si>
    <t>f73fa722-1ea6-4368-ad3b-c095740b75da</t>
  </si>
  <si>
    <t>סיכום חלקי פרק 14 להעברה</t>
  </si>
  <si>
    <t>פרק אספקות נפתח רק כשהאספקה נפרדת מהתקנה. מפרטי הגמר שנקבעו בשורות הרשת חלים גם על האספקה המקבילה; אין לבחור חומר אחר בשורת האספקה. דגמי גופי התאורה טרם בוססו כסטנדרט עדכני: BF-08. יש להגדיר לכל טיפוס גוף, מסילה או פרופיל סעיף עצמאי; התקנה והזנה בפרק החשמל. כמויות ופחת ייקבעו בפרויקט.</t>
  </si>
  <si>
    <t>5ea8ad7f-0828-41b3-8b09-d4e8b0f57a07</t>
  </si>
  <si>
    <t>15.01</t>
  </si>
  <si>
    <t>אספקת אריחי ריצוף או חיפוי מטיפוס {זיהוי}, מחומר ודגם {מפרט}, במידה ובגמר {מפרט}. הובלה ופריקה: {תכולה}; התקנה מתומחרת בנפרד.</t>
  </si>
  <si>
    <t>400177af-7fe0-43eb-a111-588c4f445c3c</t>
  </si>
  <si>
    <t>15.02</t>
  </si>
  <si>
    <t>אספקת כלי או אביזר סניטרי מטיפוס {זיהוי}, בדגם ובגמר {מפרט}, לרבות {אביזרים נלווים}. התקנה וחיבור מתומחרים בפרק האינסטלציה.</t>
  </si>
  <si>
    <t>46d13d85-a281-4238-ada6-b1d8c670556c</t>
  </si>
  <si>
    <t>15.03</t>
  </si>
  <si>
    <t>אספקת גוף תאורה מטיפוס {זיהוי}, במפרט ובדגם {מפרט}, עם {ספק, דרייבר ואביזרים נלווים לפי הנדרש}. התקנה ונקודת הזנה מתומחרות בפרק החשמל.</t>
  </si>
  <si>
    <t>50741612-b365-4216-8cd4-e3c8884dd716</t>
  </si>
  <si>
    <t>סיכום חלקי פרק 15 להעברה</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</si>
  <si>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</si>
  <si>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e89605ed-c940-4327-bd98-9501b7725240</t>
  </si>
  <si>
    <t>16.01</t>
  </si>
  <si>
    <t>ביצוע מערכת מיזוג ואוורור בתכולת {מערכת מוגדרת}, לפי תכנון {הפניה}, לרבות {אספקה, התקנה, חיבור והפעלה}. גבולות מול חשמל, ניקוז ותקרות: {פירוט}.</t>
  </si>
  <si>
    <t>eb037280-056d-42ef-a362-1f0023849d3e</t>
  </si>
  <si>
    <t>סיכום חלקי פרק 16 להעברה</t>
  </si>
  <si>
    <t>8b3c1c07-f9b4-4244-ac0a-e02bcb47a252</t>
  </si>
  <si>
    <t>17.01</t>
  </si>
  <si>
    <t>אספקה והתקנת פריט ציוד מטבח או נירוסטה {זיהוי}, לפי רשימת ציוד {הפניה}, בתכולת {מפרט}, עם גבולות חיבור למערכות {פירוט}.</t>
  </si>
  <si>
    <t>43ed42ac-04e6-42ed-bcfb-ba2ea0937ba3</t>
  </si>
  <si>
    <t>סיכום חלקי פרק 17 להעברה</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</si>
  <si>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</si>
  <si>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bd0cb7cf-2954-4926-8dd0-9e6dd447fb29</t>
  </si>
  <si>
    <t>18.01</t>
  </si>
  <si>
    <t>ביצוע נקודת גז עבור {ציוד מזוהה}, לפי תכנון {הפניה}, לרבות התשתית ואביזרי החיבור בתכולת {מפרט}. גבולות אחריות אספקת המערכת, חיבור הציוד ובדיקות: {פירוט}.</t>
  </si>
  <si>
    <t>11c1874d-e02a-4d99-bae8-6e1f6ed480bb</t>
  </si>
  <si>
    <t>סיכום חלקי פרק 18 להעברה</t>
  </si>
  <si>
    <t>081bd666-a85d-432b-a361-7d4d2a7a0724</t>
  </si>
  <si>
    <t>19.01</t>
  </si>
  <si>
    <t>ביצוע מערכת כיבוי {סוג מערכת מוגדר}, לפי תכנון בטיחות וכיבוי {הפניה}, בגבולות {תכולה ואחריות}, עם הממשקים למערכות האחרות כמפורט.</t>
  </si>
  <si>
    <t>7582ad5a-817c-4a6e-89fa-aed0e5d540f5</t>
  </si>
  <si>
    <t>19.02</t>
  </si>
  <si>
    <t>ביצוע מערכת גילוי או התרעה {סוג מערכת מוגדר}, לפי תכנון {הפניה}, בגבולות {תכולה ואחריות}, עם ההכנות והחיבורים המפורטים.</t>
  </si>
  <si>
    <t>2c1bc97f-7c6f-4322-bd74-8d582df9ab9d</t>
  </si>
  <si>
    <t>סיכום חלקי פרק 19 להעברה</t>
  </si>
  <si>
    <t>85d398ac-d801-45b6-ad38-25eaa60363a8</t>
  </si>
  <si>
    <t>20.01</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</si>
  <si>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</si>
  <si>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b419cbf9-e1c1-4cbb-b922-551bda1c93e2</t>
  </si>
  <si>
    <t>סיכום חלקי פרק 20 להעברה</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</si>
  <si>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</si>
  <si>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9d72ad11-d181-4a95-8f42-8f46cb7a5c8d</t>
  </si>
  <si>
    <t>21.01</t>
  </si>
  <si>
    <t>אספקת פריט ריהוט נייד מטיפוס {זיהוי}, בדגם ובגמר {מפרט}, לרבות {הובלה והרכבה}.</t>
  </si>
  <si>
    <t>efa2d487-7bff-4c57-9999-f2892375b0fe</t>
  </si>
  <si>
    <t>סיכום חלקי פרק 21 להעברה</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</si>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</sst>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תאריך: &quot;@"/>
    <numFmt numFmtId="165" formatCode="&quot;פרק &quot;0"/>
    <numFmt numFmtId="166" formatCode="#,##0.00&quot;₪&quot;"/>
    <numFmt numFmtId="167" formatCode="[=0]#,##0&quot;₪&quot;;#,##0.00&quot;₪&quot;"/>
    <numFmt numFmtId="168" formatCode="#,##0&quot;₪&quot;"/>
  </numFmts>
  <fonts count="7" x14ac:knownFonts="1">
    <font>
      <color theme="1"/>
      <family val="2"/>
      <scheme val="minor"/>
      <sz val="11"/>
      <name val="Calibri"/>
    </font>
    <font>
      <b/>
      <sz val="12"/>
      <name val="Assistant"/>
    </font>
    <font>
      <b/>
      <sz val="14"/>
      <name val="Assistant"/>
    </font>
    <font>
      <sz val="12"/>
      <name val="Assistant"/>
    </font>
    <font>
      <b/>
      <sz val="36"/>
      <name val="Assistant"/>
    </font>
    <font>
      <sz val="20"/>
      <name val="Assistant"/>
    </font>
    <font>
      <i/>
      <color rgb="FF68756E"/>
      <sz val="10"/>
      <name val="Assistant"/>
    </font>
  </fonts>
  <fills count="4">
    <fill>
      <patternFill patternType="none"/>
    </fill>
    <fill>
      <patternFill patternType="gray125"/>
    </fill>
    <fill>
      <patternFill patternType="solid">
        <fgColor rgb="FFF3F6F4"/>
      </patternFill>
    </fill>
    <fill>
      <patternFill patternType="solid">
        <fgColor rgb="FFE3ECE6"/>
      </patternFill>
    </fill>
  </fills>
  <borders count="8">
    <border>
      <left/>
      <right/>
      <top/>
      <bottom/>
      <diagonal/>
    </border>
    <border>
      <left style="thin">
        <color rgb="FF505B55"/>
      </left>
      <right style="thin">
        <color rgb="FF505B55"/>
      </right>
      <top style="thin">
        <color rgb="FF505B55"/>
      </top>
      <bottom style="thin">
        <color rgb="FF505B55"/>
      </bottom>
      <diagonal/>
    </border>
    <border>
      <left style="thin">
        <color rgb="FF505B55"/>
      </left>
      <right style="thin">
        <color rgb="FF505B55"/>
      </right>
      <top/>
      <bottom/>
      <diagonal/>
    </border>
    <border>
      <left style="thin">
        <color rgb="FF505B55"/>
      </left>
      <right style="thin">
        <color rgb="FF505B55"/>
      </right>
      <top/>
      <bottom style="thin">
        <color rgb="FF505B55"/>
      </bottom>
      <diagonal/>
    </border>
    <border>
      <left style="thin">
        <color rgb="FF505B55"/>
      </left>
      <right style="thin">
        <color rgb="FF505B55"/>
      </right>
      <top style="thin">
        <color rgb="FF505B55"/>
      </top>
      <bottom/>
      <diagonal/>
    </border>
    <border>
      <left style="thin">
        <color rgb="FF505B55"/>
      </left>
      <right style="thin">
        <color rgb="FF505B55"/>
      </right>
      <top/>
      <bottom style="hair">
        <color rgb="FFD7DDD9"/>
      </bottom>
      <diagonal/>
    </border>
    <border>
      <left/>
      <right/>
      <top style="thin">
        <color rgb="FF505B55"/>
      </top>
      <bottom style="thin">
        <color rgb="FF505B55"/>
      </bottom>
      <diagonal/>
    </border>
    <border>
      <left/>
      <right/>
      <top/>
      <bottom style="thin">
        <color rgb="FF505B55"/>
      </bottom>
      <diagonal/>
    </border>
  </borders>
  <cellStyleXfs count="1">
    <xf numFmtId="0" fontId="0" fillId="0" borderId="0"/>
  </cellStyleXfs>
  <cellXfs count="50">
    <xf numFmtId="0" fontId="0" fillId="0" borderId="0" xfId="0"/>
    <xf numFmtId="0" fontId="1" fillId="0" borderId="0" xfId="0" applyFont="1" applyAlignment="1">
      <alignment horizontal="center" vertical="top" wrapText="1" readingOrder="2"/>
    </xf>
    <xf numFmtId="0" fontId="2" fillId="0" borderId="0" xfId="0" applyFont="1" applyAlignment="1">
      <alignment horizontal="center" vertical="top" wrapText="1" readingOrder="2"/>
    </xf>
    <xf numFmtId="0" fontId="2" fillId="0" borderId="0" xfId="0" applyFont="1"/>
    <xf numFmtId="0" fontId="3" fillId="0" borderId="0" xfId="0" applyFont="1" applyAlignment="1">
      <alignment horizontal="center" vertical="top" wrapText="1" readingOrder="2"/>
    </xf>
    <xf numFmtId="0" fontId="4" fillId="0" borderId="0" xfId="0" applyFont="1" applyAlignment="1">
      <alignment horizontal="center" vertical="top" wrapText="1" readingOrder="2"/>
    </xf>
    <xf numFmtId="0" fontId="4" fillId="0" borderId="0" xfId="0" applyFont="1"/>
    <xf numFmtId="0" fontId="5" fillId="0" borderId="0" xfId="0" applyFont="1" applyAlignment="1">
      <alignment horizontal="center" vertical="top" wrapText="1" readingOrder="2"/>
    </xf>
    <xf numFmtId="0" fontId="5" fillId="0" borderId="0" xfId="0" applyFont="1"/>
    <xf numFmtId="164" fontId="3" fillId="0" borderId="0" xfId="0" applyNumberFormat="1" applyFont="1" applyAlignment="1">
      <alignment horizontal="center" vertical="top" wrapText="1" readingOrder="2"/>
    </xf>
    <xf numFmtId="164" fontId="0" fillId="0" borderId="0" xfId="0" applyNumberFormat="1"/>
    <xf numFmtId="0" fontId="3" fillId="0" borderId="0" xfId="0" applyFont="1"/>
    <xf numFmtId="0" fontId="2" fillId="0" borderId="0" xfId="0" applyFont="1" applyAlignment="1">
      <alignment horizontal="right" vertical="top" wrapText="1" readingOrder="2"/>
    </xf>
    <xf numFmtId="0" fontId="1" fillId="0" borderId="0" xfId="0" applyFont="1" applyAlignment="1">
      <alignment horizontal="right" vertical="top" wrapText="1" readingOrder="2"/>
    </xf>
    <xf numFmtId="0" fontId="3" fillId="0" borderId="1" xfId="0" applyFont="1" applyBorder="1" applyAlignment="1">
      <alignment horizontal="center" vertical="top" wrapText="1" readingOrder="2"/>
    </xf>
    <xf numFmtId="0" fontId="3" fillId="0" borderId="1" xfId="0" applyFont="1" applyBorder="1" applyAlignment="1">
      <alignment horizontal="right" vertical="top" wrapText="1" readingOrder="2"/>
    </xf>
    <xf numFmtId="0" fontId="0" fillId="0" borderId="1" xfId="0" applyBorder="1"/>
    <xf numFmtId="0" fontId="3" fillId="0" borderId="0" xfId="0" applyFont="1" applyAlignment="1">
      <alignment horizontal="right" vertical="top" wrapText="1" readingOrder="2"/>
    </xf>
    <xf numFmtId="165" fontId="1" fillId="0" borderId="0" xfId="0" applyNumberFormat="1" applyFont="1" applyAlignment="1">
      <alignment horizontal="center" vertical="top" wrapText="1" readingOrder="2"/>
    </xf>
    <xf numFmtId="0" fontId="1" fillId="0" borderId="1" xfId="0" applyFont="1" applyBorder="1" applyAlignment="1">
      <alignment horizontal="center" vertical="top" wrapText="1" readingOrder="2"/>
    </xf>
    <xf numFmtId="0" fontId="1" fillId="0" borderId="1" xfId="0" applyFont="1" applyBorder="1" applyAlignment="1">
      <alignment horizontal="right" vertical="top" wrapText="1" readingOrder="2"/>
    </xf>
    <xf numFmtId="0" fontId="3" fillId="0" borderId="2" xfId="0" applyFont="1" applyBorder="1" applyAlignment="1">
      <alignment horizontal="center" vertical="top" wrapText="1" readingOrder="2"/>
    </xf>
    <xf numFmtId="0" fontId="3" fillId="0" borderId="2" xfId="0" applyFont="1" applyBorder="1" applyAlignment="1">
      <alignment horizontal="right" vertical="top" wrapText="1" readingOrder="2"/>
    </xf>
    <xf numFmtId="166" fontId="3" fillId="0" borderId="2" xfId="0" applyNumberFormat="1" applyFont="1" applyBorder="1" applyAlignment="1">
      <alignment horizontal="center" vertical="top" wrapText="1" readingOrder="2"/>
    </xf>
    <xf numFmtId="167" fontId="3" fillId="0" borderId="1" xfId="0" applyNumberFormat="1" applyFont="1" applyBorder="1" applyAlignment="1">
      <alignment horizontal="center" vertical="top" wrapText="1" readingOrder="2"/>
    </xf>
    <xf numFmtId="0" fontId="3" fillId="0" borderId="3" xfId="0" applyFont="1" applyBorder="1" applyAlignment="1">
      <alignment horizontal="center" vertical="top" wrapText="1" readingOrder="2"/>
    </xf>
    <xf numFmtId="0" fontId="3" fillId="0" borderId="3" xfId="0" applyFont="1" applyBorder="1" applyAlignment="1">
      <alignment horizontal="right" vertical="top" wrapText="1" readingOrder="2"/>
    </xf>
    <xf numFmtId="165" fontId="3" fillId="0" borderId="0" xfId="0" applyNumberFormat="1" applyFont="1" applyAlignment="1">
      <alignment horizontal="center" vertical="top" wrapText="1" readingOrder="2"/>
    </xf>
    <xf numFmtId="0" fontId="1" fillId="0" borderId="4" xfId="0" applyFont="1" applyBorder="1" applyAlignment="1">
      <alignment horizontal="center" vertical="top" wrapText="1" readingOrder="2"/>
    </xf>
    <xf numFmtId="0" fontId="1" fillId="0" borderId="4" xfId="0" applyFont="1" applyBorder="1" applyAlignment="1">
      <alignment horizontal="right" vertical="top" wrapText="1" readingOrder="2"/>
    </xf>
    <xf numFmtId="0" fontId="0" fillId="0" borderId="4" xfId="0" applyBorder="1"/>
    <xf numFmtId="0" fontId="3" fillId="0" borderId="5" xfId="0" applyFont="1" applyBorder="1" applyAlignment="1">
      <alignment horizontal="center" vertical="top" wrapText="1" readingOrder="2"/>
    </xf>
    <xf numFmtId="0" fontId="3" fillId="0" borderId="5" xfId="0" applyFont="1" applyBorder="1" applyAlignment="1">
      <alignment horizontal="right" vertical="top" wrapText="1" readingOrder="2"/>
    </xf>
    <xf numFmtId="0" fontId="0" fillId="0" borderId="5" xfId="0" applyBorder="1"/>
    <xf numFmtId="167" fontId="3" fillId="0" borderId="5" xfId="0" applyNumberFormat="1" applyFont="1" applyBorder="1" applyAlignment="1">
      <alignment horizontal="center" vertical="top" wrapText="1" readingOrder="2"/>
    </xf>
    <xf numFmtId="167" fontId="0" fillId="0" borderId="5" xfId="0" applyNumberFormat="1" applyBorder="1"/>
    <xf numFmtId="0" fontId="6" fillId="0" borderId="0" xfId="0" applyFont="1" applyAlignment="1">
      <alignment horizontal="right" vertical="top" wrapText="1" readingOrder="2"/>
    </xf>
    <xf numFmtId="0" fontId="6" fillId="0" borderId="0" xfId="0" applyFont="1"/>
    <xf numFmtId="0" fontId="1" fillId="2" borderId="6" xfId="0" applyFont="1" applyFill="1" applyBorder="1" applyAlignment="1">
      <alignment horizontal="right" vertical="top" wrapText="1" readingOrder="2"/>
    </xf>
    <xf numFmtId="0" fontId="1" fillId="2" borderId="6" xfId="0" applyFont="1" applyFill="1" applyBorder="1"/>
    <xf numFmtId="167" fontId="1" fillId="2" borderId="6" xfId="0" applyNumberFormat="1" applyFont="1" applyFill="1" applyBorder="1" applyAlignment="1">
      <alignment horizontal="center" vertical="top" wrapText="1" readingOrder="2"/>
    </xf>
    <xf numFmtId="167" fontId="1" fillId="2" borderId="6" xfId="0" applyNumberFormat="1" applyFont="1" applyFill="1" applyBorder="1"/>
    <xf numFmtId="0" fontId="1" fillId="2" borderId="7" xfId="0" applyFont="1" applyFill="1" applyBorder="1" applyAlignment="1">
      <alignment horizontal="right" vertical="top" wrapText="1" readingOrder="2"/>
    </xf>
    <xf numFmtId="0" fontId="1" fillId="2" borderId="7" xfId="0" applyFont="1" applyFill="1" applyBorder="1"/>
    <xf numFmtId="167" fontId="1" fillId="2" borderId="7" xfId="0" applyNumberFormat="1" applyFont="1" applyFill="1" applyBorder="1" applyAlignment="1">
      <alignment horizontal="center" vertical="top" wrapText="1" readingOrder="2"/>
    </xf>
    <xf numFmtId="167" fontId="1" fillId="2" borderId="7" xfId="0" applyNumberFormat="1" applyFont="1" applyFill="1" applyBorder="1"/>
    <xf numFmtId="0" fontId="1" fillId="3" borderId="7" xfId="0" applyFont="1" applyFill="1" applyBorder="1" applyAlignment="1">
      <alignment horizontal="right" vertical="top" wrapText="1" readingOrder="2"/>
    </xf>
    <xf numFmtId="0" fontId="1" fillId="3" borderId="7" xfId="0" applyFont="1" applyFill="1" applyBorder="1"/>
    <xf numFmtId="167" fontId="1" fillId="3" borderId="7" xfId="0" applyNumberFormat="1" applyFont="1" applyFill="1" applyBorder="1" applyAlignment="1">
      <alignment horizontal="center" vertical="top" wrapText="1" readingOrder="2"/>
    </xf>
    <xf numFmtId="167" fontId="1" fillId="3" borderId="7" xfId="0" applyNumberFormat="1" applyFont="1" applyFill="1" applyBorder="1"/>
  </cellXfs>
  <cellStyles count="1">
    <cellStyle name="Normal" xfId="0" builtinId="0"/>
  </cellStyles>
  <dxfs count="394">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1681163</xdr:colOff>
      <xdr:row>10</xdr:row>
      <xdr:rowOff>105393</xdr:rowOff>
    </xdr:from>
    <xdr:ext cx="3429000" cy="932214"/>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6" customHeight="1" x14ac:dyDescent="0.25"/>
    <row r="2" ht="36" customHeight="1" spans="1:6" x14ac:dyDescent="0.25">
      <c r="A2" s="1"/>
      <c r="B2" s="2" t="s">
        <v>0</v>
      </c>
      <c r="C2" s="3"/>
      <c r="D2" s="3"/>
      <c r="E2" s="3"/>
      <c r="F2" s="3"/>
    </row>
    <row r="3" ht="65" customHeight="1" x14ac:dyDescent="0.25"/>
    <row r="4" ht="70" customHeight="1" spans="1:6" x14ac:dyDescent="0.25">
      <c r="A4" s="4"/>
      <c r="B4" s="5" t="s">
        <v>1</v>
      </c>
      <c r="C4" s="6"/>
      <c r="D4" s="6"/>
      <c r="E4" s="6"/>
      <c r="F4" s="6"/>
    </row>
    <row r="5" ht="41" customHeight="1" spans="1:6" x14ac:dyDescent="0.25">
      <c r="A5" s="4"/>
      <c r="B5" s="7" t="s">
        <v>1</v>
      </c>
      <c r="C5" s="8"/>
      <c r="D5" s="8"/>
      <c r="E5" s="8"/>
      <c r="F5" s="8"/>
    </row>
    <row r="6" ht="32" customHeight="1" spans="1:6" x14ac:dyDescent="0.25">
      <c r="A6" s="4"/>
      <c r="B6" s="2" t="s">
        <v>1</v>
      </c>
      <c r="C6" s="3"/>
      <c r="D6" s="3"/>
      <c r="E6" s="3"/>
      <c r="F6" s="3"/>
    </row>
    <row r="7" ht="35" customHeight="1" x14ac:dyDescent="0.25"/>
    <row r="8" ht="28" customHeight="1" spans="1:6" x14ac:dyDescent="0.25">
      <c r="A8" s="4"/>
      <c r="B8" s="9" t="s">
        <v>2</v>
      </c>
      <c r="C8" s="10"/>
      <c r="D8" s="10"/>
      <c r="E8" s="10"/>
      <c r="F8" s="10"/>
    </row>
    <row r="10" ht="70" customHeight="1" x14ac:dyDescent="0.25"/>
    <row r="11" ht="90" customHeight="1" x14ac:dyDescent="0.25"/>
    <row r="12" ht="38" customHeight="1" spans="1:6" x14ac:dyDescent="0.25">
      <c r="A12" s="4"/>
      <c r="B12" s="4" t="s">
        <v>3</v>
      </c>
      <c r="C12" s="11"/>
      <c r="D12" s="11"/>
      <c r="E12" s="11"/>
      <c r="F12" s="11"/>
    </row>
    <row r="13" ht="145" customHeight="1" spans="1:8" x14ac:dyDescent="0.25">
      <c r="A13" s="4"/>
      <c r="B13" s="4"/>
      <c r="C13" s="4"/>
      <c r="D13" s="4"/>
      <c r="E13" s="4"/>
      <c r="F13" s="4"/>
      <c r="G13" s="4"/>
      <c r="H13" s="4" t="s">
        <v>4</v>
      </c>
    </row>
    <row r="14" hidden="1" spans="1:6" x14ac:dyDescent="0.25">
      <c r="A14" s="4"/>
      <c r="B14" s="4" t="s">
        <v>1</v>
      </c>
      <c r="C14" s="4"/>
      <c r="D14" s="4" t="s">
        <v>1</v>
      </c>
      <c r="E14" s="4"/>
      <c r="F14" s="4">
        <v>18</v>
      </c>
    </row>
  </sheetData>
  <mergeCells count="6">
    <mergeCell ref="B2:F2"/>
    <mergeCell ref="B4:F4"/>
    <mergeCell ref="B5:F5"/>
    <mergeCell ref="B6:F6"/>
    <mergeCell ref="B8:F8"/>
    <mergeCell ref="B12:F12"/>
  </mergeCells>
  <pageMargins left="0.25" right="0.25" top="0.75" bottom="0.75" header="0" footer="0.25"/>
  <pageSetup paperSize="9" orientation="portrait"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6" customHeight="1" spans="1:6" x14ac:dyDescent="0.25">
      <c r="A1" s="1"/>
      <c r="B1" s="12" t="s">
        <v>5</v>
      </c>
      <c r="C1" s="3"/>
      <c r="D1" s="3"/>
      <c r="E1" s="3"/>
      <c r="F1" s="3"/>
    </row>
    <row r="2" ht="28" customHeight="1" spans="1:6" x14ac:dyDescent="0.25">
      <c r="A2" s="1" t="s">
        <v>6</v>
      </c>
      <c r="B2" s="13" t="s">
        <v>7</v>
      </c>
      <c r="C2"/>
      <c r="D2"/>
      <c r="E2"/>
      <c r="F2" s="1" t="s">
        <v>8</v>
      </c>
    </row>
    <row r="3" ht="30" customHeight="1" spans="1:6" x14ac:dyDescent="0.25">
      <c r="A3" s="14">
        <v>1</v>
      </c>
      <c r="B3" s="15" t="s">
        <v>9</v>
      </c>
      <c r="C3" s="16"/>
      <c r="D3" s="16"/>
      <c r="E3" s="16"/>
      <c r="F3" s="14">
        <v>4</v>
      </c>
    </row>
    <row r="4" ht="30" customHeight="1" spans="1:6" x14ac:dyDescent="0.25">
      <c r="A4" s="14">
        <v>2</v>
      </c>
      <c r="B4" s="15" t="s">
        <v>10</v>
      </c>
      <c r="C4" s="16"/>
      <c r="D4" s="16"/>
      <c r="E4" s="16"/>
      <c r="F4" s="14">
        <v>5</v>
      </c>
    </row>
    <row r="5" ht="30" customHeight="1" spans="1:6" x14ac:dyDescent="0.25">
      <c r="A5" s="14">
        <v>3</v>
      </c>
      <c r="B5" s="15" t="s">
        <v>11</v>
      </c>
      <c r="C5" s="16"/>
      <c r="D5" s="16"/>
      <c r="E5" s="16"/>
      <c r="F5" s="14">
        <v>6</v>
      </c>
    </row>
    <row r="6" ht="30" customHeight="1" spans="1:6" x14ac:dyDescent="0.25">
      <c r="A6" s="14">
        <v>4</v>
      </c>
      <c r="B6" s="15" t="s">
        <v>12</v>
      </c>
      <c r="C6" s="16"/>
      <c r="D6" s="16"/>
      <c r="E6" s="16"/>
      <c r="F6" s="14">
        <v>7</v>
      </c>
    </row>
    <row r="7" ht="30" customHeight="1" spans="1:6" x14ac:dyDescent="0.25">
      <c r="A7" s="14">
        <v>5</v>
      </c>
      <c r="B7" s="15" t="s">
        <v>13</v>
      </c>
      <c r="C7" s="16"/>
      <c r="D7" s="16"/>
      <c r="E7" s="16"/>
      <c r="F7" s="14">
        <v>8</v>
      </c>
    </row>
    <row r="8" ht="30" customHeight="1" spans="1:6" x14ac:dyDescent="0.25">
      <c r="A8" s="14">
        <v>6</v>
      </c>
      <c r="B8" s="15" t="s">
        <v>14</v>
      </c>
      <c r="C8" s="16"/>
      <c r="D8" s="16"/>
      <c r="E8" s="16"/>
      <c r="F8" s="14">
        <v>9</v>
      </c>
    </row>
    <row r="9" ht="30" customHeight="1" spans="1:6" x14ac:dyDescent="0.25">
      <c r="A9" s="14">
        <v>7</v>
      </c>
      <c r="B9" s="15" t="s">
        <v>15</v>
      </c>
      <c r="C9" s="16"/>
      <c r="D9" s="16"/>
      <c r="E9" s="16"/>
      <c r="F9" s="14">
        <v>10</v>
      </c>
    </row>
    <row r="10" ht="30" customHeight="1" spans="1:6" x14ac:dyDescent="0.25">
      <c r="A10" s="14">
        <v>8</v>
      </c>
      <c r="B10" s="15" t="s">
        <v>16</v>
      </c>
      <c r="C10" s="16"/>
      <c r="D10" s="16"/>
      <c r="E10" s="16"/>
      <c r="F10" s="14">
        <v>11</v>
      </c>
    </row>
    <row r="11" ht="30" customHeight="1" spans="1:6" x14ac:dyDescent="0.25">
      <c r="A11" s="14">
        <v>9</v>
      </c>
      <c r="B11" s="15" t="s">
        <v>17</v>
      </c>
      <c r="C11" s="16"/>
      <c r="D11" s="16"/>
      <c r="E11" s="16"/>
      <c r="F11" s="14">
        <v>12</v>
      </c>
    </row>
    <row r="12" ht="30" customHeight="1" spans="1:6" x14ac:dyDescent="0.25">
      <c r="A12" s="14">
        <v>10</v>
      </c>
      <c r="B12" s="15" t="s">
        <v>18</v>
      </c>
      <c r="C12" s="16"/>
      <c r="D12" s="16"/>
      <c r="E12" s="16"/>
      <c r="F12" s="14">
        <v>13</v>
      </c>
    </row>
    <row r="13" ht="30" customHeight="1" spans="1:6" x14ac:dyDescent="0.25">
      <c r="A13" s="14">
        <v>11</v>
      </c>
      <c r="B13" s="15" t="s">
        <v>19</v>
      </c>
      <c r="C13" s="16"/>
      <c r="D13" s="16"/>
      <c r="E13" s="16"/>
      <c r="F13" s="14">
        <v>14</v>
      </c>
    </row>
    <row r="14" ht="30" customHeight="1" spans="1:6" x14ac:dyDescent="0.25">
      <c r="A14" s="14">
        <v>12</v>
      </c>
      <c r="B14" s="15" t="s">
        <v>20</v>
      </c>
      <c r="C14" s="16"/>
      <c r="D14" s="16"/>
      <c r="E14" s="16"/>
      <c r="F14" s="14">
        <v>15</v>
      </c>
    </row>
    <row r="15" ht="30" customHeight="1" spans="1:6" x14ac:dyDescent="0.25">
      <c r="A15" s="14">
        <v>13</v>
      </c>
      <c r="B15" s="15" t="s">
        <v>21</v>
      </c>
      <c r="C15" s="16"/>
      <c r="D15" s="16"/>
      <c r="E15" s="16"/>
      <c r="F15" s="14">
        <v>17</v>
      </c>
    </row>
    <row r="16" ht="30" customHeight="1" spans="1:6" x14ac:dyDescent="0.25">
      <c r="A16" s="14">
        <v>14</v>
      </c>
      <c r="B16" s="15" t="s">
        <v>22</v>
      </c>
      <c r="C16" s="16"/>
      <c r="D16" s="16"/>
      <c r="E16" s="16"/>
      <c r="F16" s="14">
        <v>18</v>
      </c>
    </row>
    <row r="17" ht="30" customHeight="1" spans="1:6" x14ac:dyDescent="0.25">
      <c r="A17" s="14">
        <v>15</v>
      </c>
      <c r="B17" s="15" t="s">
        <v>23</v>
      </c>
      <c r="C17" s="16"/>
      <c r="D17" s="16"/>
      <c r="E17" s="16"/>
      <c r="F17" s="14">
        <v>19</v>
      </c>
    </row>
    <row r="18" ht="30" customHeight="1" spans="1:6" x14ac:dyDescent="0.25">
      <c r="A18" s="14">
        <v>16</v>
      </c>
      <c r="B18" s="15" t="s">
        <v>24</v>
      </c>
      <c r="C18" s="16"/>
      <c r="D18" s="16"/>
      <c r="E18" s="16"/>
      <c r="F18" s="14">
        <v>20</v>
      </c>
    </row>
    <row r="19" ht="30" customHeight="1" spans="1:6" x14ac:dyDescent="0.25">
      <c r="A19" s="14">
        <v>17</v>
      </c>
      <c r="B19" s="15" t="s">
        <v>25</v>
      </c>
      <c r="C19" s="16"/>
      <c r="D19" s="16"/>
      <c r="E19" s="16"/>
      <c r="F19" s="14">
        <v>21</v>
      </c>
    </row>
    <row r="20" ht="30" customHeight="1" spans="1:6" x14ac:dyDescent="0.25">
      <c r="A20" s="14">
        <v>18</v>
      </c>
      <c r="B20" s="15" t="s">
        <v>26</v>
      </c>
      <c r="C20" s="16"/>
      <c r="D20" s="16"/>
      <c r="E20" s="16"/>
      <c r="F20" s="14">
        <v>22</v>
      </c>
    </row>
    <row r="21" ht="30" customHeight="1" spans="1:6" x14ac:dyDescent="0.25">
      <c r="A21" s="14">
        <v>19</v>
      </c>
      <c r="B21" s="15" t="s">
        <v>27</v>
      </c>
      <c r="C21" s="16"/>
      <c r="D21" s="16"/>
      <c r="E21" s="16"/>
      <c r="F21" s="14">
        <v>23</v>
      </c>
    </row>
    <row r="22" ht="30" customHeight="1" spans="1:6" x14ac:dyDescent="0.25">
      <c r="A22" s="14">
        <v>20</v>
      </c>
      <c r="B22" s="15" t="s">
        <v>28</v>
      </c>
      <c r="C22" s="16"/>
      <c r="D22" s="16"/>
      <c r="E22" s="16"/>
      <c r="F22" s="14">
        <v>24</v>
      </c>
    </row>
    <row r="23" ht="56" customHeight="1" spans="1:8" x14ac:dyDescent="0.25">
      <c r="A23" s="4"/>
      <c r="B23" s="17"/>
      <c r="C23" s="4"/>
      <c r="D23" s="4"/>
      <c r="E23" s="4"/>
      <c r="F23" s="4"/>
      <c r="G23" s="4"/>
      <c r="H23" s="4" t="s">
        <v>4</v>
      </c>
    </row>
    <row r="24" ht="36" customHeight="1" spans="1:6" x14ac:dyDescent="0.25">
      <c r="A24" s="4"/>
      <c r="B24" s="12" t="s">
        <v>29</v>
      </c>
      <c r="C24" s="3"/>
      <c r="D24" s="3"/>
      <c r="E24" s="3"/>
      <c r="F24" s="3"/>
    </row>
    <row r="25" ht="28" customHeight="1" spans="1:6" x14ac:dyDescent="0.25">
      <c r="A25" s="4" t="s">
        <v>6</v>
      </c>
      <c r="B25" s="17" t="s">
        <v>7</v>
      </c>
      <c r="C25"/>
      <c r="D25"/>
      <c r="E25"/>
      <c r="F25" s="4" t="s">
        <v>8</v>
      </c>
    </row>
    <row r="26" ht="30" customHeight="1" spans="1:6" x14ac:dyDescent="0.25">
      <c r="A26" s="14">
        <v>21</v>
      </c>
      <c r="B26" s="15" t="s">
        <v>30</v>
      </c>
      <c r="C26" s="16"/>
      <c r="D26" s="16"/>
      <c r="E26" s="16"/>
      <c r="F26" s="14">
        <v>25</v>
      </c>
    </row>
    <row r="27" ht="24" customHeight="1" spans="1:8" x14ac:dyDescent="0.25">
      <c r="A27" s="4"/>
      <c r="B27" s="17"/>
      <c r="C27" s="4"/>
      <c r="D27" s="4"/>
      <c r="E27" s="4"/>
      <c r="F27" s="4"/>
      <c r="G27" s="4"/>
      <c r="H27" s="4" t="s">
        <v>4</v>
      </c>
    </row>
    <row r="28" ht="24" customHeight="1" spans="1:8" x14ac:dyDescent="0.25">
      <c r="A28" s="4"/>
      <c r="B28" s="17"/>
      <c r="C28" s="4"/>
      <c r="D28" s="4"/>
      <c r="E28" s="4"/>
      <c r="F28" s="4"/>
      <c r="G28" s="4"/>
      <c r="H28" s="4" t="s">
        <v>4</v>
      </c>
    </row>
    <row r="29" ht="32" customHeight="1" spans="1:6" x14ac:dyDescent="0.25">
      <c r="A29" s="4"/>
      <c r="B29" s="12" t="s">
        <v>31</v>
      </c>
      <c r="C29" s="3"/>
      <c r="D29" s="3"/>
      <c r="E29" s="3"/>
      <c r="F29" s="3"/>
    </row>
    <row r="30" ht="34.8" customHeight="1" spans="1:6" x14ac:dyDescent="0.25">
      <c r="A30" s="17" t="s">
        <v>32</v>
      </c>
      <c r="B30"/>
      <c r="C30"/>
      <c r="D30"/>
      <c r="E30"/>
      <c r="F30"/>
    </row>
    <row r="31" ht="34.8" customHeight="1" spans="1:6" x14ac:dyDescent="0.25">
      <c r="A31" s="17" t="s">
        <v>33</v>
      </c>
      <c r="B31"/>
      <c r="C31"/>
      <c r="D31"/>
      <c r="E31"/>
      <c r="F31"/>
    </row>
    <row r="32" ht="34.8" customHeight="1" spans="1:6" x14ac:dyDescent="0.25">
      <c r="A32" s="17" t="s">
        <v>34</v>
      </c>
      <c r="B32"/>
      <c r="C32"/>
      <c r="D32"/>
      <c r="E32"/>
      <c r="F32"/>
    </row>
    <row r="33" ht="34.8" customHeight="1" spans="1:6" x14ac:dyDescent="0.25">
      <c r="A33" s="17" t="s">
        <v>35</v>
      </c>
      <c r="B33"/>
      <c r="C33"/>
      <c r="D33"/>
      <c r="E33"/>
      <c r="F33"/>
    </row>
    <row r="34" ht="34.8" customHeight="1" spans="1:6" x14ac:dyDescent="0.25">
      <c r="A34" s="17" t="s">
        <v>36</v>
      </c>
      <c r="B34"/>
      <c r="C34"/>
      <c r="D34"/>
      <c r="E34"/>
      <c r="F34"/>
    </row>
    <row r="35" ht="371.99999999999994" customHeight="1" spans="1:8" x14ac:dyDescent="0.25">
      <c r="A35" s="4"/>
      <c r="B35" s="17"/>
      <c r="C35" s="4"/>
      <c r="D35" s="4"/>
      <c r="E35" s="4"/>
      <c r="F35" s="4"/>
      <c r="G35" s="4"/>
      <c r="H35" s="4" t="s">
        <v>4</v>
      </c>
    </row>
  </sheetData>
  <mergeCells count="31">
    <mergeCell ref="B1:F1"/>
    <mergeCell ref="B2:E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4:F24"/>
    <mergeCell ref="B25:E25"/>
    <mergeCell ref="B26:E26"/>
    <mergeCell ref="B29:F29"/>
    <mergeCell ref="A30:F30"/>
    <mergeCell ref="A31:F31"/>
    <mergeCell ref="A32:F32"/>
    <mergeCell ref="A33:F33"/>
    <mergeCell ref="A34:F34"/>
  </mergeCells>
  <pageMargins left="0.25" right="0.25" top="0.75" bottom="0.75" header="0" footer="0.25"/>
  <pageSetup paperSize="9" orientation="portrait" fitToWidth="1" fitToHeight="0" firstPageNumber="2" useFirstPageNumber="1"/>
  <headerFooter>
    <oddFooter>&amp;Cעמוד &amp;P</oddFooter>
  </headerFooter>
  <rowBreaks count="1" manualBreakCount="1">
    <brk id="23" max="1683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FormatPr defaultRowHeight="15" outlineLevelRow="0" outlineLevelCol="0" x14ac:dyDescent="55"/>
  <sheetData>
    <row r="1" spans="1:7" x14ac:dyDescent="0.25">
      <c r="A1" t="s">
        <v>37</v>
      </c>
      <c r="B1">
        <v>4</v>
      </c>
      <c r="C1" t="s">
        <v>38</v>
      </c>
      <c r="D1" t="s">
        <v>39</v>
      </c>
      <c r="E1" t="s">
        <v>40</v>
      </c>
      <c r="F1" t="s">
        <v>41</v>
      </c>
      <c r="G1" t="s">
        <v>42</v>
      </c>
    </row>
    <row r="2" spans="1:4" x14ac:dyDescent="0.25">
      <c r="A2" t="s">
        <v>43</v>
      </c>
      <c r="B2" t="s">
        <v>44</v>
      </c>
      <c r="C2" t="s">
        <v>45</v>
      </c>
      <c r="D2" t="s">
        <v>46</v>
      </c>
    </row>
    <row r="3" spans="1:4" x14ac:dyDescent="0.25">
      <c r="A3" t="s">
        <v>47</v>
      </c>
      <c r="B3" t="s">
        <v>48</v>
      </c>
      <c r="C3" t="s">
        <v>49</v>
      </c>
      <c r="D3" t="s">
        <v>50</v>
      </c>
    </row>
    <row r="4" spans="1:4" x14ac:dyDescent="0.25">
      <c r="A4" t="s">
        <v>51</v>
      </c>
      <c r="B4" t="s">
        <v>9</v>
      </c>
      <c r="C4">
        <v>1</v>
      </c>
      <c r="D4" t="s">
        <v>52</v>
      </c>
    </row>
    <row r="5" spans="1:4" x14ac:dyDescent="0.25">
      <c r="A5" t="s">
        <v>53</v>
      </c>
      <c r="B5" t="s">
        <v>10</v>
      </c>
      <c r="C5">
        <v>1</v>
      </c>
      <c r="D5" t="s">
        <v>54</v>
      </c>
    </row>
    <row r="6" spans="1:4" x14ac:dyDescent="0.25">
      <c r="A6" t="s">
        <v>55</v>
      </c>
      <c r="B6" t="s">
        <v>11</v>
      </c>
      <c r="C6">
        <v>1</v>
      </c>
      <c r="D6" t="s">
        <v>56</v>
      </c>
    </row>
    <row r="7" spans="1:4" x14ac:dyDescent="0.25">
      <c r="A7" t="s">
        <v>57</v>
      </c>
      <c r="B7" t="s">
        <v>12</v>
      </c>
      <c r="C7">
        <v>1</v>
      </c>
      <c r="D7" t="s">
        <v>58</v>
      </c>
    </row>
    <row r="8" spans="1:4" x14ac:dyDescent="0.25">
      <c r="A8" t="s">
        <v>59</v>
      </c>
      <c r="B8" t="s">
        <v>13</v>
      </c>
      <c r="C8">
        <v>1</v>
      </c>
      <c r="D8" t="s">
        <v>60</v>
      </c>
    </row>
    <row r="9" spans="1:4" x14ac:dyDescent="0.25">
      <c r="A9" t="s">
        <v>61</v>
      </c>
      <c r="B9" t="s">
        <v>14</v>
      </c>
      <c r="C9">
        <v>1</v>
      </c>
      <c r="D9" t="s">
        <v>62</v>
      </c>
    </row>
    <row r="10" spans="1:4" x14ac:dyDescent="0.25">
      <c r="A10" t="s">
        <v>63</v>
      </c>
      <c r="B10" t="s">
        <v>15</v>
      </c>
      <c r="C10">
        <v>1</v>
      </c>
      <c r="D10" t="s">
        <v>64</v>
      </c>
    </row>
    <row r="11" spans="1:4" x14ac:dyDescent="0.25">
      <c r="A11" t="s">
        <v>65</v>
      </c>
      <c r="B11" t="s">
        <v>16</v>
      </c>
      <c r="C11">
        <v>1</v>
      </c>
      <c r="D11" t="s">
        <v>66</v>
      </c>
    </row>
    <row r="12" spans="1:4" x14ac:dyDescent="0.25">
      <c r="A12" t="s">
        <v>67</v>
      </c>
      <c r="B12" t="s">
        <v>17</v>
      </c>
      <c r="C12">
        <v>1</v>
      </c>
      <c r="D12" t="s">
        <v>68</v>
      </c>
    </row>
    <row r="13" spans="1:4" x14ac:dyDescent="0.25">
      <c r="A13" t="s">
        <v>69</v>
      </c>
      <c r="B13" t="s">
        <v>18</v>
      </c>
      <c r="C13">
        <v>1</v>
      </c>
      <c r="D13" t="s">
        <v>70</v>
      </c>
    </row>
    <row r="14" spans="1:4" x14ac:dyDescent="0.25">
      <c r="A14" t="s">
        <v>71</v>
      </c>
      <c r="B14" t="s">
        <v>19</v>
      </c>
      <c r="C14">
        <v>1</v>
      </c>
      <c r="D14" t="s">
        <v>72</v>
      </c>
    </row>
    <row r="15" spans="1:4" x14ac:dyDescent="0.25">
      <c r="A15" t="s">
        <v>73</v>
      </c>
      <c r="B15" t="s">
        <v>20</v>
      </c>
      <c r="C15">
        <v>1</v>
      </c>
      <c r="D15" t="s">
        <v>74</v>
      </c>
    </row>
    <row r="16" spans="1:4" x14ac:dyDescent="0.25">
      <c r="A16" t="s">
        <v>75</v>
      </c>
      <c r="B16" t="s">
        <v>21</v>
      </c>
      <c r="C16">
        <v>1</v>
      </c>
      <c r="D16" t="s">
        <v>76</v>
      </c>
    </row>
    <row r="17" spans="1:4" x14ac:dyDescent="0.25">
      <c r="A17" t="s">
        <v>77</v>
      </c>
      <c r="B17" t="s">
        <v>22</v>
      </c>
      <c r="C17">
        <v>1</v>
      </c>
      <c r="D17" t="s">
        <v>78</v>
      </c>
    </row>
    <row r="18" spans="1:4" x14ac:dyDescent="0.25">
      <c r="A18" t="s">
        <v>79</v>
      </c>
      <c r="B18" t="s">
        <v>23</v>
      </c>
      <c r="C18">
        <v>1</v>
      </c>
      <c r="D18" t="s">
        <v>80</v>
      </c>
    </row>
    <row r="19" spans="1:4" x14ac:dyDescent="0.25">
      <c r="A19" t="s">
        <v>81</v>
      </c>
      <c r="B19" t="s">
        <v>24</v>
      </c>
      <c r="C19">
        <v>1</v>
      </c>
      <c r="D19" t="s">
        <v>82</v>
      </c>
    </row>
    <row r="20" spans="1:4" x14ac:dyDescent="0.25">
      <c r="A20" t="s">
        <v>83</v>
      </c>
      <c r="B20" t="s">
        <v>25</v>
      </c>
      <c r="C20">
        <v>1</v>
      </c>
      <c r="D20" t="s">
        <v>84</v>
      </c>
    </row>
    <row r="21" spans="1:4" x14ac:dyDescent="0.25">
      <c r="A21" t="s">
        <v>85</v>
      </c>
      <c r="B21" t="s">
        <v>26</v>
      </c>
      <c r="C21">
        <v>1</v>
      </c>
      <c r="D21" t="s">
        <v>86</v>
      </c>
    </row>
    <row r="22" spans="1:4" x14ac:dyDescent="0.25">
      <c r="A22" t="s">
        <v>87</v>
      </c>
      <c r="B22" t="s">
        <v>27</v>
      </c>
      <c r="C22">
        <v>1</v>
      </c>
      <c r="D22" t="s">
        <v>88</v>
      </c>
    </row>
    <row r="23" spans="1:4" x14ac:dyDescent="0.25">
      <c r="A23" t="s">
        <v>89</v>
      </c>
      <c r="B23" t="s">
        <v>28</v>
      </c>
      <c r="C23">
        <v>1</v>
      </c>
      <c r="D23" t="s">
        <v>90</v>
      </c>
    </row>
    <row r="24" spans="1:4" x14ac:dyDescent="0.25">
      <c r="A24" t="s">
        <v>91</v>
      </c>
      <c r="B24" t="s">
        <v>30</v>
      </c>
      <c r="C24">
        <v>1</v>
      </c>
      <c r="D24" t="s">
        <v>92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v>
      </c>
      <c r="B1" s="12" t="s">
        <v>9</v>
      </c>
      <c r="C1" s="3"/>
      <c r="D1" s="3"/>
      <c r="E1" s="3"/>
      <c r="F1" s="3"/>
      <c r="G1" s="1" t="s">
        <v>51</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101</v>
      </c>
      <c r="C3" s="21"/>
      <c r="D3" s="21"/>
      <c r="E3" s="21"/>
      <c r="F3" s="21"/>
      <c r="G3" s="4" t="s">
        <v>102</v>
      </c>
      <c r="H3" s="4" t="s">
        <v>103</v>
      </c>
    </row>
    <row r="4" ht="46.8" customHeight="1" spans="1:8" x14ac:dyDescent="0.25">
      <c r="A4" s="21" t="s">
        <v>104</v>
      </c>
      <c r="B4" s="22" t="s">
        <v>105</v>
      </c>
      <c r="C4" s="21" t="s">
        <v>106</v>
      </c>
      <c r="D4" s="21"/>
      <c r="E4" s="23"/>
      <c r="F4" s="23" t="str">
        <f>IF(ISBLANK(D4),"",IF(NOT(ISNUMBER(D4)),"קלט לא תקין",IF(D4&lt;0,"קלט לא תקין",IF(ISBLANK(E4),"",IF(OR(E4="כלול",E4="לא רלוונטי"),0,IF(NOT(ISNUMBER(E4)),"קלט לא תקין",IF(E4&lt;0,"קלט לא תקין",ROUND(D4*E4,2))))))))</f>
        <v/>
      </c>
      <c r="G4" s="4" t="s">
        <v>107</v>
      </c>
      <c r="H4" s="4" t="s">
        <v>108</v>
      </c>
    </row>
    <row r="5" ht="46.8" customHeight="1" spans="1:8" x14ac:dyDescent="0.25">
      <c r="A5" s="21" t="s">
        <v>109</v>
      </c>
      <c r="B5" s="22" t="s">
        <v>110</v>
      </c>
      <c r="C5" s="21" t="s">
        <v>106</v>
      </c>
      <c r="D5" s="21"/>
      <c r="E5" s="23"/>
      <c r="F5" s="23" t="str">
        <f>IF(ISBLANK(D5),"",IF(NOT(ISNUMBER(D5)),"קלט לא תקין",IF(D5&lt;0,"קלט לא תקין",IF(ISBLANK(E5),"",IF(OR(E5="כלול",E5="לא רלוונטי"),0,IF(NOT(ISNUMBER(E5)),"קלט לא תקין",IF(E5&lt;0,"קלט לא תקין",ROUND(D5*E5,2))))))))</f>
        <v/>
      </c>
      <c r="G5" s="4" t="s">
        <v>111</v>
      </c>
      <c r="H5" s="4" t="s">
        <v>108</v>
      </c>
    </row>
    <row r="6" ht="46.8" customHeight="1" spans="1:8" x14ac:dyDescent="0.25">
      <c r="A6" s="21" t="s">
        <v>112</v>
      </c>
      <c r="B6" s="22" t="s">
        <v>113</v>
      </c>
      <c r="C6" s="21" t="s">
        <v>114</v>
      </c>
      <c r="D6" s="21"/>
      <c r="E6" s="23"/>
      <c r="F6" s="23" t="str">
        <f>IF(ISBLANK(D6),"",IF(NOT(ISNUMBER(D6)),"קלט לא תקין",IF(D6&lt;0,"קלט לא תקין",IF(ISBLANK(E6),"",IF(OR(E6="כלול",E6="לא רלוונטי"),0,IF(NOT(ISNUMBER(E6)),"קלט לא תקין",IF(E6&lt;0,"קלט לא תקין",ROUND(D6*E6,2))))))))</f>
        <v/>
      </c>
      <c r="G6" s="4" t="s">
        <v>115</v>
      </c>
      <c r="H6" s="4" t="s">
        <v>108</v>
      </c>
    </row>
    <row r="7" ht="46.8" customHeight="1" spans="1:8" x14ac:dyDescent="0.25">
      <c r="A7" s="21" t="s">
        <v>116</v>
      </c>
      <c r="B7" s="22" t="s">
        <v>117</v>
      </c>
      <c r="C7" s="21" t="s">
        <v>114</v>
      </c>
      <c r="D7" s="21"/>
      <c r="E7" s="23"/>
      <c r="F7" s="23" t="str">
        <f>IF(ISBLANK(D7),"",IF(NOT(ISNUMBER(D7)),"קלט לא תקין",IF(D7&lt;0,"קלט לא תקין",IF(ISBLANK(E7),"",IF(OR(E7="כלול",E7="לא רלוונטי"),0,IF(NOT(ISNUMBER(E7)),"קלט לא תקין",IF(E7&lt;0,"קלט לא תקין",ROUND(D7*E7,2))))))))</f>
        <v/>
      </c>
      <c r="G7" s="4" t="s">
        <v>118</v>
      </c>
      <c r="H7" s="4" t="s">
        <v>108</v>
      </c>
    </row>
    <row r="8" ht="46.8" customHeight="1" spans="1:8" x14ac:dyDescent="0.25">
      <c r="A8" s="21" t="s">
        <v>119</v>
      </c>
      <c r="B8" s="22" t="s">
        <v>120</v>
      </c>
      <c r="C8" s="21" t="s">
        <v>106</v>
      </c>
      <c r="D8" s="21"/>
      <c r="E8" s="23"/>
      <c r="F8" s="23" t="str">
        <f>IF(ISBLANK(D8),"",IF(NOT(ISNUMBER(D8)),"קלט לא תקין",IF(D8&lt;0,"קלט לא תקין",IF(ISBLANK(E8),"",IF(OR(E8="כלול",E8="לא רלוונטי"),0,IF(NOT(ISNUMBER(E8)),"קלט לא תקין",IF(E8&lt;0,"קלט לא תקין",ROUND(D8*E8,2))))))))</f>
        <v/>
      </c>
      <c r="G8" s="4" t="s">
        <v>121</v>
      </c>
      <c r="H8" s="4" t="s">
        <v>108</v>
      </c>
    </row>
    <row r="9" ht="46.8" customHeight="1" spans="1:8" x14ac:dyDescent="0.25">
      <c r="A9" s="21" t="s">
        <v>122</v>
      </c>
      <c r="B9" s="22" t="s">
        <v>123</v>
      </c>
      <c r="C9" s="21" t="s">
        <v>106</v>
      </c>
      <c r="D9" s="21"/>
      <c r="E9" s="23"/>
      <c r="F9" s="23" t="str">
        <f>IF(ISBLANK(D9),"",IF(NOT(ISNUMBER(D9)),"קלט לא תקין",IF(D9&lt;0,"קלט לא תקין",IF(ISBLANK(E9),"",IF(OR(E9="כלול",E9="לא רלוונטי"),0,IF(NOT(ISNUMBER(E9)),"קלט לא תקין",IF(E9&lt;0,"קלט לא תקין",ROUND(D9*E9,2))))))))</f>
        <v/>
      </c>
      <c r="G9" s="4" t="s">
        <v>124</v>
      </c>
      <c r="H9" s="4" t="s">
        <v>108</v>
      </c>
    </row>
    <row r="10" ht="46.8" customHeight="1" spans="1:8" x14ac:dyDescent="0.25">
      <c r="A10" s="21" t="s">
        <v>125</v>
      </c>
      <c r="B10" s="22" t="s">
        <v>126</v>
      </c>
      <c r="C10" s="21" t="s">
        <v>106</v>
      </c>
      <c r="D10" s="21"/>
      <c r="E10" s="23"/>
      <c r="F10" s="23" t="str">
        <f>IF(ISBLANK(D10),"",IF(NOT(ISNUMBER(D10)),"קלט לא תקין",IF(D10&lt;0,"קלט לא תקין",IF(ISBLANK(E10),"",IF(OR(E10="כלול",E10="לא רלוונטי"),0,IF(NOT(ISNUMBER(E10)),"קלט לא תקין",IF(E10&lt;0,"קלט לא תקין",ROUND(D10*E10,2))))))))</f>
        <v/>
      </c>
      <c r="G10" s="4" t="s">
        <v>127</v>
      </c>
      <c r="H10" s="4" t="s">
        <v>108</v>
      </c>
    </row>
    <row r="11" ht="232.2" customHeight="1" spans="1:8" x14ac:dyDescent="0.25">
      <c r="A11" s="21"/>
      <c r="B11" s="22"/>
      <c r="C11" s="21"/>
      <c r="D11" s="21"/>
      <c r="E11" s="21"/>
      <c r="F11" s="21"/>
      <c r="G11" s="4"/>
      <c r="H11" s="4" t="s">
        <v>4</v>
      </c>
    </row>
    <row r="12" ht="32" customHeight="1" spans="1:8" x14ac:dyDescent="0.25">
      <c r="A12" s="14"/>
      <c r="B12" s="15" t="s">
        <v>128</v>
      </c>
      <c r="C12" s="16"/>
      <c r="D12" s="16"/>
      <c r="E12" s="16"/>
      <c r="F12" s="24">
        <f>SUM(F4,F5,F6,F7,F8,F9,F10)</f>
        <v>0</v>
      </c>
      <c r="G12" s="4"/>
      <c r="H12" s="4" t="s">
        <v>129</v>
      </c>
    </row>
  </sheetData>
  <mergeCells count="2">
    <mergeCell ref="B1:F1"/>
    <mergeCell ref="B12:E12"/>
  </mergeCells>
  <conditionalFormatting sqref="E4">
    <cfRule type="expression" dxfId="0" priority="1">
      <formula>AND(ISNUMBER(E4),ROUND(E4,2)=INT(ROUND(E4,2)))</formula>
    </cfRule>
    <cfRule type="expression" dxfId="1" priority="2">
      <formula>AND(ISNUMBER(E4),ROUND(E4,2)&lt;&gt;INT(ROUND(E4,2)))</formula>
    </cfRule>
  </conditionalFormatting>
  <conditionalFormatting sqref="F4">
    <cfRule type="expression" dxfId="2" priority="1">
      <formula>AND(ISNUMBER(F4),ROUND(F4,2)=INT(ROUND(F4,2)))</formula>
    </cfRule>
    <cfRule type="expression" dxfId="3" priority="2">
      <formula>AND(ISNUMBER(F4),ROUND(F4,2)&lt;&gt;INT(ROUND(F4,2)))</formula>
    </cfRule>
  </conditionalFormatting>
  <conditionalFormatting sqref="E5">
    <cfRule type="expression" dxfId="4" priority="1">
      <formula>AND(ISNUMBER(E5),ROUND(E5,2)=INT(ROUND(E5,2)))</formula>
    </cfRule>
    <cfRule type="expression" dxfId="5" priority="2">
      <formula>AND(ISNUMBER(E5),ROUND(E5,2)&lt;&gt;INT(ROUND(E5,2)))</formula>
    </cfRule>
  </conditionalFormatting>
  <conditionalFormatting sqref="F5">
    <cfRule type="expression" dxfId="6" priority="1">
      <formula>AND(ISNUMBER(F5),ROUND(F5,2)=INT(ROUND(F5,2)))</formula>
    </cfRule>
    <cfRule type="expression" dxfId="7" priority="2">
      <formula>AND(ISNUMBER(F5),ROUND(F5,2)&lt;&gt;INT(ROUND(F5,2)))</formula>
    </cfRule>
  </conditionalFormatting>
  <conditionalFormatting sqref="E6">
    <cfRule type="expression" dxfId="8" priority="1">
      <formula>AND(ISNUMBER(E6),ROUND(E6,2)=INT(ROUND(E6,2)))</formula>
    </cfRule>
    <cfRule type="expression" dxfId="9" priority="2">
      <formula>AND(ISNUMBER(E6),ROUND(E6,2)&lt;&gt;INT(ROUND(E6,2)))</formula>
    </cfRule>
  </conditionalFormatting>
  <conditionalFormatting sqref="F6">
    <cfRule type="expression" dxfId="10" priority="1">
      <formula>AND(ISNUMBER(F6),ROUND(F6,2)=INT(ROUND(F6,2)))</formula>
    </cfRule>
    <cfRule type="expression" dxfId="11" priority="2">
      <formula>AND(ISNUMBER(F6),ROUND(F6,2)&lt;&gt;INT(ROUND(F6,2)))</formula>
    </cfRule>
  </conditionalFormatting>
  <conditionalFormatting sqref="E7">
    <cfRule type="expression" dxfId="12" priority="1">
      <formula>AND(ISNUMBER(E7),ROUND(E7,2)=INT(ROUND(E7,2)))</formula>
    </cfRule>
    <cfRule type="expression" dxfId="13" priority="2">
      <formula>AND(ISNUMBER(E7),ROUND(E7,2)&lt;&gt;INT(ROUND(E7,2)))</formula>
    </cfRule>
  </conditionalFormatting>
  <conditionalFormatting sqref="F7">
    <cfRule type="expression" dxfId="14" priority="1">
      <formula>AND(ISNUMBER(F7),ROUND(F7,2)=INT(ROUND(F7,2)))</formula>
    </cfRule>
    <cfRule type="expression" dxfId="15" priority="2">
      <formula>AND(ISNUMBER(F7),ROUND(F7,2)&lt;&gt;INT(ROUND(F7,2)))</formula>
    </cfRule>
  </conditionalFormatting>
  <conditionalFormatting sqref="E8">
    <cfRule type="expression" dxfId="16" priority="1">
      <formula>AND(ISNUMBER(E8),ROUND(E8,2)=INT(ROUND(E8,2)))</formula>
    </cfRule>
    <cfRule type="expression" dxfId="17" priority="2">
      <formula>AND(ISNUMBER(E8),ROUND(E8,2)&lt;&gt;INT(ROUND(E8,2)))</formula>
    </cfRule>
  </conditionalFormatting>
  <conditionalFormatting sqref="F8">
    <cfRule type="expression" dxfId="18" priority="1">
      <formula>AND(ISNUMBER(F8),ROUND(F8,2)=INT(ROUND(F8,2)))</formula>
    </cfRule>
    <cfRule type="expression" dxfId="19" priority="2">
      <formula>AND(ISNUMBER(F8),ROUND(F8,2)&lt;&gt;INT(ROUND(F8,2)))</formula>
    </cfRule>
  </conditionalFormatting>
  <conditionalFormatting sqref="E9">
    <cfRule type="expression" dxfId="20" priority="1">
      <formula>AND(ISNUMBER(E9),ROUND(E9,2)=INT(ROUND(E9,2)))</formula>
    </cfRule>
    <cfRule type="expression" dxfId="21" priority="2">
      <formula>AND(ISNUMBER(E9),ROUND(E9,2)&lt;&gt;INT(ROUND(E9,2)))</formula>
    </cfRule>
  </conditionalFormatting>
  <conditionalFormatting sqref="F9">
    <cfRule type="expression" dxfId="22" priority="1">
      <formula>AND(ISNUMBER(F9),ROUND(F9,2)=INT(ROUND(F9,2)))</formula>
    </cfRule>
    <cfRule type="expression" dxfId="23" priority="2">
      <formula>AND(ISNUMBER(F9),ROUND(F9,2)&lt;&gt;INT(ROUND(F9,2)))</formula>
    </cfRule>
  </conditionalFormatting>
  <conditionalFormatting sqref="E10">
    <cfRule type="expression" dxfId="24" priority="1">
      <formula>AND(ISNUMBER(E10),ROUND(E10,2)=INT(ROUND(E10,2)))</formula>
    </cfRule>
    <cfRule type="expression" dxfId="25" priority="2">
      <formula>AND(ISNUMBER(E10),ROUND(E10,2)&lt;&gt;INT(ROUND(E10,2)))</formula>
    </cfRule>
  </conditionalFormatting>
  <conditionalFormatting sqref="F10">
    <cfRule type="expression" dxfId="26" priority="1">
      <formula>AND(ISNUMBER(F10),ROUND(F10,2)=INT(ROUND(F10,2)))</formula>
    </cfRule>
    <cfRule type="expression" dxfId="27" priority="2">
      <formula>AND(ISNUMBER(F10),ROUND(F10,2)&lt;&gt;INT(ROUND(F10,2)))</formula>
    </cfRule>
  </conditionalFormatting>
  <conditionalFormatting sqref="F12">
    <cfRule type="expression" dxfId="28" priority="1">
      <formula>AND(ISNUMBER(F12),ROUND(F12,2)=INT(ROUND(F12,2)))</formula>
    </cfRule>
    <cfRule type="expression" dxfId="29" priority="2">
      <formula>AND(ISNUMBER(F12),ROUND(F12,2)&lt;&gt;INT(ROUND(F12,2)))</formula>
    </cfRule>
  </conditionalFormatting>
  <dataValidations count="9">
    <dataValidation type="decimal" operator="greaterThanOrEqual" allowBlank="1" showErrorMessage="1" error="יש להזין מספר לא שלילי" sqref="D10">
      <formula1>0</formula1>
    </dataValidation>
    <dataValidation type="decimal" operator="greaterThanOrEqual" allowBlank="1" showErrorMessage="1" error="יש להזין מספר לא שלילי" sqref="D4:D10">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4" useFirstPageNumber="1"/>
  <headerFooter>
    <oddFooter>&amp;Cעמוד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v>
      </c>
      <c r="B1" s="12" t="s">
        <v>10</v>
      </c>
      <c r="C1" s="3"/>
      <c r="D1" s="3"/>
      <c r="E1" s="3"/>
      <c r="F1" s="3"/>
      <c r="G1" s="1" t="s">
        <v>53</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130</v>
      </c>
      <c r="C3" s="21"/>
      <c r="D3" s="21"/>
      <c r="E3" s="21"/>
      <c r="F3" s="21"/>
      <c r="G3" s="4" t="s">
        <v>131</v>
      </c>
      <c r="H3" s="4" t="s">
        <v>103</v>
      </c>
    </row>
    <row r="4" ht="46.8" customHeight="1" spans="1:8" x14ac:dyDescent="0.25">
      <c r="A4" s="21" t="s">
        <v>132</v>
      </c>
      <c r="B4" s="22" t="s">
        <v>133</v>
      </c>
      <c r="C4" s="21" t="s">
        <v>134</v>
      </c>
      <c r="D4" s="21"/>
      <c r="E4" s="23"/>
      <c r="F4" s="23" t="str">
        <f>IF(ISBLANK(D4),"",IF(NOT(ISNUMBER(D4)),"קלט לא תקין",IF(D4&lt;0,"קלט לא תקין",IF(ISBLANK(E4),"",IF(OR(E4="כלול",E4="לא רלוונטי"),0,IF(NOT(ISNUMBER(E4)),"קלט לא תקין",IF(E4&lt;0,"קלט לא תקין",ROUND(D4*E4,2))))))))</f>
        <v/>
      </c>
      <c r="G4" s="4" t="s">
        <v>135</v>
      </c>
      <c r="H4" s="4" t="s">
        <v>108</v>
      </c>
    </row>
    <row r="5" ht="46.8" customHeight="1" spans="1:8" x14ac:dyDescent="0.25">
      <c r="A5" s="21" t="s">
        <v>136</v>
      </c>
      <c r="B5" s="22" t="s">
        <v>137</v>
      </c>
      <c r="C5" s="21" t="s">
        <v>114</v>
      </c>
      <c r="D5" s="21"/>
      <c r="E5" s="23"/>
      <c r="F5" s="23" t="str">
        <f>IF(ISBLANK(D5),"",IF(NOT(ISNUMBER(D5)),"קלט לא תקין",IF(D5&lt;0,"קלט לא תקין",IF(ISBLANK(E5),"",IF(OR(E5="כלול",E5="לא רלוונטי"),0,IF(NOT(ISNUMBER(E5)),"קלט לא תקין",IF(E5&lt;0,"קלט לא תקין",ROUND(D5*E5,2))))))))</f>
        <v/>
      </c>
      <c r="G5" s="4" t="s">
        <v>138</v>
      </c>
      <c r="H5" s="4" t="s">
        <v>108</v>
      </c>
    </row>
    <row r="6" ht="46.8" customHeight="1" spans="1:8" x14ac:dyDescent="0.25">
      <c r="A6" s="21" t="s">
        <v>139</v>
      </c>
      <c r="B6" s="22" t="s">
        <v>140</v>
      </c>
      <c r="C6" s="21" t="s">
        <v>141</v>
      </c>
      <c r="D6" s="21"/>
      <c r="E6" s="23"/>
      <c r="F6" s="23" t="str">
        <f>IF(ISBLANK(D6),"",IF(NOT(ISNUMBER(D6)),"קלט לא תקין",IF(D6&lt;0,"קלט לא תקין",IF(ISBLANK(E6),"",IF(OR(E6="כלול",E6="לא רלוונטי"),0,IF(NOT(ISNUMBER(E6)),"קלט לא תקין",IF(E6&lt;0,"קלט לא תקין",ROUND(D6*E6,2))))))))</f>
        <v/>
      </c>
      <c r="G6" s="4" t="s">
        <v>142</v>
      </c>
      <c r="H6" s="4" t="s">
        <v>108</v>
      </c>
    </row>
    <row r="7" ht="46.8" customHeight="1" spans="1:8" x14ac:dyDescent="0.25">
      <c r="A7" s="21" t="s">
        <v>143</v>
      </c>
      <c r="B7" s="22" t="s">
        <v>144</v>
      </c>
      <c r="C7" s="21" t="s">
        <v>141</v>
      </c>
      <c r="D7" s="21"/>
      <c r="E7" s="23"/>
      <c r="F7" s="23" t="str">
        <f>IF(ISBLANK(D7),"",IF(NOT(ISNUMBER(D7)),"קלט לא תקין",IF(D7&lt;0,"קלט לא תקין",IF(ISBLANK(E7),"",IF(OR(E7="כלול",E7="לא רלוונטי"),0,IF(NOT(ISNUMBER(E7)),"קלט לא תקין",IF(E7&lt;0,"קלט לא תקין",ROUND(D7*E7,2))))))))</f>
        <v/>
      </c>
      <c r="G7" s="4" t="s">
        <v>145</v>
      </c>
      <c r="H7" s="4" t="s">
        <v>108</v>
      </c>
    </row>
    <row r="8" ht="46.8" customHeight="1" spans="1:8" x14ac:dyDescent="0.25">
      <c r="A8" s="21" t="s">
        <v>146</v>
      </c>
      <c r="B8" s="22" t="s">
        <v>147</v>
      </c>
      <c r="C8" s="21" t="s">
        <v>141</v>
      </c>
      <c r="D8" s="21"/>
      <c r="E8" s="23"/>
      <c r="F8" s="23" t="str">
        <f>IF(ISBLANK(D8),"",IF(NOT(ISNUMBER(D8)),"קלט לא תקין",IF(D8&lt;0,"קלט לא תקין",IF(ISBLANK(E8),"",IF(OR(E8="כלול",E8="לא רלוונטי"),0,IF(NOT(ISNUMBER(E8)),"קלט לא תקין",IF(E8&lt;0,"קלט לא תקין",ROUND(D8*E8,2))))))))</f>
        <v/>
      </c>
      <c r="G8" s="4" t="s">
        <v>148</v>
      </c>
      <c r="H8" s="4" t="s">
        <v>108</v>
      </c>
    </row>
    <row r="9" ht="308.4" customHeight="1" spans="1:8" x14ac:dyDescent="0.25">
      <c r="A9" s="21"/>
      <c r="B9" s="22"/>
      <c r="C9" s="21"/>
      <c r="D9" s="21"/>
      <c r="E9" s="21"/>
      <c r="F9" s="21"/>
      <c r="G9" s="4"/>
      <c r="H9" s="4" t="s">
        <v>4</v>
      </c>
    </row>
    <row r="10" ht="32" customHeight="1" spans="1:8" x14ac:dyDescent="0.25">
      <c r="A10" s="14"/>
      <c r="B10" s="15" t="s">
        <v>149</v>
      </c>
      <c r="C10" s="16"/>
      <c r="D10" s="16"/>
      <c r="E10" s="16"/>
      <c r="F10" s="24">
        <f>SUM(F4,F5,F6,F7,F8)</f>
        <v>0</v>
      </c>
      <c r="G10" s="4"/>
      <c r="H10" s="4" t="s">
        <v>129</v>
      </c>
    </row>
  </sheetData>
  <mergeCells count="2">
    <mergeCell ref="B1:F1"/>
    <mergeCell ref="B10:E10"/>
  </mergeCells>
  <conditionalFormatting sqref="E4">
    <cfRule type="expression" dxfId="30" priority="1">
      <formula>AND(ISNUMBER(E4),ROUND(E4,2)=INT(ROUND(E4,2)))</formula>
    </cfRule>
    <cfRule type="expression" dxfId="31" priority="2">
      <formula>AND(ISNUMBER(E4),ROUND(E4,2)&lt;&gt;INT(ROUND(E4,2)))</formula>
    </cfRule>
  </conditionalFormatting>
  <conditionalFormatting sqref="F4">
    <cfRule type="expression" dxfId="32" priority="1">
      <formula>AND(ISNUMBER(F4),ROUND(F4,2)=INT(ROUND(F4,2)))</formula>
    </cfRule>
    <cfRule type="expression" dxfId="33" priority="2">
      <formula>AND(ISNUMBER(F4),ROUND(F4,2)&lt;&gt;INT(ROUND(F4,2)))</formula>
    </cfRule>
  </conditionalFormatting>
  <conditionalFormatting sqref="E5">
    <cfRule type="expression" dxfId="34" priority="1">
      <formula>AND(ISNUMBER(E5),ROUND(E5,2)=INT(ROUND(E5,2)))</formula>
    </cfRule>
    <cfRule type="expression" dxfId="35" priority="2">
      <formula>AND(ISNUMBER(E5),ROUND(E5,2)&lt;&gt;INT(ROUND(E5,2)))</formula>
    </cfRule>
  </conditionalFormatting>
  <conditionalFormatting sqref="F5">
    <cfRule type="expression" dxfId="36" priority="1">
      <formula>AND(ISNUMBER(F5),ROUND(F5,2)=INT(ROUND(F5,2)))</formula>
    </cfRule>
    <cfRule type="expression" dxfId="37" priority="2">
      <formula>AND(ISNUMBER(F5),ROUND(F5,2)&lt;&gt;INT(ROUND(F5,2)))</formula>
    </cfRule>
  </conditionalFormatting>
  <conditionalFormatting sqref="E6">
    <cfRule type="expression" dxfId="38" priority="1">
      <formula>AND(ISNUMBER(E6),ROUND(E6,2)=INT(ROUND(E6,2)))</formula>
    </cfRule>
    <cfRule type="expression" dxfId="39" priority="2">
      <formula>AND(ISNUMBER(E6),ROUND(E6,2)&lt;&gt;INT(ROUND(E6,2)))</formula>
    </cfRule>
  </conditionalFormatting>
  <conditionalFormatting sqref="F6">
    <cfRule type="expression" dxfId="40" priority="1">
      <formula>AND(ISNUMBER(F6),ROUND(F6,2)=INT(ROUND(F6,2)))</formula>
    </cfRule>
    <cfRule type="expression" dxfId="41" priority="2">
      <formula>AND(ISNUMBER(F6),ROUND(F6,2)&lt;&gt;INT(ROUND(F6,2)))</formula>
    </cfRule>
  </conditionalFormatting>
  <conditionalFormatting sqref="E7">
    <cfRule type="expression" dxfId="42" priority="1">
      <formula>AND(ISNUMBER(E7),ROUND(E7,2)=INT(ROUND(E7,2)))</formula>
    </cfRule>
    <cfRule type="expression" dxfId="43" priority="2">
      <formula>AND(ISNUMBER(E7),ROUND(E7,2)&lt;&gt;INT(ROUND(E7,2)))</formula>
    </cfRule>
  </conditionalFormatting>
  <conditionalFormatting sqref="F7">
    <cfRule type="expression" dxfId="44" priority="1">
      <formula>AND(ISNUMBER(F7),ROUND(F7,2)=INT(ROUND(F7,2)))</formula>
    </cfRule>
    <cfRule type="expression" dxfId="45" priority="2">
      <formula>AND(ISNUMBER(F7),ROUND(F7,2)&lt;&gt;INT(ROUND(F7,2)))</formula>
    </cfRule>
  </conditionalFormatting>
  <conditionalFormatting sqref="E8">
    <cfRule type="expression" dxfId="46" priority="1">
      <formula>AND(ISNUMBER(E8),ROUND(E8,2)=INT(ROUND(E8,2)))</formula>
    </cfRule>
    <cfRule type="expression" dxfId="47" priority="2">
      <formula>AND(ISNUMBER(E8),ROUND(E8,2)&lt;&gt;INT(ROUND(E8,2)))</formula>
    </cfRule>
  </conditionalFormatting>
  <conditionalFormatting sqref="F8">
    <cfRule type="expression" dxfId="48" priority="1">
      <formula>AND(ISNUMBER(F8),ROUND(F8,2)=INT(ROUND(F8,2)))</formula>
    </cfRule>
    <cfRule type="expression" dxfId="49" priority="2">
      <formula>AND(ISNUMBER(F8),ROUND(F8,2)&lt;&gt;INT(ROUND(F8,2)))</formula>
    </cfRule>
  </conditionalFormatting>
  <conditionalFormatting sqref="F10">
    <cfRule type="expression" dxfId="50" priority="1">
      <formula>AND(ISNUMBER(F10),ROUND(F10,2)=INT(ROUND(F10,2)))</formula>
    </cfRule>
    <cfRule type="expression" dxfId="51" priority="2">
      <formula>AND(ISNUMBER(F10),ROUND(F10,2)&lt;&gt;INT(ROUND(F10,2)))</formula>
    </cfRule>
  </conditionalFormatting>
  <dataValidations count="6">
    <dataValidation type="decimal" operator="greaterThanOrEqual" allowBlank="1" showErrorMessage="1" error="יש להזין מספר לא שלילי" sqref="D4:D8">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s>
  <pageMargins left="0.25" right="0.25" top="0.75" bottom="0.75" header="0" footer="0.25"/>
  <pageSetup paperSize="9" orientation="portrait" fitToWidth="1" fitToHeight="0" firstPageNumber="5" useFirstPageNumber="1"/>
  <headerFooter>
    <oddFooter>&amp;Cעמוד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3</v>
      </c>
      <c r="B1" s="12" t="s">
        <v>11</v>
      </c>
      <c r="C1" s="3"/>
      <c r="D1" s="3"/>
      <c r="E1" s="3"/>
      <c r="F1" s="3"/>
      <c r="G1" s="1" t="s">
        <v>55</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150</v>
      </c>
      <c r="C3" s="21"/>
      <c r="D3" s="21"/>
      <c r="E3" s="21"/>
      <c r="F3" s="21"/>
      <c r="G3" s="4" t="s">
        <v>151</v>
      </c>
      <c r="H3" s="4" t="s">
        <v>103</v>
      </c>
    </row>
    <row r="4" ht="64.19999999999999" customHeight="1" spans="1:8" x14ac:dyDescent="0.25">
      <c r="A4" s="21" t="s">
        <v>152</v>
      </c>
      <c r="B4" s="22" t="s">
        <v>153</v>
      </c>
      <c r="C4" s="21" t="s">
        <v>106</v>
      </c>
      <c r="D4" s="21"/>
      <c r="E4" s="23"/>
      <c r="F4" s="23" t="str">
        <f>IF(ISBLANK(D4),"",IF(NOT(ISNUMBER(D4)),"קלט לא תקין",IF(D4&lt;0,"קלט לא תקין",IF(ISBLANK(E4),"",IF(OR(E4="כלול",E4="לא רלוונטי"),0,IF(NOT(ISNUMBER(E4)),"קלט לא תקין",IF(E4&lt;0,"קלט לא תקין",ROUND(D4*E4,2))))))))</f>
        <v/>
      </c>
      <c r="G4" s="4" t="s">
        <v>154</v>
      </c>
      <c r="H4" s="4" t="s">
        <v>108</v>
      </c>
    </row>
    <row r="5" ht="64.19999999999999" customHeight="1" spans="1:8" x14ac:dyDescent="0.25">
      <c r="A5" s="21" t="s">
        <v>155</v>
      </c>
      <c r="B5" s="22" t="s">
        <v>156</v>
      </c>
      <c r="C5" s="21" t="s">
        <v>157</v>
      </c>
      <c r="D5" s="21"/>
      <c r="E5" s="23"/>
      <c r="F5" s="23" t="str">
        <f>IF(ISBLANK(D5),"",IF(NOT(ISNUMBER(D5)),"קלט לא תקין",IF(D5&lt;0,"קלט לא תקין",IF(ISBLANK(E5),"",IF(OR(E5="כלול",E5="לא רלוונטי"),0,IF(NOT(ISNUMBER(E5)),"קלט לא תקין",IF(E5&lt;0,"קלט לא תקין",ROUND(D5*E5,2))))))))</f>
        <v/>
      </c>
      <c r="G5" s="4" t="s">
        <v>158</v>
      </c>
      <c r="H5" s="4" t="s">
        <v>108</v>
      </c>
    </row>
    <row r="6" ht="46.8" customHeight="1" spans="1:8" x14ac:dyDescent="0.25">
      <c r="A6" s="21" t="s">
        <v>159</v>
      </c>
      <c r="B6" s="22" t="s">
        <v>160</v>
      </c>
      <c r="C6" s="21" t="s">
        <v>157</v>
      </c>
      <c r="D6" s="21"/>
      <c r="E6" s="23"/>
      <c r="F6" s="23" t="str">
        <f>IF(ISBLANK(D6),"",IF(NOT(ISNUMBER(D6)),"קלט לא תקין",IF(D6&lt;0,"קלט לא תקין",IF(ISBLANK(E6),"",IF(OR(E6="כלול",E6="לא רלוונטי"),0,IF(NOT(ISNUMBER(E6)),"קלט לא תקין",IF(E6&lt;0,"קלט לא תקין",ROUND(D6*E6,2))))))))</f>
        <v/>
      </c>
      <c r="G6" s="4" t="s">
        <v>161</v>
      </c>
      <c r="H6" s="4" t="s">
        <v>108</v>
      </c>
    </row>
    <row r="7" ht="46.8" customHeight="1" spans="1:8" x14ac:dyDescent="0.25">
      <c r="A7" s="21" t="s">
        <v>162</v>
      </c>
      <c r="B7" s="22" t="s">
        <v>163</v>
      </c>
      <c r="C7" s="21" t="s">
        <v>157</v>
      </c>
      <c r="D7" s="21"/>
      <c r="E7" s="23"/>
      <c r="F7" s="23" t="str">
        <f>IF(ISBLANK(D7),"",IF(NOT(ISNUMBER(D7)),"קלט לא תקין",IF(D7&lt;0,"קלט לא תקין",IF(ISBLANK(E7),"",IF(OR(E7="כלול",E7="לא רלוונטי"),0,IF(NOT(ISNUMBER(E7)),"קלט לא תקין",IF(E7&lt;0,"קלט לא תקין",ROUND(D7*E7,2))))))))</f>
        <v/>
      </c>
      <c r="G7" s="4" t="s">
        <v>164</v>
      </c>
      <c r="H7" s="4" t="s">
        <v>108</v>
      </c>
    </row>
    <row r="8" ht="46.8" customHeight="1" spans="1:8" x14ac:dyDescent="0.25">
      <c r="A8" s="21" t="s">
        <v>165</v>
      </c>
      <c r="B8" s="22" t="s">
        <v>166</v>
      </c>
      <c r="C8" s="21" t="s">
        <v>157</v>
      </c>
      <c r="D8" s="21"/>
      <c r="E8" s="23"/>
      <c r="F8" s="23" t="str">
        <f>IF(ISBLANK(D8),"",IF(NOT(ISNUMBER(D8)),"קלט לא תקין",IF(D8&lt;0,"קלט לא תקין",IF(ISBLANK(E8),"",IF(OR(E8="כלול",E8="לא רלוונטי"),0,IF(NOT(ISNUMBER(E8)),"קלט לא תקין",IF(E8&lt;0,"קלט לא תקין",ROUND(D8*E8,2))))))))</f>
        <v/>
      </c>
      <c r="G8" s="4" t="s">
        <v>167</v>
      </c>
      <c r="H8" s="4" t="s">
        <v>108</v>
      </c>
    </row>
    <row r="9" ht="64.19999999999999" customHeight="1" spans="1:8" x14ac:dyDescent="0.25">
      <c r="A9" s="21" t="s">
        <v>168</v>
      </c>
      <c r="B9" s="22" t="s">
        <v>169</v>
      </c>
      <c r="C9" s="21" t="s">
        <v>141</v>
      </c>
      <c r="D9" s="21"/>
      <c r="E9" s="23"/>
      <c r="F9" s="23" t="str">
        <f>IF(ISBLANK(D9),"",IF(NOT(ISNUMBER(D9)),"קלט לא תקין",IF(D9&lt;0,"קלט לא תקין",IF(ISBLANK(E9),"",IF(OR(E9="כלול",E9="לא רלוונטי"),0,IF(NOT(ISNUMBER(E9)),"קלט לא תקין",IF(E9&lt;0,"קלט לא תקין",ROUND(D9*E9,2))))))))</f>
        <v/>
      </c>
      <c r="G9" s="4" t="s">
        <v>170</v>
      </c>
      <c r="H9" s="4" t="s">
        <v>108</v>
      </c>
    </row>
    <row r="10" ht="64.19999999999999" customHeight="1" spans="1:8" x14ac:dyDescent="0.25">
      <c r="A10" s="21" t="s">
        <v>171</v>
      </c>
      <c r="B10" s="22" t="s">
        <v>172</v>
      </c>
      <c r="C10" s="21" t="s">
        <v>141</v>
      </c>
      <c r="D10" s="21"/>
      <c r="E10" s="23"/>
      <c r="F10" s="23" t="str">
        <f>IF(ISBLANK(D10),"",IF(NOT(ISNUMBER(D10)),"קלט לא תקין",IF(D10&lt;0,"קלט לא תקין",IF(ISBLANK(E10),"",IF(OR(E10="כלול",E10="לא רלוונטי"),0,IF(NOT(ISNUMBER(E10)),"קלט לא תקין",IF(E10&lt;0,"קלט לא תקין",ROUND(D10*E10,2))))))))</f>
        <v/>
      </c>
      <c r="G10" s="4" t="s">
        <v>173</v>
      </c>
      <c r="H10" s="4" t="s">
        <v>108</v>
      </c>
    </row>
    <row r="11" ht="145.20000000000005" customHeight="1" spans="1:8" x14ac:dyDescent="0.25">
      <c r="A11" s="21"/>
      <c r="B11" s="22"/>
      <c r="C11" s="21"/>
      <c r="D11" s="21"/>
      <c r="E11" s="21"/>
      <c r="F11" s="21"/>
      <c r="G11" s="4"/>
      <c r="H11" s="4" t="s">
        <v>4</v>
      </c>
    </row>
    <row r="12" ht="32" customHeight="1" spans="1:8" x14ac:dyDescent="0.25">
      <c r="A12" s="14"/>
      <c r="B12" s="15" t="s">
        <v>174</v>
      </c>
      <c r="C12" s="16"/>
      <c r="D12" s="16"/>
      <c r="E12" s="16"/>
      <c r="F12" s="24">
        <f>SUM(F4,F5,F6,F7,F8,F9,F10)</f>
        <v>0</v>
      </c>
      <c r="G12" s="4"/>
      <c r="H12" s="4" t="s">
        <v>129</v>
      </c>
    </row>
  </sheetData>
  <mergeCells count="2">
    <mergeCell ref="B1:F1"/>
    <mergeCell ref="B12:E12"/>
  </mergeCells>
  <conditionalFormatting sqref="E4">
    <cfRule type="expression" dxfId="52" priority="1">
      <formula>AND(ISNUMBER(E4),ROUND(E4,2)=INT(ROUND(E4,2)))</formula>
    </cfRule>
    <cfRule type="expression" dxfId="53" priority="2">
      <formula>AND(ISNUMBER(E4),ROUND(E4,2)&lt;&gt;INT(ROUND(E4,2)))</formula>
    </cfRule>
  </conditionalFormatting>
  <conditionalFormatting sqref="F4">
    <cfRule type="expression" dxfId="54" priority="1">
      <formula>AND(ISNUMBER(F4),ROUND(F4,2)=INT(ROUND(F4,2)))</formula>
    </cfRule>
    <cfRule type="expression" dxfId="55" priority="2">
      <formula>AND(ISNUMBER(F4),ROUND(F4,2)&lt;&gt;INT(ROUND(F4,2)))</formula>
    </cfRule>
  </conditionalFormatting>
  <conditionalFormatting sqref="E5">
    <cfRule type="expression" dxfId="56" priority="1">
      <formula>AND(ISNUMBER(E5),ROUND(E5,2)=INT(ROUND(E5,2)))</formula>
    </cfRule>
    <cfRule type="expression" dxfId="57" priority="2">
      <formula>AND(ISNUMBER(E5),ROUND(E5,2)&lt;&gt;INT(ROUND(E5,2)))</formula>
    </cfRule>
  </conditionalFormatting>
  <conditionalFormatting sqref="F5">
    <cfRule type="expression" dxfId="58" priority="1">
      <formula>AND(ISNUMBER(F5),ROUND(F5,2)=INT(ROUND(F5,2)))</formula>
    </cfRule>
    <cfRule type="expression" dxfId="59" priority="2">
      <formula>AND(ISNUMBER(F5),ROUND(F5,2)&lt;&gt;INT(ROUND(F5,2)))</formula>
    </cfRule>
  </conditionalFormatting>
  <conditionalFormatting sqref="E6">
    <cfRule type="expression" dxfId="60" priority="1">
      <formula>AND(ISNUMBER(E6),ROUND(E6,2)=INT(ROUND(E6,2)))</formula>
    </cfRule>
    <cfRule type="expression" dxfId="61" priority="2">
      <formula>AND(ISNUMBER(E6),ROUND(E6,2)&lt;&gt;INT(ROUND(E6,2)))</formula>
    </cfRule>
  </conditionalFormatting>
  <conditionalFormatting sqref="F6">
    <cfRule type="expression" dxfId="62" priority="1">
      <formula>AND(ISNUMBER(F6),ROUND(F6,2)=INT(ROUND(F6,2)))</formula>
    </cfRule>
    <cfRule type="expression" dxfId="63" priority="2">
      <formula>AND(ISNUMBER(F6),ROUND(F6,2)&lt;&gt;INT(ROUND(F6,2)))</formula>
    </cfRule>
  </conditionalFormatting>
  <conditionalFormatting sqref="E7">
    <cfRule type="expression" dxfId="64" priority="1">
      <formula>AND(ISNUMBER(E7),ROUND(E7,2)=INT(ROUND(E7,2)))</formula>
    </cfRule>
    <cfRule type="expression" dxfId="65" priority="2">
      <formula>AND(ISNUMBER(E7),ROUND(E7,2)&lt;&gt;INT(ROUND(E7,2)))</formula>
    </cfRule>
  </conditionalFormatting>
  <conditionalFormatting sqref="F7">
    <cfRule type="expression" dxfId="66" priority="1">
      <formula>AND(ISNUMBER(F7),ROUND(F7,2)=INT(ROUND(F7,2)))</formula>
    </cfRule>
    <cfRule type="expression" dxfId="67" priority="2">
      <formula>AND(ISNUMBER(F7),ROUND(F7,2)&lt;&gt;INT(ROUND(F7,2)))</formula>
    </cfRule>
  </conditionalFormatting>
  <conditionalFormatting sqref="E8">
    <cfRule type="expression" dxfId="68" priority="1">
      <formula>AND(ISNUMBER(E8),ROUND(E8,2)=INT(ROUND(E8,2)))</formula>
    </cfRule>
    <cfRule type="expression" dxfId="69" priority="2">
      <formula>AND(ISNUMBER(E8),ROUND(E8,2)&lt;&gt;INT(ROUND(E8,2)))</formula>
    </cfRule>
  </conditionalFormatting>
  <conditionalFormatting sqref="F8">
    <cfRule type="expression" dxfId="70" priority="1">
      <formula>AND(ISNUMBER(F8),ROUND(F8,2)=INT(ROUND(F8,2)))</formula>
    </cfRule>
    <cfRule type="expression" dxfId="71" priority="2">
      <formula>AND(ISNUMBER(F8),ROUND(F8,2)&lt;&gt;INT(ROUND(F8,2)))</formula>
    </cfRule>
  </conditionalFormatting>
  <conditionalFormatting sqref="E9">
    <cfRule type="expression" dxfId="72" priority="1">
      <formula>AND(ISNUMBER(E9),ROUND(E9,2)=INT(ROUND(E9,2)))</formula>
    </cfRule>
    <cfRule type="expression" dxfId="73" priority="2">
      <formula>AND(ISNUMBER(E9),ROUND(E9,2)&lt;&gt;INT(ROUND(E9,2)))</formula>
    </cfRule>
  </conditionalFormatting>
  <conditionalFormatting sqref="F9">
    <cfRule type="expression" dxfId="74" priority="1">
      <formula>AND(ISNUMBER(F9),ROUND(F9,2)=INT(ROUND(F9,2)))</formula>
    </cfRule>
    <cfRule type="expression" dxfId="75" priority="2">
      <formula>AND(ISNUMBER(F9),ROUND(F9,2)&lt;&gt;INT(ROUND(F9,2)))</formula>
    </cfRule>
  </conditionalFormatting>
  <conditionalFormatting sqref="E10">
    <cfRule type="expression" dxfId="76" priority="1">
      <formula>AND(ISNUMBER(E10),ROUND(E10,2)=INT(ROUND(E10,2)))</formula>
    </cfRule>
    <cfRule type="expression" dxfId="77" priority="2">
      <formula>AND(ISNUMBER(E10),ROUND(E10,2)&lt;&gt;INT(ROUND(E10,2)))</formula>
    </cfRule>
  </conditionalFormatting>
  <conditionalFormatting sqref="F10">
    <cfRule type="expression" dxfId="78" priority="1">
      <formula>AND(ISNUMBER(F10),ROUND(F10,2)=INT(ROUND(F10,2)))</formula>
    </cfRule>
    <cfRule type="expression" dxfId="79" priority="2">
      <formula>AND(ISNUMBER(F10),ROUND(F10,2)&lt;&gt;INT(ROUND(F10,2)))</formula>
    </cfRule>
  </conditionalFormatting>
  <conditionalFormatting sqref="F12">
    <cfRule type="expression" dxfId="80" priority="1">
      <formula>AND(ISNUMBER(F12),ROUND(F12,2)=INT(ROUND(F12,2)))</formula>
    </cfRule>
    <cfRule type="expression" dxfId="81" priority="2">
      <formula>AND(ISNUMBER(F12),ROUND(F12,2)&lt;&gt;INT(ROUND(F12,2)))</formula>
    </cfRule>
  </conditionalFormatting>
  <dataValidations count="9">
    <dataValidation type="decimal" operator="greaterThanOrEqual" allowBlank="1" showErrorMessage="1" error="יש להזין מספר לא שלילי" sqref="D10">
      <formula1>0</formula1>
    </dataValidation>
    <dataValidation type="decimal" operator="greaterThanOrEqual" allowBlank="1" showErrorMessage="1" error="יש להזין מספר לא שלילי" sqref="D4:D10">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6" useFirstPageNumber="1"/>
  <headerFooter>
    <oddFooter>&amp;Cעמוד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4</v>
      </c>
      <c r="B1" s="12" t="s">
        <v>12</v>
      </c>
      <c r="C1" s="3"/>
      <c r="D1" s="3"/>
      <c r="E1" s="3"/>
      <c r="F1" s="3"/>
      <c r="G1" s="1" t="s">
        <v>57</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175</v>
      </c>
      <c r="C3" s="21"/>
      <c r="D3" s="21"/>
      <c r="E3" s="21"/>
      <c r="F3" s="21"/>
      <c r="G3" s="4" t="s">
        <v>176</v>
      </c>
      <c r="H3" s="4" t="s">
        <v>103</v>
      </c>
    </row>
    <row r="4" ht="64.19999999999999" customHeight="1" spans="1:8" x14ac:dyDescent="0.25">
      <c r="A4" s="21" t="s">
        <v>177</v>
      </c>
      <c r="B4" s="22" t="s">
        <v>178</v>
      </c>
      <c r="C4" s="21" t="s">
        <v>157</v>
      </c>
      <c r="D4" s="21"/>
      <c r="E4" s="23"/>
      <c r="F4" s="23" t="str">
        <f>IF(ISBLANK(D4),"",IF(NOT(ISNUMBER(D4)),"קלט לא תקין",IF(D4&lt;0,"קלט לא תקין",IF(ISBLANK(E4),"",IF(OR(E4="כלול",E4="לא רלוונטי"),0,IF(NOT(ISNUMBER(E4)),"קלט לא תקין",IF(E4&lt;0,"קלט לא תקין",ROUND(D4*E4,2))))))))</f>
        <v/>
      </c>
      <c r="G4" s="4" t="s">
        <v>179</v>
      </c>
      <c r="H4" s="4" t="s">
        <v>108</v>
      </c>
    </row>
    <row r="5" ht="46.8" customHeight="1" spans="1:8" x14ac:dyDescent="0.25">
      <c r="A5" s="21" t="s">
        <v>180</v>
      </c>
      <c r="B5" s="22" t="s">
        <v>181</v>
      </c>
      <c r="C5" s="21" t="s">
        <v>141</v>
      </c>
      <c r="D5" s="21"/>
      <c r="E5" s="23"/>
      <c r="F5" s="23" t="str">
        <f>IF(ISBLANK(D5),"",IF(NOT(ISNUMBER(D5)),"קלט לא תקין",IF(D5&lt;0,"קלט לא תקין",IF(ISBLANK(E5),"",IF(OR(E5="כלול",E5="לא רלוונטי"),0,IF(NOT(ISNUMBER(E5)),"קלט לא תקין",IF(E5&lt;0,"קלט לא תקין",ROUND(D5*E5,2))))))))</f>
        <v/>
      </c>
      <c r="G5" s="4" t="s">
        <v>182</v>
      </c>
      <c r="H5" s="4" t="s">
        <v>108</v>
      </c>
    </row>
    <row r="6" ht="46.8" customHeight="1" spans="1:8" x14ac:dyDescent="0.25">
      <c r="A6" s="21" t="s">
        <v>183</v>
      </c>
      <c r="B6" s="22" t="s">
        <v>184</v>
      </c>
      <c r="C6" s="21" t="s">
        <v>141</v>
      </c>
      <c r="D6" s="21"/>
      <c r="E6" s="23"/>
      <c r="F6" s="23" t="str">
        <f>IF(ISBLANK(D6),"",IF(NOT(ISNUMBER(D6)),"קלט לא תקין",IF(D6&lt;0,"קלט לא תקין",IF(ISBLANK(E6),"",IF(OR(E6="כלול",E6="לא רלוונטי"),0,IF(NOT(ISNUMBER(E6)),"קלט לא תקין",IF(E6&lt;0,"קלט לא תקין",ROUND(D6*E6,2))))))))</f>
        <v/>
      </c>
      <c r="G6" s="4" t="s">
        <v>185</v>
      </c>
      <c r="H6" s="4" t="s">
        <v>108</v>
      </c>
    </row>
    <row r="7" ht="46.8" customHeight="1" spans="1:8" x14ac:dyDescent="0.25">
      <c r="A7" s="21" t="s">
        <v>186</v>
      </c>
      <c r="B7" s="22" t="s">
        <v>187</v>
      </c>
      <c r="C7" s="21" t="s">
        <v>157</v>
      </c>
      <c r="D7" s="21"/>
      <c r="E7" s="23"/>
      <c r="F7" s="23" t="str">
        <f>IF(ISBLANK(D7),"",IF(NOT(ISNUMBER(D7)),"קלט לא תקין",IF(D7&lt;0,"קלט לא תקין",IF(ISBLANK(E7),"",IF(OR(E7="כלול",E7="לא רלוונטי"),0,IF(NOT(ISNUMBER(E7)),"קלט לא תקין",IF(E7&lt;0,"קלט לא תקין",ROUND(D7*E7,2))))))))</f>
        <v/>
      </c>
      <c r="G7" s="4" t="s">
        <v>188</v>
      </c>
      <c r="H7" s="4" t="s">
        <v>108</v>
      </c>
    </row>
    <row r="8" ht="46.8" customHeight="1" spans="1:8" x14ac:dyDescent="0.25">
      <c r="A8" s="21" t="s">
        <v>189</v>
      </c>
      <c r="B8" s="22" t="s">
        <v>190</v>
      </c>
      <c r="C8" s="21" t="s">
        <v>157</v>
      </c>
      <c r="D8" s="21"/>
      <c r="E8" s="23"/>
      <c r="F8" s="23" t="str">
        <f>IF(ISBLANK(D8),"",IF(NOT(ISNUMBER(D8)),"קלט לא תקין",IF(D8&lt;0,"קלט לא תקין",IF(ISBLANK(E8),"",IF(OR(E8="כלול",E8="לא רלוונטי"),0,IF(NOT(ISNUMBER(E8)),"קלט לא תקין",IF(E8&lt;0,"קלט לא תקין",ROUND(D8*E8,2))))))))</f>
        <v/>
      </c>
      <c r="G8" s="4" t="s">
        <v>191</v>
      </c>
      <c r="H8" s="4" t="s">
        <v>108</v>
      </c>
    </row>
    <row r="9" ht="46.8" customHeight="1" spans="1:8" x14ac:dyDescent="0.25">
      <c r="A9" s="21" t="s">
        <v>192</v>
      </c>
      <c r="B9" s="22" t="s">
        <v>193</v>
      </c>
      <c r="C9" s="21" t="s">
        <v>157</v>
      </c>
      <c r="D9" s="21"/>
      <c r="E9" s="23"/>
      <c r="F9" s="23" t="str">
        <f>IF(ISBLANK(D9),"",IF(NOT(ISNUMBER(D9)),"קלט לא תקין",IF(D9&lt;0,"קלט לא תקין",IF(ISBLANK(E9),"",IF(OR(E9="כלול",E9="לא רלוונטי"),0,IF(NOT(ISNUMBER(E9)),"קלט לא תקין",IF(E9&lt;0,"קלט לא תקין",ROUND(D9*E9,2))))))))</f>
        <v/>
      </c>
      <c r="G9" s="4" t="s">
        <v>194</v>
      </c>
      <c r="H9" s="4" t="s">
        <v>108</v>
      </c>
    </row>
    <row r="10" ht="46.8" customHeight="1" spans="1:8" x14ac:dyDescent="0.25">
      <c r="A10" s="21" t="s">
        <v>195</v>
      </c>
      <c r="B10" s="22" t="s">
        <v>196</v>
      </c>
      <c r="C10" s="21" t="s">
        <v>157</v>
      </c>
      <c r="D10" s="21"/>
      <c r="E10" s="23"/>
      <c r="F10" s="23" t="str">
        <f>IF(ISBLANK(D10),"",IF(NOT(ISNUMBER(D10)),"קלט לא תקין",IF(D10&lt;0,"קלט לא תקין",IF(ISBLANK(E10),"",IF(OR(E10="כלול",E10="לא רלוונטי"),0,IF(NOT(ISNUMBER(E10)),"קלט לא תקין",IF(E10&lt;0,"קלט לא תקין",ROUND(D10*E10,2))))))))</f>
        <v/>
      </c>
      <c r="G10" s="4" t="s">
        <v>197</v>
      </c>
      <c r="H10" s="4" t="s">
        <v>108</v>
      </c>
    </row>
    <row r="11" ht="64.19999999999999" customHeight="1" spans="1:8" x14ac:dyDescent="0.25">
      <c r="A11" s="21" t="s">
        <v>198</v>
      </c>
      <c r="B11" s="22" t="s">
        <v>199</v>
      </c>
      <c r="C11" s="21" t="s">
        <v>157</v>
      </c>
      <c r="D11" s="21"/>
      <c r="E11" s="23"/>
      <c r="F11" s="23" t="str">
        <f>IF(ISBLANK(D11),"",IF(NOT(ISNUMBER(D11)),"קלט לא תקין",IF(D11&lt;0,"קלט לא תקין",IF(ISBLANK(E11),"",IF(OR(E11="כלול",E11="לא רלוונטי"),0,IF(NOT(ISNUMBER(E11)),"קלט לא תקין",IF(E11&lt;0,"קלט לא תקין",ROUND(D11*E11,2))))))))</f>
        <v/>
      </c>
      <c r="G11" s="4" t="s">
        <v>200</v>
      </c>
      <c r="H11" s="4" t="s">
        <v>108</v>
      </c>
    </row>
    <row r="12" ht="46.8" customHeight="1" spans="1:8" x14ac:dyDescent="0.25">
      <c r="A12" s="21" t="s">
        <v>201</v>
      </c>
      <c r="B12" s="22" t="s">
        <v>202</v>
      </c>
      <c r="C12" s="21" t="s">
        <v>106</v>
      </c>
      <c r="D12" s="21"/>
      <c r="E12" s="23"/>
      <c r="F12" s="23" t="str">
        <f>IF(ISBLANK(D12),"",IF(NOT(ISNUMBER(D12)),"קלט לא תקין",IF(D12&lt;0,"קלט לא תקין",IF(ISBLANK(E12),"",IF(OR(E12="כלול",E12="לא רלוונטי"),0,IF(NOT(ISNUMBER(E12)),"קלט לא תקין",IF(E12&lt;0,"קלט לא תקין",ROUND(D12*E12,2))))))))</f>
        <v/>
      </c>
      <c r="G12" s="4" t="s">
        <v>203</v>
      </c>
      <c r="H12" s="4" t="s">
        <v>108</v>
      </c>
    </row>
    <row r="13" ht="64.19999999999999" customHeight="1" spans="1:8" x14ac:dyDescent="0.25">
      <c r="A13" s="21" t="s">
        <v>204</v>
      </c>
      <c r="B13" s="22" t="s">
        <v>205</v>
      </c>
      <c r="C13" s="21" t="s">
        <v>157</v>
      </c>
      <c r="D13" s="21"/>
      <c r="E13" s="23"/>
      <c r="F13" s="23" t="str">
        <f>IF(ISBLANK(D13),"",IF(NOT(ISNUMBER(D13)),"קלט לא תקין",IF(D13&lt;0,"קלט לא תקין",IF(ISBLANK(E13),"",IF(OR(E13="כלול",E13="לא רלוונטי"),0,IF(NOT(ISNUMBER(E13)),"קלט לא תקין",IF(E13&lt;0,"קלט לא תקין",ROUND(D13*E13,2))))))))</f>
        <v/>
      </c>
      <c r="G13" s="4" t="s">
        <v>206</v>
      </c>
      <c r="H13" s="4" t="s">
        <v>108</v>
      </c>
    </row>
    <row r="14" ht="22.200000000000045" customHeight="1" spans="1:8" x14ac:dyDescent="0.25">
      <c r="A14" s="21"/>
      <c r="B14" s="22"/>
      <c r="C14" s="21"/>
      <c r="D14" s="21"/>
      <c r="E14" s="21"/>
      <c r="F14" s="21"/>
      <c r="G14" s="4"/>
      <c r="H14" s="4" t="s">
        <v>4</v>
      </c>
    </row>
    <row r="15" ht="32" customHeight="1" spans="1:8" x14ac:dyDescent="0.25">
      <c r="A15" s="14"/>
      <c r="B15" s="15" t="s">
        <v>207</v>
      </c>
      <c r="C15" s="16"/>
      <c r="D15" s="16"/>
      <c r="E15" s="16"/>
      <c r="F15" s="24">
        <f>SUM(F4,F5,F6,F7,F8,F9,F10,F11,F12,F13)</f>
        <v>0</v>
      </c>
      <c r="G15" s="4"/>
      <c r="H15" s="4" t="s">
        <v>129</v>
      </c>
    </row>
  </sheetData>
  <mergeCells count="2">
    <mergeCell ref="B1:F1"/>
    <mergeCell ref="B15:E15"/>
  </mergeCells>
  <conditionalFormatting sqref="E4">
    <cfRule type="expression" dxfId="82" priority="1">
      <formula>AND(ISNUMBER(E4),ROUND(E4,2)=INT(ROUND(E4,2)))</formula>
    </cfRule>
    <cfRule type="expression" dxfId="83" priority="2">
      <formula>AND(ISNUMBER(E4),ROUND(E4,2)&lt;&gt;INT(ROUND(E4,2)))</formula>
    </cfRule>
  </conditionalFormatting>
  <conditionalFormatting sqref="F4">
    <cfRule type="expression" dxfId="84" priority="1">
      <formula>AND(ISNUMBER(F4),ROUND(F4,2)=INT(ROUND(F4,2)))</formula>
    </cfRule>
    <cfRule type="expression" dxfId="85" priority="2">
      <formula>AND(ISNUMBER(F4),ROUND(F4,2)&lt;&gt;INT(ROUND(F4,2)))</formula>
    </cfRule>
  </conditionalFormatting>
  <conditionalFormatting sqref="E5">
    <cfRule type="expression" dxfId="86" priority="1">
      <formula>AND(ISNUMBER(E5),ROUND(E5,2)=INT(ROUND(E5,2)))</formula>
    </cfRule>
    <cfRule type="expression" dxfId="87" priority="2">
      <formula>AND(ISNUMBER(E5),ROUND(E5,2)&lt;&gt;INT(ROUND(E5,2)))</formula>
    </cfRule>
  </conditionalFormatting>
  <conditionalFormatting sqref="F5">
    <cfRule type="expression" dxfId="88" priority="1">
      <formula>AND(ISNUMBER(F5),ROUND(F5,2)=INT(ROUND(F5,2)))</formula>
    </cfRule>
    <cfRule type="expression" dxfId="89" priority="2">
      <formula>AND(ISNUMBER(F5),ROUND(F5,2)&lt;&gt;INT(ROUND(F5,2)))</formula>
    </cfRule>
  </conditionalFormatting>
  <conditionalFormatting sqref="E6">
    <cfRule type="expression" dxfId="90" priority="1">
      <formula>AND(ISNUMBER(E6),ROUND(E6,2)=INT(ROUND(E6,2)))</formula>
    </cfRule>
    <cfRule type="expression" dxfId="91" priority="2">
      <formula>AND(ISNUMBER(E6),ROUND(E6,2)&lt;&gt;INT(ROUND(E6,2)))</formula>
    </cfRule>
  </conditionalFormatting>
  <conditionalFormatting sqref="F6">
    <cfRule type="expression" dxfId="92" priority="1">
      <formula>AND(ISNUMBER(F6),ROUND(F6,2)=INT(ROUND(F6,2)))</formula>
    </cfRule>
    <cfRule type="expression" dxfId="93" priority="2">
      <formula>AND(ISNUMBER(F6),ROUND(F6,2)&lt;&gt;INT(ROUND(F6,2)))</formula>
    </cfRule>
  </conditionalFormatting>
  <conditionalFormatting sqref="E7">
    <cfRule type="expression" dxfId="94" priority="1">
      <formula>AND(ISNUMBER(E7),ROUND(E7,2)=INT(ROUND(E7,2)))</formula>
    </cfRule>
    <cfRule type="expression" dxfId="95" priority="2">
      <formula>AND(ISNUMBER(E7),ROUND(E7,2)&lt;&gt;INT(ROUND(E7,2)))</formula>
    </cfRule>
  </conditionalFormatting>
  <conditionalFormatting sqref="F7">
    <cfRule type="expression" dxfId="96" priority="1">
      <formula>AND(ISNUMBER(F7),ROUND(F7,2)=INT(ROUND(F7,2)))</formula>
    </cfRule>
    <cfRule type="expression" dxfId="97" priority="2">
      <formula>AND(ISNUMBER(F7),ROUND(F7,2)&lt;&gt;INT(ROUND(F7,2)))</formula>
    </cfRule>
  </conditionalFormatting>
  <conditionalFormatting sqref="E8">
    <cfRule type="expression" dxfId="98" priority="1">
      <formula>AND(ISNUMBER(E8),ROUND(E8,2)=INT(ROUND(E8,2)))</formula>
    </cfRule>
    <cfRule type="expression" dxfId="99" priority="2">
      <formula>AND(ISNUMBER(E8),ROUND(E8,2)&lt;&gt;INT(ROUND(E8,2)))</formula>
    </cfRule>
  </conditionalFormatting>
  <conditionalFormatting sqref="F8">
    <cfRule type="expression" dxfId="100" priority="1">
      <formula>AND(ISNUMBER(F8),ROUND(F8,2)=INT(ROUND(F8,2)))</formula>
    </cfRule>
    <cfRule type="expression" dxfId="101" priority="2">
      <formula>AND(ISNUMBER(F8),ROUND(F8,2)&lt;&gt;INT(ROUND(F8,2)))</formula>
    </cfRule>
  </conditionalFormatting>
  <conditionalFormatting sqref="E9">
    <cfRule type="expression" dxfId="102" priority="1">
      <formula>AND(ISNUMBER(E9),ROUND(E9,2)=INT(ROUND(E9,2)))</formula>
    </cfRule>
    <cfRule type="expression" dxfId="103" priority="2">
      <formula>AND(ISNUMBER(E9),ROUND(E9,2)&lt;&gt;INT(ROUND(E9,2)))</formula>
    </cfRule>
  </conditionalFormatting>
  <conditionalFormatting sqref="F9">
    <cfRule type="expression" dxfId="104" priority="1">
      <formula>AND(ISNUMBER(F9),ROUND(F9,2)=INT(ROUND(F9,2)))</formula>
    </cfRule>
    <cfRule type="expression" dxfId="105" priority="2">
      <formula>AND(ISNUMBER(F9),ROUND(F9,2)&lt;&gt;INT(ROUND(F9,2)))</formula>
    </cfRule>
  </conditionalFormatting>
  <conditionalFormatting sqref="E10">
    <cfRule type="expression" dxfId="106" priority="1">
      <formula>AND(ISNUMBER(E10),ROUND(E10,2)=INT(ROUND(E10,2)))</formula>
    </cfRule>
    <cfRule type="expression" dxfId="107" priority="2">
      <formula>AND(ISNUMBER(E10),ROUND(E10,2)&lt;&gt;INT(ROUND(E10,2)))</formula>
    </cfRule>
  </conditionalFormatting>
  <conditionalFormatting sqref="F10">
    <cfRule type="expression" dxfId="108" priority="1">
      <formula>AND(ISNUMBER(F10),ROUND(F10,2)=INT(ROUND(F10,2)))</formula>
    </cfRule>
    <cfRule type="expression" dxfId="109" priority="2">
      <formula>AND(ISNUMBER(F10),ROUND(F10,2)&lt;&gt;INT(ROUND(F10,2)))</formula>
    </cfRule>
  </conditionalFormatting>
  <conditionalFormatting sqref="E11">
    <cfRule type="expression" dxfId="110" priority="1">
      <formula>AND(ISNUMBER(E11),ROUND(E11,2)=INT(ROUND(E11,2)))</formula>
    </cfRule>
    <cfRule type="expression" dxfId="111" priority="2">
      <formula>AND(ISNUMBER(E11),ROUND(E11,2)&lt;&gt;INT(ROUND(E11,2)))</formula>
    </cfRule>
  </conditionalFormatting>
  <conditionalFormatting sqref="F11">
    <cfRule type="expression" dxfId="112" priority="1">
      <formula>AND(ISNUMBER(F11),ROUND(F11,2)=INT(ROUND(F11,2)))</formula>
    </cfRule>
    <cfRule type="expression" dxfId="113" priority="2">
      <formula>AND(ISNUMBER(F11),ROUND(F11,2)&lt;&gt;INT(ROUND(F11,2)))</formula>
    </cfRule>
  </conditionalFormatting>
  <conditionalFormatting sqref="E12">
    <cfRule type="expression" dxfId="114" priority="1">
      <formula>AND(ISNUMBER(E12),ROUND(E12,2)=INT(ROUND(E12,2)))</formula>
    </cfRule>
    <cfRule type="expression" dxfId="115" priority="2">
      <formula>AND(ISNUMBER(E12),ROUND(E12,2)&lt;&gt;INT(ROUND(E12,2)))</formula>
    </cfRule>
  </conditionalFormatting>
  <conditionalFormatting sqref="F12">
    <cfRule type="expression" dxfId="116" priority="1">
      <formula>AND(ISNUMBER(F12),ROUND(F12,2)=INT(ROUND(F12,2)))</formula>
    </cfRule>
    <cfRule type="expression" dxfId="117" priority="2">
      <formula>AND(ISNUMBER(F12),ROUND(F12,2)&lt;&gt;INT(ROUND(F12,2)))</formula>
    </cfRule>
  </conditionalFormatting>
  <conditionalFormatting sqref="E13">
    <cfRule type="expression" dxfId="118" priority="1">
      <formula>AND(ISNUMBER(E13),ROUND(E13,2)=INT(ROUND(E13,2)))</formula>
    </cfRule>
    <cfRule type="expression" dxfId="119" priority="2">
      <formula>AND(ISNUMBER(E13),ROUND(E13,2)&lt;&gt;INT(ROUND(E13,2)))</formula>
    </cfRule>
  </conditionalFormatting>
  <conditionalFormatting sqref="F13">
    <cfRule type="expression" dxfId="120" priority="1">
      <formula>AND(ISNUMBER(F13),ROUND(F13,2)=INT(ROUND(F13,2)))</formula>
    </cfRule>
    <cfRule type="expression" dxfId="121" priority="2">
      <formula>AND(ISNUMBER(F13),ROUND(F13,2)&lt;&gt;INT(ROUND(F13,2)))</formula>
    </cfRule>
  </conditionalFormatting>
  <conditionalFormatting sqref="F15">
    <cfRule type="expression" dxfId="122" priority="1">
      <formula>AND(ISNUMBER(F15),ROUND(F15,2)=INT(ROUND(F15,2)))</formula>
    </cfRule>
    <cfRule type="expression" dxfId="123" priority="2">
      <formula>AND(ISNUMBER(F15),ROUND(F15,2)&lt;&gt;INT(ROUND(F15,2)))</formula>
    </cfRule>
  </conditionalFormatting>
  <dataValidations count="12">
    <dataValidation type="decimal" operator="greaterThanOrEqual" allowBlank="1" showErrorMessage="1" error="יש להזין מספר לא שלילי" sqref="D10:D13">
      <formula1>0</formula1>
    </dataValidation>
    <dataValidation type="decimal" operator="greaterThanOrEqual" allowBlank="1" showErrorMessage="1" error="יש להזין מספר לא שלילי" sqref="D4:D13">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2">
      <formula1>OR(ISBLANK(E12),AND(ISNUMBER(E12),E12&gt;=0),E12="כלול",E12="לא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7" useFirstPageNumber="1"/>
  <headerFooter>
    <oddFooter>&amp;Cעמוד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5</v>
      </c>
      <c r="B1" s="12" t="s">
        <v>13</v>
      </c>
      <c r="C1" s="3"/>
      <c r="D1" s="3"/>
      <c r="E1" s="3"/>
      <c r="F1" s="3"/>
      <c r="G1" s="1" t="s">
        <v>59</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208</v>
      </c>
      <c r="C3" s="21"/>
      <c r="D3" s="21"/>
      <c r="E3" s="21"/>
      <c r="F3" s="21"/>
      <c r="G3" s="4" t="s">
        <v>209</v>
      </c>
      <c r="H3" s="4" t="s">
        <v>103</v>
      </c>
    </row>
    <row r="4" ht="64.19999999999999" customHeight="1" spans="1:8" x14ac:dyDescent="0.25">
      <c r="A4" s="21" t="s">
        <v>210</v>
      </c>
      <c r="B4" s="22" t="s">
        <v>211</v>
      </c>
      <c r="C4" s="21" t="s">
        <v>114</v>
      </c>
      <c r="D4" s="21"/>
      <c r="E4" s="23"/>
      <c r="F4" s="23" t="str">
        <f>IF(ISBLANK(D4),"",IF(NOT(ISNUMBER(D4)),"קלט לא תקין",IF(D4&lt;0,"קלט לא תקין",IF(ISBLANK(E4),"",IF(OR(E4="כלול",E4="לא רלוונטי"),0,IF(NOT(ISNUMBER(E4)),"קלט לא תקין",IF(E4&lt;0,"קלט לא תקין",ROUND(D4*E4,2))))))))</f>
        <v/>
      </c>
      <c r="G4" s="4" t="s">
        <v>212</v>
      </c>
      <c r="H4" s="4" t="s">
        <v>108</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213</v>
      </c>
      <c r="C7" s="16"/>
      <c r="D7" s="16"/>
      <c r="E7" s="16"/>
      <c r="F7" s="24">
        <f>SUM(F4)</f>
        <v>0</v>
      </c>
      <c r="G7" s="4"/>
      <c r="H7" s="4" t="s">
        <v>129</v>
      </c>
    </row>
  </sheetData>
  <mergeCells count="2">
    <mergeCell ref="B1:F1"/>
    <mergeCell ref="B7:E7"/>
  </mergeCells>
  <conditionalFormatting sqref="E4">
    <cfRule type="expression" dxfId="124" priority="1">
      <formula>AND(ISNUMBER(E4),ROUND(E4,2)=INT(ROUND(E4,2)))</formula>
    </cfRule>
    <cfRule type="expression" dxfId="125" priority="2">
      <formula>AND(ISNUMBER(E4),ROUND(E4,2)&lt;&gt;INT(ROUND(E4,2)))</formula>
    </cfRule>
  </conditionalFormatting>
  <conditionalFormatting sqref="F4">
    <cfRule type="expression" dxfId="126" priority="1">
      <formula>AND(ISNUMBER(F4),ROUND(F4,2)=INT(ROUND(F4,2)))</formula>
    </cfRule>
    <cfRule type="expression" dxfId="127" priority="2">
      <formula>AND(ISNUMBER(F4),ROUND(F4,2)&lt;&gt;INT(ROUND(F4,2)))</formula>
    </cfRule>
  </conditionalFormatting>
  <conditionalFormatting sqref="F7">
    <cfRule type="expression" dxfId="128" priority="1">
      <formula>AND(ISNUMBER(F7),ROUND(F7,2)=INT(ROUND(F7,2)))</formula>
    </cfRule>
    <cfRule type="expression" dxfId="129"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8" useFirstPageNumber="1"/>
  <headerFooter>
    <oddFooter>&amp;Cעמוד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6</v>
      </c>
      <c r="B1" s="12" t="s">
        <v>14</v>
      </c>
      <c r="C1" s="3"/>
      <c r="D1" s="3"/>
      <c r="E1" s="3"/>
      <c r="F1" s="3"/>
      <c r="G1" s="1" t="s">
        <v>61</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214</v>
      </c>
      <c r="C3" s="21"/>
      <c r="D3" s="21"/>
      <c r="E3" s="21"/>
      <c r="F3" s="21"/>
      <c r="G3" s="4" t="s">
        <v>215</v>
      </c>
      <c r="H3" s="4" t="s">
        <v>103</v>
      </c>
    </row>
    <row r="4" ht="64.19999999999999" customHeight="1" spans="1:8" x14ac:dyDescent="0.25">
      <c r="A4" s="21" t="s">
        <v>216</v>
      </c>
      <c r="B4" s="22" t="s">
        <v>217</v>
      </c>
      <c r="C4" s="21" t="s">
        <v>114</v>
      </c>
      <c r="D4" s="21"/>
      <c r="E4" s="23"/>
      <c r="F4" s="23" t="str">
        <f>IF(ISBLANK(D4),"",IF(NOT(ISNUMBER(D4)),"קלט לא תקין",IF(D4&lt;0,"קלט לא תקין",IF(ISBLANK(E4),"",IF(OR(E4="כלול",E4="לא רלוונטי"),0,IF(NOT(ISNUMBER(E4)),"קלט לא תקין",IF(E4&lt;0,"קלט לא תקין",ROUND(D4*E4,2))))))))</f>
        <v/>
      </c>
      <c r="G4" s="4" t="s">
        <v>218</v>
      </c>
      <c r="H4" s="4" t="s">
        <v>108</v>
      </c>
    </row>
    <row r="5" ht="400" customHeight="1" spans="1:8" x14ac:dyDescent="0.25">
      <c r="A5" s="21"/>
      <c r="B5" s="22"/>
      <c r="C5" s="21"/>
      <c r="D5" s="21"/>
      <c r="E5" s="21"/>
      <c r="F5" s="21"/>
      <c r="G5" s="4"/>
      <c r="H5" s="4" t="s">
        <v>4</v>
      </c>
    </row>
    <row r="6" ht="78.20000000000005" customHeight="1" spans="1:8" x14ac:dyDescent="0.25">
      <c r="A6" s="21"/>
      <c r="B6" s="22"/>
      <c r="C6" s="21"/>
      <c r="D6" s="21"/>
      <c r="E6" s="21"/>
      <c r="F6" s="21"/>
      <c r="G6" s="4"/>
      <c r="H6" s="4" t="s">
        <v>4</v>
      </c>
    </row>
    <row r="7" ht="32" customHeight="1" spans="1:8" x14ac:dyDescent="0.25">
      <c r="A7" s="14"/>
      <c r="B7" s="15" t="s">
        <v>219</v>
      </c>
      <c r="C7" s="16"/>
      <c r="D7" s="16"/>
      <c r="E7" s="16"/>
      <c r="F7" s="24">
        <f>SUM(F4)</f>
        <v>0</v>
      </c>
      <c r="G7" s="4"/>
      <c r="H7" s="4" t="s">
        <v>129</v>
      </c>
    </row>
  </sheetData>
  <mergeCells count="2">
    <mergeCell ref="B1:F1"/>
    <mergeCell ref="B7:E7"/>
  </mergeCells>
  <conditionalFormatting sqref="E4">
    <cfRule type="expression" dxfId="130" priority="1">
      <formula>AND(ISNUMBER(E4),ROUND(E4,2)=INT(ROUND(E4,2)))</formula>
    </cfRule>
    <cfRule type="expression" dxfId="131" priority="2">
      <formula>AND(ISNUMBER(E4),ROUND(E4,2)&lt;&gt;INT(ROUND(E4,2)))</formula>
    </cfRule>
  </conditionalFormatting>
  <conditionalFormatting sqref="F4">
    <cfRule type="expression" dxfId="132" priority="1">
      <formula>AND(ISNUMBER(F4),ROUND(F4,2)=INT(ROUND(F4,2)))</formula>
    </cfRule>
    <cfRule type="expression" dxfId="133" priority="2">
      <formula>AND(ISNUMBER(F4),ROUND(F4,2)&lt;&gt;INT(ROUND(F4,2)))</formula>
    </cfRule>
  </conditionalFormatting>
  <conditionalFormatting sqref="F7">
    <cfRule type="expression" dxfId="134" priority="1">
      <formula>AND(ISNUMBER(F7),ROUND(F7,2)=INT(ROUND(F7,2)))</formula>
    </cfRule>
    <cfRule type="expression" dxfId="135"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9" useFirstPageNumber="1"/>
  <headerFooter>
    <oddFooter>&amp;Cעמוד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7</v>
      </c>
      <c r="B1" s="12" t="s">
        <v>15</v>
      </c>
      <c r="C1" s="3"/>
      <c r="D1" s="3"/>
      <c r="E1" s="3"/>
      <c r="F1" s="3"/>
      <c r="G1" s="1" t="s">
        <v>63</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220</v>
      </c>
      <c r="C3" s="21"/>
      <c r="D3" s="21"/>
      <c r="E3" s="21"/>
      <c r="F3" s="21"/>
      <c r="G3" s="4" t="s">
        <v>221</v>
      </c>
      <c r="H3" s="4" t="s">
        <v>103</v>
      </c>
    </row>
    <row r="4" ht="64.19999999999999" customHeight="1" spans="1:8" x14ac:dyDescent="0.25">
      <c r="A4" s="21" t="s">
        <v>222</v>
      </c>
      <c r="B4" s="22" t="s">
        <v>223</v>
      </c>
      <c r="C4" s="21" t="s">
        <v>141</v>
      </c>
      <c r="D4" s="21"/>
      <c r="E4" s="23"/>
      <c r="F4" s="23" t="str">
        <f>IF(ISBLANK(D4),"",IF(NOT(ISNUMBER(D4)),"קלט לא תקין",IF(D4&lt;0,"קלט לא תקין",IF(ISBLANK(E4),"",IF(OR(E4="כלול",E4="לא רלוונטי"),0,IF(NOT(ISNUMBER(E4)),"קלט לא תקין",IF(E4&lt;0,"קלט לא תקין",ROUND(D4*E4,2))))))))</f>
        <v/>
      </c>
      <c r="G4" s="4" t="s">
        <v>224</v>
      </c>
      <c r="H4" s="4" t="s">
        <v>108</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225</v>
      </c>
      <c r="C7" s="16"/>
      <c r="D7" s="16"/>
      <c r="E7" s="16"/>
      <c r="F7" s="24">
        <f>SUM(F4)</f>
        <v>0</v>
      </c>
      <c r="G7" s="4"/>
      <c r="H7" s="4" t="s">
        <v>129</v>
      </c>
    </row>
  </sheetData>
  <mergeCells count="2">
    <mergeCell ref="B1:F1"/>
    <mergeCell ref="B7:E7"/>
  </mergeCells>
  <conditionalFormatting sqref="E4">
    <cfRule type="expression" dxfId="136" priority="1">
      <formula>AND(ISNUMBER(E4),ROUND(E4,2)=INT(ROUND(E4,2)))</formula>
    </cfRule>
    <cfRule type="expression" dxfId="137" priority="2">
      <formula>AND(ISNUMBER(E4),ROUND(E4,2)&lt;&gt;INT(ROUND(E4,2)))</formula>
    </cfRule>
  </conditionalFormatting>
  <conditionalFormatting sqref="F4">
    <cfRule type="expression" dxfId="138" priority="1">
      <formula>AND(ISNUMBER(F4),ROUND(F4,2)=INT(ROUND(F4,2)))</formula>
    </cfRule>
    <cfRule type="expression" dxfId="139" priority="2">
      <formula>AND(ISNUMBER(F4),ROUND(F4,2)&lt;&gt;INT(ROUND(F4,2)))</formula>
    </cfRule>
  </conditionalFormatting>
  <conditionalFormatting sqref="F7">
    <cfRule type="expression" dxfId="140" priority="1">
      <formula>AND(ISNUMBER(F7),ROUND(F7,2)=INT(ROUND(F7,2)))</formula>
    </cfRule>
    <cfRule type="expression" dxfId="141"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0" useFirstPageNumber="1"/>
  <headerFooter>
    <oddFooter>&amp;Cעמוד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8</v>
      </c>
      <c r="B1" s="12" t="s">
        <v>16</v>
      </c>
      <c r="C1" s="3"/>
      <c r="D1" s="3"/>
      <c r="E1" s="3"/>
      <c r="F1" s="3"/>
      <c r="G1" s="1" t="s">
        <v>65</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226</v>
      </c>
      <c r="C3" s="21"/>
      <c r="D3" s="21"/>
      <c r="E3" s="21"/>
      <c r="F3" s="21"/>
      <c r="G3" s="4" t="s">
        <v>227</v>
      </c>
      <c r="H3" s="4" t="s">
        <v>103</v>
      </c>
    </row>
    <row r="4" ht="99" customHeight="1" spans="1:8" x14ac:dyDescent="0.25">
      <c r="A4" s="21" t="s">
        <v>228</v>
      </c>
      <c r="B4" s="22" t="s">
        <v>229</v>
      </c>
      <c r="C4" s="21" t="s">
        <v>114</v>
      </c>
      <c r="D4" s="21"/>
      <c r="E4" s="23"/>
      <c r="F4" s="23" t="str">
        <f>IF(ISBLANK(D4),"",IF(NOT(ISNUMBER(D4)),"קלט לא תקין",IF(D4&lt;0,"קלט לא תקין",IF(ISBLANK(E4),"",IF(OR(E4="כלול",E4="לא רלוונטי"),0,IF(NOT(ISNUMBER(E4)),"קלט לא תקין",IF(E4&lt;0,"קלט לא תקין",ROUND(D4*E4,2))))))))</f>
        <v/>
      </c>
      <c r="G4" s="4" t="s">
        <v>230</v>
      </c>
      <c r="H4" s="4" t="s">
        <v>108</v>
      </c>
    </row>
    <row r="5" ht="64.19999999999999" customHeight="1" spans="1:8" x14ac:dyDescent="0.25">
      <c r="A5" s="21" t="s">
        <v>231</v>
      </c>
      <c r="B5" s="22" t="s">
        <v>232</v>
      </c>
      <c r="C5" s="21" t="s">
        <v>114</v>
      </c>
      <c r="D5" s="21"/>
      <c r="E5" s="23"/>
      <c r="F5" s="23" t="str">
        <f>IF(ISBLANK(D5),"",IF(NOT(ISNUMBER(D5)),"קלט לא תקין",IF(D5&lt;0,"קלט לא תקין",IF(ISBLANK(E5),"",IF(OR(E5="כלול",E5="לא רלוונטי"),0,IF(NOT(ISNUMBER(E5)),"קלט לא תקין",IF(E5&lt;0,"קלט לא תקין",ROUND(D5*E5,2))))))))</f>
        <v/>
      </c>
      <c r="G5" s="4" t="s">
        <v>233</v>
      </c>
      <c r="H5" s="4" t="s">
        <v>108</v>
      </c>
    </row>
    <row r="6" ht="64.19999999999999" customHeight="1" spans="1:8" x14ac:dyDescent="0.25">
      <c r="A6" s="21" t="s">
        <v>234</v>
      </c>
      <c r="B6" s="22" t="s">
        <v>235</v>
      </c>
      <c r="C6" s="21" t="s">
        <v>114</v>
      </c>
      <c r="D6" s="21"/>
      <c r="E6" s="23"/>
      <c r="F6" s="23" t="str">
        <f>IF(ISBLANK(D6),"",IF(NOT(ISNUMBER(D6)),"קלט לא תקין",IF(D6&lt;0,"קלט לא תקין",IF(ISBLANK(E6),"",IF(OR(E6="כלול",E6="לא רלוונטי"),0,IF(NOT(ISNUMBER(E6)),"קלט לא תקין",IF(E6&lt;0,"קלט לא תקין",ROUND(D6*E6,2))))))))</f>
        <v/>
      </c>
      <c r="G6" s="4" t="s">
        <v>236</v>
      </c>
      <c r="H6" s="4" t="s">
        <v>108</v>
      </c>
    </row>
    <row r="7" ht="46.8" customHeight="1" spans="1:8" x14ac:dyDescent="0.25">
      <c r="A7" s="21" t="s">
        <v>237</v>
      </c>
      <c r="B7" s="22" t="s">
        <v>238</v>
      </c>
      <c r="C7" s="21" t="s">
        <v>134</v>
      </c>
      <c r="D7" s="21"/>
      <c r="E7" s="23"/>
      <c r="F7" s="23" t="str">
        <f>IF(ISBLANK(D7),"",IF(NOT(ISNUMBER(D7)),"קלט לא תקין",IF(D7&lt;0,"קלט לא תקין",IF(ISBLANK(E7),"",IF(OR(E7="כלול",E7="לא רלוונטי"),0,IF(NOT(ISNUMBER(E7)),"קלט לא תקין",IF(E7&lt;0,"קלט לא תקין",ROUND(D7*E7,2))))))))</f>
        <v/>
      </c>
      <c r="G7" s="4" t="s">
        <v>239</v>
      </c>
      <c r="H7" s="4" t="s">
        <v>108</v>
      </c>
    </row>
    <row r="8" ht="64.19999999999999" customHeight="1" spans="1:8" x14ac:dyDescent="0.25">
      <c r="A8" s="21" t="s">
        <v>240</v>
      </c>
      <c r="B8" s="22" t="s">
        <v>241</v>
      </c>
      <c r="C8" s="21" t="s">
        <v>114</v>
      </c>
      <c r="D8" s="21"/>
      <c r="E8" s="23"/>
      <c r="F8" s="23" t="str">
        <f>IF(ISBLANK(D8),"",IF(NOT(ISNUMBER(D8)),"קלט לא תקין",IF(D8&lt;0,"קלט לא תקין",IF(ISBLANK(E8),"",IF(OR(E8="כלול",E8="לא רלוונטי"),0,IF(NOT(ISNUMBER(E8)),"קלט לא תקין",IF(E8&lt;0,"קלט לא תקין",ROUND(D8*E8,2))))))))</f>
        <v/>
      </c>
      <c r="G8" s="4" t="s">
        <v>242</v>
      </c>
      <c r="H8" s="4" t="s">
        <v>108</v>
      </c>
    </row>
    <row r="9" ht="64.19999999999999" customHeight="1" spans="1:8" x14ac:dyDescent="0.25">
      <c r="A9" s="21" t="s">
        <v>243</v>
      </c>
      <c r="B9" s="22" t="s">
        <v>244</v>
      </c>
      <c r="C9" s="21" t="s">
        <v>114</v>
      </c>
      <c r="D9" s="21"/>
      <c r="E9" s="23"/>
      <c r="F9" s="23" t="str">
        <f>IF(ISBLANK(D9),"",IF(NOT(ISNUMBER(D9)),"קלט לא תקין",IF(D9&lt;0,"קלט לא תקין",IF(ISBLANK(E9),"",IF(OR(E9="כלול",E9="לא רלוונטי"),0,IF(NOT(ISNUMBER(E9)),"קלט לא תקין",IF(E9&lt;0,"קלט לא תקין",ROUND(D9*E9,2))))))))</f>
        <v/>
      </c>
      <c r="G9" s="4" t="s">
        <v>245</v>
      </c>
      <c r="H9" s="4" t="s">
        <v>108</v>
      </c>
    </row>
    <row r="10" ht="139.8" customHeight="1" spans="1:8" x14ac:dyDescent="0.25">
      <c r="A10" s="21"/>
      <c r="B10" s="22"/>
      <c r="C10" s="21"/>
      <c r="D10" s="21"/>
      <c r="E10" s="21"/>
      <c r="F10" s="21"/>
      <c r="G10" s="4"/>
      <c r="H10" s="4" t="s">
        <v>4</v>
      </c>
    </row>
    <row r="11" ht="32" customHeight="1" spans="1:8" x14ac:dyDescent="0.25">
      <c r="A11" s="14"/>
      <c r="B11" s="15" t="s">
        <v>246</v>
      </c>
      <c r="C11" s="16"/>
      <c r="D11" s="16"/>
      <c r="E11" s="16"/>
      <c r="F11" s="24">
        <f>SUM(F4,F5,F6,F7,F8,F9)</f>
        <v>0</v>
      </c>
      <c r="G11" s="4"/>
      <c r="H11" s="4" t="s">
        <v>129</v>
      </c>
    </row>
  </sheetData>
  <mergeCells count="2">
    <mergeCell ref="B1:F1"/>
    <mergeCell ref="B11:E11"/>
  </mergeCells>
  <conditionalFormatting sqref="E4">
    <cfRule type="expression" dxfId="142" priority="1">
      <formula>AND(ISNUMBER(E4),ROUND(E4,2)=INT(ROUND(E4,2)))</formula>
    </cfRule>
    <cfRule type="expression" dxfId="143" priority="2">
      <formula>AND(ISNUMBER(E4),ROUND(E4,2)&lt;&gt;INT(ROUND(E4,2)))</formula>
    </cfRule>
  </conditionalFormatting>
  <conditionalFormatting sqref="F4">
    <cfRule type="expression" dxfId="144" priority="1">
      <formula>AND(ISNUMBER(F4),ROUND(F4,2)=INT(ROUND(F4,2)))</formula>
    </cfRule>
    <cfRule type="expression" dxfId="145" priority="2">
      <formula>AND(ISNUMBER(F4),ROUND(F4,2)&lt;&gt;INT(ROUND(F4,2)))</formula>
    </cfRule>
  </conditionalFormatting>
  <conditionalFormatting sqref="E5">
    <cfRule type="expression" dxfId="146" priority="1">
      <formula>AND(ISNUMBER(E5),ROUND(E5,2)=INT(ROUND(E5,2)))</formula>
    </cfRule>
    <cfRule type="expression" dxfId="147" priority="2">
      <formula>AND(ISNUMBER(E5),ROUND(E5,2)&lt;&gt;INT(ROUND(E5,2)))</formula>
    </cfRule>
  </conditionalFormatting>
  <conditionalFormatting sqref="F5">
    <cfRule type="expression" dxfId="148" priority="1">
      <formula>AND(ISNUMBER(F5),ROUND(F5,2)=INT(ROUND(F5,2)))</formula>
    </cfRule>
    <cfRule type="expression" dxfId="149" priority="2">
      <formula>AND(ISNUMBER(F5),ROUND(F5,2)&lt;&gt;INT(ROUND(F5,2)))</formula>
    </cfRule>
  </conditionalFormatting>
  <conditionalFormatting sqref="E6">
    <cfRule type="expression" dxfId="150" priority="1">
      <formula>AND(ISNUMBER(E6),ROUND(E6,2)=INT(ROUND(E6,2)))</formula>
    </cfRule>
    <cfRule type="expression" dxfId="151" priority="2">
      <formula>AND(ISNUMBER(E6),ROUND(E6,2)&lt;&gt;INT(ROUND(E6,2)))</formula>
    </cfRule>
  </conditionalFormatting>
  <conditionalFormatting sqref="F6">
    <cfRule type="expression" dxfId="152" priority="1">
      <formula>AND(ISNUMBER(F6),ROUND(F6,2)=INT(ROUND(F6,2)))</formula>
    </cfRule>
    <cfRule type="expression" dxfId="153" priority="2">
      <formula>AND(ISNUMBER(F6),ROUND(F6,2)&lt;&gt;INT(ROUND(F6,2)))</formula>
    </cfRule>
  </conditionalFormatting>
  <conditionalFormatting sqref="E7">
    <cfRule type="expression" dxfId="154" priority="1">
      <formula>AND(ISNUMBER(E7),ROUND(E7,2)=INT(ROUND(E7,2)))</formula>
    </cfRule>
    <cfRule type="expression" dxfId="155" priority="2">
      <formula>AND(ISNUMBER(E7),ROUND(E7,2)&lt;&gt;INT(ROUND(E7,2)))</formula>
    </cfRule>
  </conditionalFormatting>
  <conditionalFormatting sqref="F7">
    <cfRule type="expression" dxfId="156" priority="1">
      <formula>AND(ISNUMBER(F7),ROUND(F7,2)=INT(ROUND(F7,2)))</formula>
    </cfRule>
    <cfRule type="expression" dxfId="157" priority="2">
      <formula>AND(ISNUMBER(F7),ROUND(F7,2)&lt;&gt;INT(ROUND(F7,2)))</formula>
    </cfRule>
  </conditionalFormatting>
  <conditionalFormatting sqref="E8">
    <cfRule type="expression" dxfId="158" priority="1">
      <formula>AND(ISNUMBER(E8),ROUND(E8,2)=INT(ROUND(E8,2)))</formula>
    </cfRule>
    <cfRule type="expression" dxfId="159" priority="2">
      <formula>AND(ISNUMBER(E8),ROUND(E8,2)&lt;&gt;INT(ROUND(E8,2)))</formula>
    </cfRule>
  </conditionalFormatting>
  <conditionalFormatting sqref="F8">
    <cfRule type="expression" dxfId="160" priority="1">
      <formula>AND(ISNUMBER(F8),ROUND(F8,2)=INT(ROUND(F8,2)))</formula>
    </cfRule>
    <cfRule type="expression" dxfId="161" priority="2">
      <formula>AND(ISNUMBER(F8),ROUND(F8,2)&lt;&gt;INT(ROUND(F8,2)))</formula>
    </cfRule>
  </conditionalFormatting>
  <conditionalFormatting sqref="E9">
    <cfRule type="expression" dxfId="162" priority="1">
      <formula>AND(ISNUMBER(E9),ROUND(E9,2)=INT(ROUND(E9,2)))</formula>
    </cfRule>
    <cfRule type="expression" dxfId="163" priority="2">
      <formula>AND(ISNUMBER(E9),ROUND(E9,2)&lt;&gt;INT(ROUND(E9,2)))</formula>
    </cfRule>
  </conditionalFormatting>
  <conditionalFormatting sqref="F9">
    <cfRule type="expression" dxfId="164" priority="1">
      <formula>AND(ISNUMBER(F9),ROUND(F9,2)=INT(ROUND(F9,2)))</formula>
    </cfRule>
    <cfRule type="expression" dxfId="165" priority="2">
      <formula>AND(ISNUMBER(F9),ROUND(F9,2)&lt;&gt;INT(ROUND(F9,2)))</formula>
    </cfRule>
  </conditionalFormatting>
  <conditionalFormatting sqref="F11">
    <cfRule type="expression" dxfId="166" priority="1">
      <formula>AND(ISNUMBER(F11),ROUND(F11,2)=INT(ROUND(F11,2)))</formula>
    </cfRule>
    <cfRule type="expression" dxfId="167" priority="2">
      <formula>AND(ISNUMBER(F11),ROUND(F11,2)&lt;&gt;INT(ROUND(F11,2)))</formula>
    </cfRule>
  </conditionalFormatting>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1" useFirstPageNumber="1"/>
  <headerFooter>
    <oddFooter>&amp;Cעמוד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9</v>
      </c>
      <c r="B1" s="12" t="s">
        <v>17</v>
      </c>
      <c r="C1" s="3"/>
      <c r="D1" s="3"/>
      <c r="E1" s="3"/>
      <c r="F1" s="3"/>
      <c r="G1" s="1" t="s">
        <v>67</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247</v>
      </c>
      <c r="C3" s="21"/>
      <c r="D3" s="21"/>
      <c r="E3" s="21"/>
      <c r="F3" s="21"/>
      <c r="G3" s="4" t="s">
        <v>248</v>
      </c>
      <c r="H3" s="4" t="s">
        <v>103</v>
      </c>
    </row>
    <row r="4" ht="46.8" customHeight="1" spans="1:8" x14ac:dyDescent="0.25">
      <c r="A4" s="21" t="s">
        <v>249</v>
      </c>
      <c r="B4" s="22" t="s">
        <v>250</v>
      </c>
      <c r="C4" s="21" t="s">
        <v>134</v>
      </c>
      <c r="D4" s="21"/>
      <c r="E4" s="23"/>
      <c r="F4" s="23" t="str">
        <f>IF(ISBLANK(D4),"",IF(NOT(ISNUMBER(D4)),"קלט לא תקין",IF(D4&lt;0,"קלט לא תקין",IF(ISBLANK(E4),"",IF(OR(E4="כלול",E4="לא רלוונטי"),0,IF(NOT(ISNUMBER(E4)),"קלט לא תקין",IF(E4&lt;0,"קלט לא תקין",ROUND(D4*E4,2))))))))</f>
        <v/>
      </c>
      <c r="G4" s="4" t="s">
        <v>251</v>
      </c>
      <c r="H4" s="4" t="s">
        <v>108</v>
      </c>
    </row>
    <row r="5" ht="64.19999999999999" customHeight="1" spans="1:8" x14ac:dyDescent="0.25">
      <c r="A5" s="21" t="s">
        <v>252</v>
      </c>
      <c r="B5" s="22" t="s">
        <v>253</v>
      </c>
      <c r="C5" s="21" t="s">
        <v>114</v>
      </c>
      <c r="D5" s="21"/>
      <c r="E5" s="23"/>
      <c r="F5" s="23" t="str">
        <f>IF(ISBLANK(D5),"",IF(NOT(ISNUMBER(D5)),"קלט לא תקין",IF(D5&lt;0,"קלט לא תקין",IF(ISBLANK(E5),"",IF(OR(E5="כלול",E5="לא רלוונטי"),0,IF(NOT(ISNUMBER(E5)),"קלט לא תקין",IF(E5&lt;0,"קלט לא תקין",ROUND(D5*E5,2))))))))</f>
        <v/>
      </c>
      <c r="G5" s="4" t="s">
        <v>254</v>
      </c>
      <c r="H5" s="4" t="s">
        <v>108</v>
      </c>
    </row>
    <row r="6" ht="400" customHeight="1" spans="1:8" x14ac:dyDescent="0.25">
      <c r="A6" s="21"/>
      <c r="B6" s="22"/>
      <c r="C6" s="21"/>
      <c r="D6" s="21"/>
      <c r="E6" s="21"/>
      <c r="F6" s="21"/>
      <c r="G6" s="4"/>
      <c r="H6" s="4" t="s">
        <v>4</v>
      </c>
    </row>
    <row r="7" ht="48.80000000000001" customHeight="1" spans="1:8" x14ac:dyDescent="0.25">
      <c r="A7" s="21"/>
      <c r="B7" s="22"/>
      <c r="C7" s="21"/>
      <c r="D7" s="21"/>
      <c r="E7" s="21"/>
      <c r="F7" s="21"/>
      <c r="G7" s="4"/>
      <c r="H7" s="4" t="s">
        <v>4</v>
      </c>
    </row>
    <row r="8" ht="32" customHeight="1" spans="1:8" x14ac:dyDescent="0.25">
      <c r="A8" s="14"/>
      <c r="B8" s="15" t="s">
        <v>255</v>
      </c>
      <c r="C8" s="16"/>
      <c r="D8" s="16"/>
      <c r="E8" s="16"/>
      <c r="F8" s="24">
        <f>SUM(F4,F5)</f>
        <v>0</v>
      </c>
      <c r="G8" s="4"/>
      <c r="H8" s="4" t="s">
        <v>129</v>
      </c>
    </row>
  </sheetData>
  <mergeCells count="2">
    <mergeCell ref="B1:F1"/>
    <mergeCell ref="B8:E8"/>
  </mergeCells>
  <conditionalFormatting sqref="E4">
    <cfRule type="expression" dxfId="168" priority="1">
      <formula>AND(ISNUMBER(E4),ROUND(E4,2)=INT(ROUND(E4,2)))</formula>
    </cfRule>
    <cfRule type="expression" dxfId="169" priority="2">
      <formula>AND(ISNUMBER(E4),ROUND(E4,2)&lt;&gt;INT(ROUND(E4,2)))</formula>
    </cfRule>
  </conditionalFormatting>
  <conditionalFormatting sqref="F4">
    <cfRule type="expression" dxfId="170" priority="1">
      <formula>AND(ISNUMBER(F4),ROUND(F4,2)=INT(ROUND(F4,2)))</formula>
    </cfRule>
    <cfRule type="expression" dxfId="171" priority="2">
      <formula>AND(ISNUMBER(F4),ROUND(F4,2)&lt;&gt;INT(ROUND(F4,2)))</formula>
    </cfRule>
  </conditionalFormatting>
  <conditionalFormatting sqref="E5">
    <cfRule type="expression" dxfId="172" priority="1">
      <formula>AND(ISNUMBER(E5),ROUND(E5,2)=INT(ROUND(E5,2)))</formula>
    </cfRule>
    <cfRule type="expression" dxfId="173" priority="2">
      <formula>AND(ISNUMBER(E5),ROUND(E5,2)&lt;&gt;INT(ROUND(E5,2)))</formula>
    </cfRule>
  </conditionalFormatting>
  <conditionalFormatting sqref="F5">
    <cfRule type="expression" dxfId="174" priority="1">
      <formula>AND(ISNUMBER(F5),ROUND(F5,2)=INT(ROUND(F5,2)))</formula>
    </cfRule>
    <cfRule type="expression" dxfId="175" priority="2">
      <formula>AND(ISNUMBER(F5),ROUND(F5,2)&lt;&gt;INT(ROUND(F5,2)))</formula>
    </cfRule>
  </conditionalFormatting>
  <conditionalFormatting sqref="F8">
    <cfRule type="expression" dxfId="176" priority="1">
      <formula>AND(ISNUMBER(F8),ROUND(F8,2)=INT(ROUND(F8,2)))</formula>
    </cfRule>
    <cfRule type="expression" dxfId="177"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12" useFirstPageNumber="1"/>
  <headerFooter>
    <oddFooter>&amp;Cעמוד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10</v>
      </c>
      <c r="B1" s="12" t="s">
        <v>18</v>
      </c>
      <c r="C1" s="3"/>
      <c r="D1" s="3"/>
      <c r="E1" s="3"/>
      <c r="F1" s="3"/>
      <c r="G1" s="1" t="s">
        <v>69</v>
      </c>
      <c r="H1" s="1" t="s">
        <v>93</v>
      </c>
    </row>
    <row r="2" ht="32" customHeight="1" spans="1:8" x14ac:dyDescent="0.25">
      <c r="A2" s="19" t="s">
        <v>94</v>
      </c>
      <c r="B2" s="20" t="s">
        <v>95</v>
      </c>
      <c r="C2" s="19" t="s">
        <v>96</v>
      </c>
      <c r="D2" s="19" t="s">
        <v>97</v>
      </c>
      <c r="E2" s="19" t="s">
        <v>98</v>
      </c>
      <c r="F2" s="19" t="s">
        <v>99</v>
      </c>
      <c r="G2" s="1"/>
      <c r="H2" s="1" t="s">
        <v>100</v>
      </c>
    </row>
    <row r="3" ht="116.39999999999999" customHeight="1" spans="1:8" x14ac:dyDescent="0.25">
      <c r="A3" s="21"/>
      <c r="B3" s="22" t="s">
        <v>256</v>
      </c>
      <c r="C3" s="21"/>
      <c r="D3" s="21"/>
      <c r="E3" s="21"/>
      <c r="F3" s="21"/>
      <c r="G3" s="4" t="s">
        <v>257</v>
      </c>
      <c r="H3" s="4" t="s">
        <v>103</v>
      </c>
    </row>
    <row r="4" ht="64.19999999999999" customHeight="1" spans="1:8" x14ac:dyDescent="0.25">
      <c r="A4" s="21" t="s">
        <v>258</v>
      </c>
      <c r="B4" s="22" t="s">
        <v>259</v>
      </c>
      <c r="C4" s="21" t="s">
        <v>114</v>
      </c>
      <c r="D4" s="21"/>
      <c r="E4" s="23"/>
      <c r="F4" s="23" t="str">
        <f>IF(ISBLANK(D4),"",IF(NOT(ISNUMBER(D4)),"קלט לא תקין",IF(D4&lt;0,"קלט לא תקין",IF(ISBLANK(E4),"",IF(OR(E4="כלול",E4="לא רלוונטי"),0,IF(NOT(ISNUMBER(E4)),"קלט לא תקין",IF(E4&lt;0,"קלט לא תקין",ROUND(D4*E4,2))))))))</f>
        <v/>
      </c>
      <c r="G4" s="4" t="s">
        <v>260</v>
      </c>
      <c r="H4" s="4" t="s">
        <v>108</v>
      </c>
    </row>
    <row r="5" ht="81.6" customHeight="1" spans="1:8" x14ac:dyDescent="0.25">
      <c r="A5" s="21" t="s">
        <v>261</v>
      </c>
      <c r="B5" s="22" t="s">
        <v>262</v>
      </c>
      <c r="C5" s="21" t="s">
        <v>114</v>
      </c>
      <c r="D5" s="21"/>
      <c r="E5" s="23"/>
      <c r="F5" s="23" t="str">
        <f>IF(ISBLANK(D5),"",IF(NOT(ISNUMBER(D5)),"קלט לא תקין",IF(D5&lt;0,"קלט לא תקין",IF(ISBLANK(E5),"",IF(OR(E5="כלול",E5="לא רלוונטי"),0,IF(NOT(ISNUMBER(E5)),"קלט לא תקין",IF(E5&lt;0,"קלט לא תקין",ROUND(D5*E5,2))))))))</f>
        <v/>
      </c>
      <c r="G5" s="4" t="s">
        <v>263</v>
      </c>
      <c r="H5" s="4" t="s">
        <v>108</v>
      </c>
    </row>
    <row r="6" ht="81.6" customHeight="1" spans="1:8" x14ac:dyDescent="0.25">
      <c r="A6" s="21" t="s">
        <v>264</v>
      </c>
      <c r="B6" s="22" t="s">
        <v>265</v>
      </c>
      <c r="C6" s="21" t="s">
        <v>114</v>
      </c>
      <c r="D6" s="21"/>
      <c r="E6" s="23"/>
      <c r="F6" s="23" t="str">
        <f>IF(ISBLANK(D6),"",IF(NOT(ISNUMBER(D6)),"קלט לא תקין",IF(D6&lt;0,"קלט לא תקין",IF(ISBLANK(E6),"",IF(OR(E6="כלול",E6="לא רלוונטי"),0,IF(NOT(ISNUMBER(E6)),"קלט לא תקין",IF(E6&lt;0,"קלט לא תקין",ROUND(D6*E6,2))))))))</f>
        <v/>
      </c>
      <c r="G6" s="4" t="s">
        <v>266</v>
      </c>
      <c r="H6" s="4" t="s">
        <v>108</v>
      </c>
    </row>
    <row r="7" ht="280.20000000000005" customHeight="1" spans="1:8" x14ac:dyDescent="0.25">
      <c r="A7" s="21"/>
      <c r="B7" s="22"/>
      <c r="C7" s="21"/>
      <c r="D7" s="21"/>
      <c r="E7" s="21"/>
      <c r="F7" s="21"/>
      <c r="G7" s="4"/>
      <c r="H7" s="4" t="s">
        <v>4</v>
      </c>
    </row>
    <row r="8" ht="32" customHeight="1" spans="1:8" x14ac:dyDescent="0.25">
      <c r="A8" s="14"/>
      <c r="B8" s="15" t="s">
        <v>267</v>
      </c>
      <c r="C8" s="16"/>
      <c r="D8" s="16"/>
      <c r="E8" s="16"/>
      <c r="F8" s="24">
        <f>SUM(F4,F5,F6)</f>
        <v>0</v>
      </c>
      <c r="G8" s="4"/>
      <c r="H8" s="4" t="s">
        <v>129</v>
      </c>
    </row>
  </sheetData>
  <mergeCells count="2">
    <mergeCell ref="B1:F1"/>
    <mergeCell ref="B8:E8"/>
  </mergeCells>
  <conditionalFormatting sqref="E4">
    <cfRule type="expression" dxfId="178" priority="1">
      <formula>AND(ISNUMBER(E4),ROUND(E4,2)=INT(ROUND(E4,2)))</formula>
    </cfRule>
    <cfRule type="expression" dxfId="179" priority="2">
      <formula>AND(ISNUMBER(E4),ROUND(E4,2)&lt;&gt;INT(ROUND(E4,2)))</formula>
    </cfRule>
  </conditionalFormatting>
  <conditionalFormatting sqref="F4">
    <cfRule type="expression" dxfId="180" priority="1">
      <formula>AND(ISNUMBER(F4),ROUND(F4,2)=INT(ROUND(F4,2)))</formula>
    </cfRule>
    <cfRule type="expression" dxfId="181" priority="2">
      <formula>AND(ISNUMBER(F4),ROUND(F4,2)&lt;&gt;INT(ROUND(F4,2)))</formula>
    </cfRule>
  </conditionalFormatting>
  <conditionalFormatting sqref="E5">
    <cfRule type="expression" dxfId="182" priority="1">
      <formula>AND(ISNUMBER(E5),ROUND(E5,2)=INT(ROUND(E5,2)))</formula>
    </cfRule>
    <cfRule type="expression" dxfId="183" priority="2">
      <formula>AND(ISNUMBER(E5),ROUND(E5,2)&lt;&gt;INT(ROUND(E5,2)))</formula>
    </cfRule>
  </conditionalFormatting>
  <conditionalFormatting sqref="F5">
    <cfRule type="expression" dxfId="184" priority="1">
      <formula>AND(ISNUMBER(F5),ROUND(F5,2)=INT(ROUND(F5,2)))</formula>
    </cfRule>
    <cfRule type="expression" dxfId="185" priority="2">
      <formula>AND(ISNUMBER(F5),ROUND(F5,2)&lt;&gt;INT(ROUND(F5,2)))</formula>
    </cfRule>
  </conditionalFormatting>
  <conditionalFormatting sqref="E6">
    <cfRule type="expression" dxfId="186" priority="1">
      <formula>AND(ISNUMBER(E6),ROUND(E6,2)=INT(ROUND(E6,2)))</formula>
    </cfRule>
    <cfRule type="expression" dxfId="187" priority="2">
      <formula>AND(ISNUMBER(E6),ROUND(E6,2)&lt;&gt;INT(ROUND(E6,2)))</formula>
    </cfRule>
  </conditionalFormatting>
  <conditionalFormatting sqref="F6">
    <cfRule type="expression" dxfId="188" priority="1">
      <formula>AND(ISNUMBER(F6),ROUND(F6,2)=INT(ROUND(F6,2)))</formula>
    </cfRule>
    <cfRule type="expression" dxfId="189" priority="2">
      <formula>AND(ISNUMBER(F6),ROUND(F6,2)&lt;&gt;INT(ROUND(F6,2)))</formula>
    </cfRule>
  </conditionalFormatting>
  <conditionalFormatting sqref="F8">
    <cfRule type="expression" dxfId="190" priority="1">
      <formula>AND(ISNUMBER(F8),ROUND(F8,2)=INT(ROUND(F8,2)))</formula>
    </cfRule>
    <cfRule type="expression" dxfId="191" priority="2">
      <formula>AND(ISNUMBER(F8),ROUND(F8,2)&lt;&gt;INT(ROUND(F8,2)))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3" useFirstPageNumber="1"/>
  <headerFooter>
    <oddFooter>&amp;Cעמוד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11</v>
      </c>
      <c r="B1" s="12" t="s">
        <v>19</v>
      </c>
      <c r="C1" s="3"/>
      <c r="D1" s="3"/>
      <c r="E1" s="3"/>
      <c r="F1" s="3"/>
      <c r="G1" s="1" t="s">
        <v>71</v>
      </c>
      <c r="H1" s="1" t="s">
        <v>93</v>
      </c>
    </row>
    <row r="2" ht="32" customHeight="1" spans="1:8" x14ac:dyDescent="0.25">
      <c r="A2" s="19" t="s">
        <v>94</v>
      </c>
      <c r="B2" s="20" t="s">
        <v>95</v>
      </c>
      <c r="C2" s="19" t="s">
        <v>96</v>
      </c>
      <c r="D2" s="19" t="s">
        <v>97</v>
      </c>
      <c r="E2" s="19" t="s">
        <v>98</v>
      </c>
      <c r="F2" s="19" t="s">
        <v>99</v>
      </c>
      <c r="G2" s="1"/>
      <c r="H2" s="1" t="s">
        <v>100</v>
      </c>
    </row>
    <row r="3" ht="116.39999999999999" customHeight="1" spans="1:8" x14ac:dyDescent="0.25">
      <c r="A3" s="21"/>
      <c r="B3" s="22" t="s">
        <v>268</v>
      </c>
      <c r="C3" s="21"/>
      <c r="D3" s="21"/>
      <c r="E3" s="21"/>
      <c r="F3" s="21"/>
      <c r="G3" s="4" t="s">
        <v>269</v>
      </c>
      <c r="H3" s="4" t="s">
        <v>103</v>
      </c>
    </row>
    <row r="4" ht="81.6" customHeight="1" spans="1:8" x14ac:dyDescent="0.25">
      <c r="A4" s="21" t="s">
        <v>270</v>
      </c>
      <c r="B4" s="22" t="s">
        <v>271</v>
      </c>
      <c r="C4" s="21" t="s">
        <v>134</v>
      </c>
      <c r="D4" s="21"/>
      <c r="E4" s="23"/>
      <c r="F4" s="23" t="str">
        <f>IF(ISBLANK(D4),"",IF(NOT(ISNUMBER(D4)),"קלט לא תקין",IF(D4&lt;0,"קלט לא תקין",IF(ISBLANK(E4),"",IF(OR(E4="כלול",E4="לא רלוונטי"),0,IF(NOT(ISNUMBER(E4)),"קלט לא תקין",IF(E4&lt;0,"קלט לא תקין",ROUND(D4*E4,2))))))))</f>
        <v/>
      </c>
      <c r="G4" s="4" t="s">
        <v>272</v>
      </c>
      <c r="H4" s="4" t="s">
        <v>108</v>
      </c>
    </row>
    <row r="5" ht="81.6" customHeight="1" spans="1:8" x14ac:dyDescent="0.25">
      <c r="A5" s="21" t="s">
        <v>273</v>
      </c>
      <c r="B5" s="22" t="s">
        <v>274</v>
      </c>
      <c r="C5" s="21" t="s">
        <v>134</v>
      </c>
      <c r="D5" s="21"/>
      <c r="E5" s="23"/>
      <c r="F5" s="23" t="str">
        <f>IF(ISBLANK(D5),"",IF(NOT(ISNUMBER(D5)),"קלט לא תקין",IF(D5&lt;0,"קלט לא תקין",IF(ISBLANK(E5),"",IF(OR(E5="כלול",E5="לא רלוונטי"),0,IF(NOT(ISNUMBER(E5)),"קלט לא תקין",IF(E5&lt;0,"קלט לא תקין",ROUND(D5*E5,2))))))))</f>
        <v/>
      </c>
      <c r="G5" s="4" t="s">
        <v>275</v>
      </c>
      <c r="H5" s="4" t="s">
        <v>108</v>
      </c>
    </row>
    <row r="6" ht="81.6" customHeight="1" spans="1:8" x14ac:dyDescent="0.25">
      <c r="A6" s="21" t="s">
        <v>276</v>
      </c>
      <c r="B6" s="22" t="s">
        <v>277</v>
      </c>
      <c r="C6" s="21" t="s">
        <v>134</v>
      </c>
      <c r="D6" s="21"/>
      <c r="E6" s="23"/>
      <c r="F6" s="23" t="str">
        <f>IF(ISBLANK(D6),"",IF(NOT(ISNUMBER(D6)),"קלט לא תקין",IF(D6&lt;0,"קלט לא תקין",IF(ISBLANK(E6),"",IF(OR(E6="כלול",E6="לא רלוונטי"),0,IF(NOT(ISNUMBER(E6)),"קלט לא תקין",IF(E6&lt;0,"קלט לא תקין",ROUND(D6*E6,2))))))))</f>
        <v/>
      </c>
      <c r="G6" s="4" t="s">
        <v>278</v>
      </c>
      <c r="H6" s="4" t="s">
        <v>108</v>
      </c>
    </row>
    <row r="7" ht="81.6" customHeight="1" spans="1:8" x14ac:dyDescent="0.25">
      <c r="A7" s="21" t="s">
        <v>279</v>
      </c>
      <c r="B7" s="22" t="s">
        <v>280</v>
      </c>
      <c r="C7" s="21" t="s">
        <v>141</v>
      </c>
      <c r="D7" s="21"/>
      <c r="E7" s="23"/>
      <c r="F7" s="23" t="str">
        <f>IF(ISBLANK(D7),"",IF(NOT(ISNUMBER(D7)),"קלט לא תקין",IF(D7&lt;0,"קלט לא תקין",IF(ISBLANK(E7),"",IF(OR(E7="כלול",E7="לא רלוונטי"),0,IF(NOT(ISNUMBER(E7)),"קלט לא תקין",IF(E7&lt;0,"קלט לא תקין",ROUND(D7*E7,2))))))))</f>
        <v/>
      </c>
      <c r="G7" s="4" t="s">
        <v>281</v>
      </c>
      <c r="H7" s="4" t="s">
        <v>108</v>
      </c>
    </row>
    <row r="8" ht="64.19999999999999" customHeight="1" spans="1:8" x14ac:dyDescent="0.25">
      <c r="A8" s="21" t="s">
        <v>282</v>
      </c>
      <c r="B8" s="22" t="s">
        <v>283</v>
      </c>
      <c r="C8" s="21" t="s">
        <v>114</v>
      </c>
      <c r="D8" s="21"/>
      <c r="E8" s="23"/>
      <c r="F8" s="23" t="str">
        <f>IF(ISBLANK(D8),"",IF(NOT(ISNUMBER(D8)),"קלט לא תקין",IF(D8&lt;0,"קלט לא תקין",IF(ISBLANK(E8),"",IF(OR(E8="כלול",E8="לא רלוונטי"),0,IF(NOT(ISNUMBER(E8)),"קלט לא תקין",IF(E8&lt;0,"קלט לא תקין",ROUND(D8*E8,2))))))))</f>
        <v/>
      </c>
      <c r="G8" s="4" t="s">
        <v>284</v>
      </c>
      <c r="H8" s="4" t="s">
        <v>108</v>
      </c>
    </row>
    <row r="9" ht="81.6" customHeight="1" spans="1:8" x14ac:dyDescent="0.25">
      <c r="A9" s="21" t="s">
        <v>285</v>
      </c>
      <c r="B9" s="22" t="s">
        <v>286</v>
      </c>
      <c r="C9" s="21" t="s">
        <v>114</v>
      </c>
      <c r="D9" s="21"/>
      <c r="E9" s="23"/>
      <c r="F9" s="23" t="str">
        <f>IF(ISBLANK(D9),"",IF(NOT(ISNUMBER(D9)),"קלט לא תקין",IF(D9&lt;0,"קלט לא תקין",IF(ISBLANK(E9),"",IF(OR(E9="כלול",E9="לא רלוונטי"),0,IF(NOT(ISNUMBER(E9)),"קלט לא תקין",IF(E9&lt;0,"קלט לא תקין",ROUND(D9*E9,2))))))))</f>
        <v/>
      </c>
      <c r="G9" s="4" t="s">
        <v>287</v>
      </c>
      <c r="H9" s="4" t="s">
        <v>108</v>
      </c>
    </row>
    <row r="10" ht="35.39999999999998" customHeight="1" spans="1:8" x14ac:dyDescent="0.25">
      <c r="A10" s="21"/>
      <c r="B10" s="22"/>
      <c r="C10" s="21"/>
      <c r="D10" s="21"/>
      <c r="E10" s="21"/>
      <c r="F10" s="21"/>
      <c r="G10" s="4"/>
      <c r="H10" s="4" t="s">
        <v>4</v>
      </c>
    </row>
    <row r="11" ht="32" customHeight="1" spans="1:8" x14ac:dyDescent="0.25">
      <c r="A11" s="14"/>
      <c r="B11" s="15" t="s">
        <v>288</v>
      </c>
      <c r="C11" s="16"/>
      <c r="D11" s="16"/>
      <c r="E11" s="16"/>
      <c r="F11" s="24">
        <f>SUM(F4,F5,F6,F7,F8,F9)</f>
        <v>0</v>
      </c>
      <c r="G11" s="4"/>
      <c r="H11" s="4" t="s">
        <v>129</v>
      </c>
    </row>
  </sheetData>
  <mergeCells count="2">
    <mergeCell ref="B1:F1"/>
    <mergeCell ref="B11:E11"/>
  </mergeCells>
  <conditionalFormatting sqref="E4">
    <cfRule type="expression" dxfId="192" priority="1">
      <formula>AND(ISNUMBER(E4),ROUND(E4,2)=INT(ROUND(E4,2)))</formula>
    </cfRule>
    <cfRule type="expression" dxfId="193" priority="2">
      <formula>AND(ISNUMBER(E4),ROUND(E4,2)&lt;&gt;INT(ROUND(E4,2)))</formula>
    </cfRule>
  </conditionalFormatting>
  <conditionalFormatting sqref="F4">
    <cfRule type="expression" dxfId="194" priority="1">
      <formula>AND(ISNUMBER(F4),ROUND(F4,2)=INT(ROUND(F4,2)))</formula>
    </cfRule>
    <cfRule type="expression" dxfId="195" priority="2">
      <formula>AND(ISNUMBER(F4),ROUND(F4,2)&lt;&gt;INT(ROUND(F4,2)))</formula>
    </cfRule>
  </conditionalFormatting>
  <conditionalFormatting sqref="E5">
    <cfRule type="expression" dxfId="196" priority="1">
      <formula>AND(ISNUMBER(E5),ROUND(E5,2)=INT(ROUND(E5,2)))</formula>
    </cfRule>
    <cfRule type="expression" dxfId="197" priority="2">
      <formula>AND(ISNUMBER(E5),ROUND(E5,2)&lt;&gt;INT(ROUND(E5,2)))</formula>
    </cfRule>
  </conditionalFormatting>
  <conditionalFormatting sqref="F5">
    <cfRule type="expression" dxfId="198" priority="1">
      <formula>AND(ISNUMBER(F5),ROUND(F5,2)=INT(ROUND(F5,2)))</formula>
    </cfRule>
    <cfRule type="expression" dxfId="199" priority="2">
      <formula>AND(ISNUMBER(F5),ROUND(F5,2)&lt;&gt;INT(ROUND(F5,2)))</formula>
    </cfRule>
  </conditionalFormatting>
  <conditionalFormatting sqref="E6">
    <cfRule type="expression" dxfId="200" priority="1">
      <formula>AND(ISNUMBER(E6),ROUND(E6,2)=INT(ROUND(E6,2)))</formula>
    </cfRule>
    <cfRule type="expression" dxfId="201" priority="2">
      <formula>AND(ISNUMBER(E6),ROUND(E6,2)&lt;&gt;INT(ROUND(E6,2)))</formula>
    </cfRule>
  </conditionalFormatting>
  <conditionalFormatting sqref="F6">
    <cfRule type="expression" dxfId="202" priority="1">
      <formula>AND(ISNUMBER(F6),ROUND(F6,2)=INT(ROUND(F6,2)))</formula>
    </cfRule>
    <cfRule type="expression" dxfId="203" priority="2">
      <formula>AND(ISNUMBER(F6),ROUND(F6,2)&lt;&gt;INT(ROUND(F6,2)))</formula>
    </cfRule>
  </conditionalFormatting>
  <conditionalFormatting sqref="E7">
    <cfRule type="expression" dxfId="204" priority="1">
      <formula>AND(ISNUMBER(E7),ROUND(E7,2)=INT(ROUND(E7,2)))</formula>
    </cfRule>
    <cfRule type="expression" dxfId="205" priority="2">
      <formula>AND(ISNUMBER(E7),ROUND(E7,2)&lt;&gt;INT(ROUND(E7,2)))</formula>
    </cfRule>
  </conditionalFormatting>
  <conditionalFormatting sqref="F7">
    <cfRule type="expression" dxfId="206" priority="1">
      <formula>AND(ISNUMBER(F7),ROUND(F7,2)=INT(ROUND(F7,2)))</formula>
    </cfRule>
    <cfRule type="expression" dxfId="207" priority="2">
      <formula>AND(ISNUMBER(F7),ROUND(F7,2)&lt;&gt;INT(ROUND(F7,2)))</formula>
    </cfRule>
  </conditionalFormatting>
  <conditionalFormatting sqref="E8">
    <cfRule type="expression" dxfId="208" priority="1">
      <formula>AND(ISNUMBER(E8),ROUND(E8,2)=INT(ROUND(E8,2)))</formula>
    </cfRule>
    <cfRule type="expression" dxfId="209" priority="2">
      <formula>AND(ISNUMBER(E8),ROUND(E8,2)&lt;&gt;INT(ROUND(E8,2)))</formula>
    </cfRule>
  </conditionalFormatting>
  <conditionalFormatting sqref="F8">
    <cfRule type="expression" dxfId="210" priority="1">
      <formula>AND(ISNUMBER(F8),ROUND(F8,2)=INT(ROUND(F8,2)))</formula>
    </cfRule>
    <cfRule type="expression" dxfId="211" priority="2">
      <formula>AND(ISNUMBER(F8),ROUND(F8,2)&lt;&gt;INT(ROUND(F8,2)))</formula>
    </cfRule>
  </conditionalFormatting>
  <conditionalFormatting sqref="E9">
    <cfRule type="expression" dxfId="212" priority="1">
      <formula>AND(ISNUMBER(E9),ROUND(E9,2)=INT(ROUND(E9,2)))</formula>
    </cfRule>
    <cfRule type="expression" dxfId="213" priority="2">
      <formula>AND(ISNUMBER(E9),ROUND(E9,2)&lt;&gt;INT(ROUND(E9,2)))</formula>
    </cfRule>
  </conditionalFormatting>
  <conditionalFormatting sqref="F9">
    <cfRule type="expression" dxfId="214" priority="1">
      <formula>AND(ISNUMBER(F9),ROUND(F9,2)=INT(ROUND(F9,2)))</formula>
    </cfRule>
    <cfRule type="expression" dxfId="215" priority="2">
      <formula>AND(ISNUMBER(F9),ROUND(F9,2)&lt;&gt;INT(ROUND(F9,2)))</formula>
    </cfRule>
  </conditionalFormatting>
  <conditionalFormatting sqref="F11">
    <cfRule type="expression" dxfId="216" priority="1">
      <formula>AND(ISNUMBER(F11),ROUND(F11,2)=INT(ROUND(F11,2)))</formula>
    </cfRule>
    <cfRule type="expression" dxfId="217" priority="2">
      <formula>AND(ISNUMBER(F11),ROUND(F11,2)&lt;&gt;INT(ROUND(F11,2)))</formula>
    </cfRule>
  </conditionalFormatting>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4" useFirstPageNumber="1"/>
  <headerFooter>
    <oddFooter>&amp;Cעמוד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12</v>
      </c>
      <c r="B1" s="12" t="s">
        <v>20</v>
      </c>
      <c r="C1" s="3"/>
      <c r="D1" s="3"/>
      <c r="E1" s="3"/>
      <c r="F1" s="3"/>
      <c r="G1" s="1" t="s">
        <v>73</v>
      </c>
      <c r="H1" s="1" t="s">
        <v>93</v>
      </c>
    </row>
    <row r="2" ht="32" customHeight="1" spans="1:8" x14ac:dyDescent="0.25">
      <c r="A2" s="19" t="s">
        <v>94</v>
      </c>
      <c r="B2" s="20" t="s">
        <v>95</v>
      </c>
      <c r="C2" s="19" t="s">
        <v>96</v>
      </c>
      <c r="D2" s="19" t="s">
        <v>97</v>
      </c>
      <c r="E2" s="19" t="s">
        <v>98</v>
      </c>
      <c r="F2" s="19" t="s">
        <v>99</v>
      </c>
      <c r="G2" s="1"/>
      <c r="H2" s="1" t="s">
        <v>100</v>
      </c>
    </row>
    <row r="3" ht="116.39999999999999" customHeight="1" spans="1:8" x14ac:dyDescent="0.25">
      <c r="A3" s="21"/>
      <c r="B3" s="22" t="s">
        <v>289</v>
      </c>
      <c r="C3" s="21"/>
      <c r="D3" s="21"/>
      <c r="E3" s="21"/>
      <c r="F3" s="21"/>
      <c r="G3" s="4" t="s">
        <v>290</v>
      </c>
      <c r="H3" s="4" t="s">
        <v>103</v>
      </c>
    </row>
    <row r="4" ht="81.6" customHeight="1" spans="1:8" x14ac:dyDescent="0.25">
      <c r="A4" s="21" t="s">
        <v>291</v>
      </c>
      <c r="B4" s="22" t="s">
        <v>292</v>
      </c>
      <c r="C4" s="21" t="s">
        <v>134</v>
      </c>
      <c r="D4" s="21"/>
      <c r="E4" s="23"/>
      <c r="F4" s="23" t="str">
        <f>IF(ISBLANK(D4),"",IF(NOT(ISNUMBER(D4)),"קלט לא תקין",IF(D4&lt;0,"קלט לא תקין",IF(ISBLANK(E4),"",IF(OR(E4="כלול",E4="לא רלוונטי"),0,IF(NOT(ISNUMBER(E4)),"קלט לא תקין",IF(E4&lt;0,"קלט לא תקין",ROUND(D4*E4,2))))))))</f>
        <v/>
      </c>
      <c r="G4" s="4" t="s">
        <v>293</v>
      </c>
      <c r="H4" s="4" t="s">
        <v>108</v>
      </c>
    </row>
    <row r="5" ht="64.19999999999999" customHeight="1" spans="1:8" x14ac:dyDescent="0.25">
      <c r="A5" s="21" t="s">
        <v>294</v>
      </c>
      <c r="B5" s="22" t="s">
        <v>295</v>
      </c>
      <c r="C5" s="21" t="s">
        <v>141</v>
      </c>
      <c r="D5" s="21"/>
      <c r="E5" s="23"/>
      <c r="F5" s="23" t="str">
        <f>IF(ISBLANK(D5),"",IF(NOT(ISNUMBER(D5)),"קלט לא תקין",IF(D5&lt;0,"קלט לא תקין",IF(ISBLANK(E5),"",IF(OR(E5="כלול",E5="לא רלוונטי"),0,IF(NOT(ISNUMBER(E5)),"קלט לא תקין",IF(E5&lt;0,"קלט לא תקין",ROUND(D5*E5,2))))))))</f>
        <v/>
      </c>
      <c r="G5" s="4" t="s">
        <v>296</v>
      </c>
      <c r="H5" s="4" t="s">
        <v>108</v>
      </c>
    </row>
    <row r="6" ht="64.19999999999999" customHeight="1" spans="1:8" x14ac:dyDescent="0.25">
      <c r="A6" s="21" t="s">
        <v>297</v>
      </c>
      <c r="B6" s="22" t="s">
        <v>298</v>
      </c>
      <c r="C6" s="21" t="s">
        <v>141</v>
      </c>
      <c r="D6" s="21"/>
      <c r="E6" s="23"/>
      <c r="F6" s="23" t="str">
        <f>IF(ISBLANK(D6),"",IF(NOT(ISNUMBER(D6)),"קלט לא תקין",IF(D6&lt;0,"קלט לא תקין",IF(ISBLANK(E6),"",IF(OR(E6="כלול",E6="לא רלוונטי"),0,IF(NOT(ISNUMBER(E6)),"קלט לא תקין",IF(E6&lt;0,"קלט לא תקין",ROUND(D6*E6,2))))))))</f>
        <v/>
      </c>
      <c r="G6" s="4" t="s">
        <v>299</v>
      </c>
      <c r="H6" s="4" t="s">
        <v>108</v>
      </c>
    </row>
    <row r="7" ht="64.19999999999999" customHeight="1" spans="1:8" x14ac:dyDescent="0.25">
      <c r="A7" s="21" t="s">
        <v>300</v>
      </c>
      <c r="B7" s="22" t="s">
        <v>301</v>
      </c>
      <c r="C7" s="21" t="s">
        <v>134</v>
      </c>
      <c r="D7" s="21"/>
      <c r="E7" s="23"/>
      <c r="F7" s="23" t="str">
        <f>IF(ISBLANK(D7),"",IF(NOT(ISNUMBER(D7)),"קלט לא תקין",IF(D7&lt;0,"קלט לא תקין",IF(ISBLANK(E7),"",IF(OR(E7="כלול",E7="לא רלוונטי"),0,IF(NOT(ISNUMBER(E7)),"קלט לא תקין",IF(E7&lt;0,"קלט לא תקין",ROUND(D7*E7,2))))))))</f>
        <v/>
      </c>
      <c r="G7" s="4" t="s">
        <v>302</v>
      </c>
      <c r="H7" s="4" t="s">
        <v>108</v>
      </c>
    </row>
    <row r="8" ht="64.19999999999999" customHeight="1" spans="1:8" x14ac:dyDescent="0.25">
      <c r="A8" s="21" t="s">
        <v>303</v>
      </c>
      <c r="B8" s="22" t="s">
        <v>304</v>
      </c>
      <c r="C8" s="21" t="s">
        <v>134</v>
      </c>
      <c r="D8" s="21"/>
      <c r="E8" s="23"/>
      <c r="F8" s="23" t="str">
        <f>IF(ISBLANK(D8),"",IF(NOT(ISNUMBER(D8)),"קלט לא תקין",IF(D8&lt;0,"קלט לא תקין",IF(ISBLANK(E8),"",IF(OR(E8="כלול",E8="לא רלוונטי"),0,IF(NOT(ISNUMBER(E8)),"קלט לא תקין",IF(E8&lt;0,"קלט לא תקין",ROUND(D8*E8,2))))))))</f>
        <v/>
      </c>
      <c r="G8" s="4" t="s">
        <v>305</v>
      </c>
      <c r="H8" s="4" t="s">
        <v>108</v>
      </c>
    </row>
    <row r="9" ht="81.6" customHeight="1" spans="1:8" x14ac:dyDescent="0.25">
      <c r="A9" s="21" t="s">
        <v>306</v>
      </c>
      <c r="B9" s="22" t="s">
        <v>307</v>
      </c>
      <c r="C9" s="21" t="s">
        <v>114</v>
      </c>
      <c r="D9" s="21"/>
      <c r="E9" s="23"/>
      <c r="F9" s="23" t="str">
        <f>IF(ISBLANK(D9),"",IF(NOT(ISNUMBER(D9)),"קלט לא תקין",IF(D9&lt;0,"קלט לא תקין",IF(ISBLANK(E9),"",IF(OR(E9="כלול",E9="לא רלוונטי"),0,IF(NOT(ISNUMBER(E9)),"קלט לא תקין",IF(E9&lt;0,"קלט לא תקין",ROUND(D9*E9,2))))))))</f>
        <v/>
      </c>
      <c r="G9" s="4" t="s">
        <v>308</v>
      </c>
      <c r="H9" s="4" t="s">
        <v>108</v>
      </c>
    </row>
    <row r="10" ht="81.6" customHeight="1" spans="1:8" x14ac:dyDescent="0.25">
      <c r="A10" s="21" t="s">
        <v>309</v>
      </c>
      <c r="B10" s="22" t="s">
        <v>310</v>
      </c>
      <c r="C10" s="21" t="s">
        <v>114</v>
      </c>
      <c r="D10" s="21"/>
      <c r="E10" s="23"/>
      <c r="F10" s="23" t="str">
        <f>IF(ISBLANK(D10),"",IF(NOT(ISNUMBER(D10)),"קלט לא תקין",IF(D10&lt;0,"קלט לא תקין",IF(ISBLANK(E10),"",IF(OR(E10="כלול",E10="לא רלוונטי"),0,IF(NOT(ISNUMBER(E10)),"קלט לא תקין",IF(E10&lt;0,"קלט לא תקין",ROUND(D10*E10,2))))))))</f>
        <v/>
      </c>
      <c r="G10" s="4" t="s">
        <v>311</v>
      </c>
      <c r="H10" s="4" t="s">
        <v>108</v>
      </c>
    </row>
    <row r="11" ht="38" customHeight="1" spans="1:8" x14ac:dyDescent="0.25">
      <c r="A11" s="25"/>
      <c r="B11" s="26"/>
      <c r="C11" s="25"/>
      <c r="D11" s="25"/>
      <c r="E11" s="25"/>
      <c r="F11" s="25"/>
      <c r="G11" s="4"/>
      <c r="H11" s="4" t="s">
        <v>4</v>
      </c>
    </row>
    <row r="12" ht="32" customHeight="1" spans="1:8" x14ac:dyDescent="0.25">
      <c r="A12" s="27">
        <v>12</v>
      </c>
      <c r="B12" s="12" t="s">
        <v>312</v>
      </c>
      <c r="C12" s="3"/>
      <c r="D12" s="3"/>
      <c r="E12" s="3"/>
      <c r="F12" s="3"/>
      <c r="G12" s="4"/>
      <c r="H12" s="4" t="s">
        <v>313</v>
      </c>
    </row>
    <row r="13" ht="32" customHeight="1" spans="1:8" x14ac:dyDescent="0.25">
      <c r="A13" s="19" t="s">
        <v>94</v>
      </c>
      <c r="B13" s="20" t="s">
        <v>95</v>
      </c>
      <c r="C13" s="19" t="s">
        <v>96</v>
      </c>
      <c r="D13" s="19" t="s">
        <v>97</v>
      </c>
      <c r="E13" s="19" t="s">
        <v>98</v>
      </c>
      <c r="F13" s="19" t="s">
        <v>99</v>
      </c>
      <c r="G13" s="4"/>
      <c r="H13" s="4" t="s">
        <v>100</v>
      </c>
    </row>
    <row r="14" ht="64.19999999999999" customHeight="1" spans="1:8" x14ac:dyDescent="0.25">
      <c r="A14" s="21" t="s">
        <v>314</v>
      </c>
      <c r="B14" s="22" t="s">
        <v>315</v>
      </c>
      <c r="C14" s="21" t="s">
        <v>134</v>
      </c>
      <c r="D14" s="21"/>
      <c r="E14" s="23"/>
      <c r="F14" s="23" t="str">
        <f>IF(ISBLANK(D14),"",IF(NOT(ISNUMBER(D14)),"קלט לא תקין",IF(D14&lt;0,"קלט לא תקין",IF(ISBLANK(E14),"",IF(OR(E14="כלול",E14="לא רלוונטי"),0,IF(NOT(ISNUMBER(E14)),"קלט לא תקין",IF(E14&lt;0,"קלט לא תקין",ROUND(D14*E14,2))))))))</f>
        <v/>
      </c>
      <c r="G14" s="4" t="s">
        <v>316</v>
      </c>
      <c r="H14" s="4" t="s">
        <v>108</v>
      </c>
    </row>
    <row r="15" ht="400" customHeight="1" spans="1:8" x14ac:dyDescent="0.25">
      <c r="A15" s="21"/>
      <c r="B15" s="22"/>
      <c r="C15" s="21"/>
      <c r="D15" s="21"/>
      <c r="E15" s="21"/>
      <c r="F15" s="21"/>
      <c r="G15" s="4"/>
      <c r="H15" s="4" t="s">
        <v>4</v>
      </c>
    </row>
    <row r="16" ht="159.79999999999995" customHeight="1" spans="1:8" x14ac:dyDescent="0.25">
      <c r="A16" s="21"/>
      <c r="B16" s="22"/>
      <c r="C16" s="21"/>
      <c r="D16" s="21"/>
      <c r="E16" s="21"/>
      <c r="F16" s="21"/>
      <c r="G16" s="4"/>
      <c r="H16" s="4" t="s">
        <v>4</v>
      </c>
    </row>
    <row r="17" ht="32" customHeight="1" spans="1:8" x14ac:dyDescent="0.25">
      <c r="A17" s="14"/>
      <c r="B17" s="15" t="s">
        <v>317</v>
      </c>
      <c r="C17" s="16"/>
      <c r="D17" s="16"/>
      <c r="E17" s="16"/>
      <c r="F17" s="24">
        <f>SUM(F4,F5,F6,F7,F8,F9,F10,F14)</f>
        <v>0</v>
      </c>
      <c r="G17" s="4"/>
      <c r="H17" s="4" t="s">
        <v>129</v>
      </c>
    </row>
  </sheetData>
  <mergeCells count="3">
    <mergeCell ref="B1:F1"/>
    <mergeCell ref="B12:F12"/>
    <mergeCell ref="B17:E17"/>
  </mergeCells>
  <conditionalFormatting sqref="E4">
    <cfRule type="expression" dxfId="218" priority="1">
      <formula>AND(ISNUMBER(E4),ROUND(E4,2)=INT(ROUND(E4,2)))</formula>
    </cfRule>
    <cfRule type="expression" dxfId="219" priority="2">
      <formula>AND(ISNUMBER(E4),ROUND(E4,2)&lt;&gt;INT(ROUND(E4,2)))</formula>
    </cfRule>
  </conditionalFormatting>
  <conditionalFormatting sqref="F4">
    <cfRule type="expression" dxfId="220" priority="1">
      <formula>AND(ISNUMBER(F4),ROUND(F4,2)=INT(ROUND(F4,2)))</formula>
    </cfRule>
    <cfRule type="expression" dxfId="221" priority="2">
      <formula>AND(ISNUMBER(F4),ROUND(F4,2)&lt;&gt;INT(ROUND(F4,2)))</formula>
    </cfRule>
  </conditionalFormatting>
  <conditionalFormatting sqref="E5">
    <cfRule type="expression" dxfId="222" priority="1">
      <formula>AND(ISNUMBER(E5),ROUND(E5,2)=INT(ROUND(E5,2)))</formula>
    </cfRule>
    <cfRule type="expression" dxfId="223" priority="2">
      <formula>AND(ISNUMBER(E5),ROUND(E5,2)&lt;&gt;INT(ROUND(E5,2)))</formula>
    </cfRule>
  </conditionalFormatting>
  <conditionalFormatting sqref="F5">
    <cfRule type="expression" dxfId="224" priority="1">
      <formula>AND(ISNUMBER(F5),ROUND(F5,2)=INT(ROUND(F5,2)))</formula>
    </cfRule>
    <cfRule type="expression" dxfId="225" priority="2">
      <formula>AND(ISNUMBER(F5),ROUND(F5,2)&lt;&gt;INT(ROUND(F5,2)))</formula>
    </cfRule>
  </conditionalFormatting>
  <conditionalFormatting sqref="E6">
    <cfRule type="expression" dxfId="226" priority="1">
      <formula>AND(ISNUMBER(E6),ROUND(E6,2)=INT(ROUND(E6,2)))</formula>
    </cfRule>
    <cfRule type="expression" dxfId="227" priority="2">
      <formula>AND(ISNUMBER(E6),ROUND(E6,2)&lt;&gt;INT(ROUND(E6,2)))</formula>
    </cfRule>
  </conditionalFormatting>
  <conditionalFormatting sqref="F6">
    <cfRule type="expression" dxfId="228" priority="1">
      <formula>AND(ISNUMBER(F6),ROUND(F6,2)=INT(ROUND(F6,2)))</formula>
    </cfRule>
    <cfRule type="expression" dxfId="229" priority="2">
      <formula>AND(ISNUMBER(F6),ROUND(F6,2)&lt;&gt;INT(ROUND(F6,2)))</formula>
    </cfRule>
  </conditionalFormatting>
  <conditionalFormatting sqref="E7">
    <cfRule type="expression" dxfId="230" priority="1">
      <formula>AND(ISNUMBER(E7),ROUND(E7,2)=INT(ROUND(E7,2)))</formula>
    </cfRule>
    <cfRule type="expression" dxfId="231" priority="2">
      <formula>AND(ISNUMBER(E7),ROUND(E7,2)&lt;&gt;INT(ROUND(E7,2)))</formula>
    </cfRule>
  </conditionalFormatting>
  <conditionalFormatting sqref="F7">
    <cfRule type="expression" dxfId="232" priority="1">
      <formula>AND(ISNUMBER(F7),ROUND(F7,2)=INT(ROUND(F7,2)))</formula>
    </cfRule>
    <cfRule type="expression" dxfId="233" priority="2">
      <formula>AND(ISNUMBER(F7),ROUND(F7,2)&lt;&gt;INT(ROUND(F7,2)))</formula>
    </cfRule>
  </conditionalFormatting>
  <conditionalFormatting sqref="E8">
    <cfRule type="expression" dxfId="234" priority="1">
      <formula>AND(ISNUMBER(E8),ROUND(E8,2)=INT(ROUND(E8,2)))</formula>
    </cfRule>
    <cfRule type="expression" dxfId="235" priority="2">
      <formula>AND(ISNUMBER(E8),ROUND(E8,2)&lt;&gt;INT(ROUND(E8,2)))</formula>
    </cfRule>
  </conditionalFormatting>
  <conditionalFormatting sqref="F8">
    <cfRule type="expression" dxfId="236" priority="1">
      <formula>AND(ISNUMBER(F8),ROUND(F8,2)=INT(ROUND(F8,2)))</formula>
    </cfRule>
    <cfRule type="expression" dxfId="237" priority="2">
      <formula>AND(ISNUMBER(F8),ROUND(F8,2)&lt;&gt;INT(ROUND(F8,2)))</formula>
    </cfRule>
  </conditionalFormatting>
  <conditionalFormatting sqref="E9">
    <cfRule type="expression" dxfId="238" priority="1">
      <formula>AND(ISNUMBER(E9),ROUND(E9,2)=INT(ROUND(E9,2)))</formula>
    </cfRule>
    <cfRule type="expression" dxfId="239" priority="2">
      <formula>AND(ISNUMBER(E9),ROUND(E9,2)&lt;&gt;INT(ROUND(E9,2)))</formula>
    </cfRule>
  </conditionalFormatting>
  <conditionalFormatting sqref="F9">
    <cfRule type="expression" dxfId="240" priority="1">
      <formula>AND(ISNUMBER(F9),ROUND(F9,2)=INT(ROUND(F9,2)))</formula>
    </cfRule>
    <cfRule type="expression" dxfId="241" priority="2">
      <formula>AND(ISNUMBER(F9),ROUND(F9,2)&lt;&gt;INT(ROUND(F9,2)))</formula>
    </cfRule>
  </conditionalFormatting>
  <conditionalFormatting sqref="E10">
    <cfRule type="expression" dxfId="242" priority="1">
      <formula>AND(ISNUMBER(E10),ROUND(E10,2)=INT(ROUND(E10,2)))</formula>
    </cfRule>
    <cfRule type="expression" dxfId="243" priority="2">
      <formula>AND(ISNUMBER(E10),ROUND(E10,2)&lt;&gt;INT(ROUND(E10,2)))</formula>
    </cfRule>
  </conditionalFormatting>
  <conditionalFormatting sqref="F10">
    <cfRule type="expression" dxfId="244" priority="1">
      <formula>AND(ISNUMBER(F10),ROUND(F10,2)=INT(ROUND(F10,2)))</formula>
    </cfRule>
    <cfRule type="expression" dxfId="245" priority="2">
      <formula>AND(ISNUMBER(F10),ROUND(F10,2)&lt;&gt;INT(ROUND(F10,2)))</formula>
    </cfRule>
  </conditionalFormatting>
  <conditionalFormatting sqref="E14">
    <cfRule type="expression" dxfId="246" priority="1">
      <formula>AND(ISNUMBER(E14),ROUND(E14,2)=INT(ROUND(E14,2)))</formula>
    </cfRule>
    <cfRule type="expression" dxfId="247" priority="2">
      <formula>AND(ISNUMBER(E14),ROUND(E14,2)&lt;&gt;INT(ROUND(E14,2)))</formula>
    </cfRule>
  </conditionalFormatting>
  <conditionalFormatting sqref="F14">
    <cfRule type="expression" dxfId="248" priority="1">
      <formula>AND(ISNUMBER(F14),ROUND(F14,2)=INT(ROUND(F14,2)))</formula>
    </cfRule>
    <cfRule type="expression" dxfId="249" priority="2">
      <formula>AND(ISNUMBER(F14),ROUND(F14,2)&lt;&gt;INT(ROUND(F14,2)))</formula>
    </cfRule>
  </conditionalFormatting>
  <conditionalFormatting sqref="F17">
    <cfRule type="expression" dxfId="250" priority="1">
      <formula>AND(ISNUMBER(F17),ROUND(F17,2)=INT(ROUND(F17,2)))</formula>
    </cfRule>
    <cfRule type="expression" dxfId="251" priority="2">
      <formula>AND(ISNUMBER(F17),ROUND(F17,2)&lt;&gt;INT(ROUND(F17,2)))</formula>
    </cfRule>
  </conditionalFormatting>
  <dataValidations count="11">
    <dataValidation type="decimal" operator="greaterThanOrEqual" allowBlank="1" showErrorMessage="1" error="יש להזין מספר לא שלילי" sqref="D10">
      <formula1>0</formula1>
    </dataValidation>
    <dataValidation type="decimal" operator="greaterThanOrEqual" allowBlank="1" showErrorMessage="1" error="יש להזין מספר לא שלילי" sqref="D14">
      <formula1>0</formula1>
    </dataValidation>
    <dataValidation type="decimal" operator="greaterThanOrEqual" allowBlank="1" showErrorMessage="1" error="יש להזין מספר לא שלילי" sqref="D4:D10">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4">
      <formula1>OR(ISBLANK(E14),AND(ISNUMBER(E14),E14&gt;=0),E14="כלול",E14="לא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5" useFirstPageNumber="1"/>
  <headerFooter>
    <oddFooter>&amp;Cעמוד &amp;P</oddFooter>
  </headerFooter>
  <rowBreaks count="1" manualBreakCount="1">
    <brk id="11" max="1683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13</v>
      </c>
      <c r="B1" s="12" t="s">
        <v>21</v>
      </c>
      <c r="C1" s="3"/>
      <c r="D1" s="3"/>
      <c r="E1" s="3"/>
      <c r="F1" s="3"/>
      <c r="G1" s="1" t="s">
        <v>75</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318</v>
      </c>
      <c r="C3" s="21"/>
      <c r="D3" s="21"/>
      <c r="E3" s="21"/>
      <c r="F3" s="21"/>
      <c r="G3" s="4" t="s">
        <v>319</v>
      </c>
      <c r="H3" s="4" t="s">
        <v>103</v>
      </c>
    </row>
    <row r="4" ht="64.19999999999999" customHeight="1" spans="1:8" x14ac:dyDescent="0.25">
      <c r="A4" s="21" t="s">
        <v>320</v>
      </c>
      <c r="B4" s="22" t="s">
        <v>321</v>
      </c>
      <c r="C4" s="21" t="s">
        <v>134</v>
      </c>
      <c r="D4" s="21"/>
      <c r="E4" s="23"/>
      <c r="F4" s="23" t="str">
        <f>IF(ISBLANK(D4),"",IF(NOT(ISNUMBER(D4)),"קלט לא תקין",IF(D4&lt;0,"קלט לא תקין",IF(ISBLANK(E4),"",IF(OR(E4="כלול",E4="לא רלוונטי"),0,IF(NOT(ISNUMBER(E4)),"קלט לא תקין",IF(E4&lt;0,"קלט לא תקין",ROUND(D4*E4,2))))))))</f>
        <v/>
      </c>
      <c r="G4" s="4" t="s">
        <v>322</v>
      </c>
      <c r="H4" s="4" t="s">
        <v>108</v>
      </c>
    </row>
    <row r="5" ht="64.19999999999999" customHeight="1" spans="1:8" x14ac:dyDescent="0.25">
      <c r="A5" s="21" t="s">
        <v>323</v>
      </c>
      <c r="B5" s="22" t="s">
        <v>324</v>
      </c>
      <c r="C5" s="21" t="s">
        <v>134</v>
      </c>
      <c r="D5" s="21"/>
      <c r="E5" s="23"/>
      <c r="F5" s="23" t="str">
        <f>IF(ISBLANK(D5),"",IF(NOT(ISNUMBER(D5)),"קלט לא תקין",IF(D5&lt;0,"קלט לא תקין",IF(ISBLANK(E5),"",IF(OR(E5="כלול",E5="לא רלוונטי"),0,IF(NOT(ISNUMBER(E5)),"קלט לא תקין",IF(E5&lt;0,"קלט לא תקין",ROUND(D5*E5,2))))))))</f>
        <v/>
      </c>
      <c r="G5" s="4" t="s">
        <v>325</v>
      </c>
      <c r="H5" s="4" t="s">
        <v>108</v>
      </c>
    </row>
    <row r="6" ht="64.19999999999999" customHeight="1" spans="1:8" x14ac:dyDescent="0.25">
      <c r="A6" s="21" t="s">
        <v>326</v>
      </c>
      <c r="B6" s="22" t="s">
        <v>327</v>
      </c>
      <c r="C6" s="21" t="s">
        <v>141</v>
      </c>
      <c r="D6" s="21"/>
      <c r="E6" s="23"/>
      <c r="F6" s="23" t="str">
        <f>IF(ISBLANK(D6),"",IF(NOT(ISNUMBER(D6)),"קלט לא תקין",IF(D6&lt;0,"קלט לא תקין",IF(ISBLANK(E6),"",IF(OR(E6="כלול",E6="לא רלוונטי"),0,IF(NOT(ISNUMBER(E6)),"קלט לא תקין",IF(E6&lt;0,"קלט לא תקין",ROUND(D6*E6,2))))))))</f>
        <v/>
      </c>
      <c r="G6" s="4" t="s">
        <v>328</v>
      </c>
      <c r="H6" s="4" t="s">
        <v>108</v>
      </c>
    </row>
    <row r="7" ht="64.19999999999999" customHeight="1" spans="1:8" x14ac:dyDescent="0.25">
      <c r="A7" s="21" t="s">
        <v>329</v>
      </c>
      <c r="B7" s="22" t="s">
        <v>330</v>
      </c>
      <c r="C7" s="21" t="s">
        <v>134</v>
      </c>
      <c r="D7" s="21"/>
      <c r="E7" s="23"/>
      <c r="F7" s="23" t="str">
        <f>IF(ISBLANK(D7),"",IF(NOT(ISNUMBER(D7)),"קלט לא תקין",IF(D7&lt;0,"קלט לא תקין",IF(ISBLANK(E7),"",IF(OR(E7="כלול",E7="לא רלוונטי"),0,IF(NOT(ISNUMBER(E7)),"קלט לא תקין",IF(E7&lt;0,"קלט לא תקין",ROUND(D7*E7,2))))))))</f>
        <v/>
      </c>
      <c r="G7" s="4" t="s">
        <v>331</v>
      </c>
      <c r="H7" s="4" t="s">
        <v>108</v>
      </c>
    </row>
    <row r="8" ht="285.6000000000001" customHeight="1" spans="1:8" x14ac:dyDescent="0.25">
      <c r="A8" s="21"/>
      <c r="B8" s="22"/>
      <c r="C8" s="21"/>
      <c r="D8" s="21"/>
      <c r="E8" s="21"/>
      <c r="F8" s="21"/>
      <c r="G8" s="4"/>
      <c r="H8" s="4" t="s">
        <v>4</v>
      </c>
    </row>
    <row r="9" ht="32" customHeight="1" spans="1:8" x14ac:dyDescent="0.25">
      <c r="A9" s="14"/>
      <c r="B9" s="15" t="s">
        <v>332</v>
      </c>
      <c r="C9" s="16"/>
      <c r="D9" s="16"/>
      <c r="E9" s="16"/>
      <c r="F9" s="24">
        <f>SUM(F4,F5,F6,F7)</f>
        <v>0</v>
      </c>
      <c r="G9" s="4"/>
      <c r="H9" s="4" t="s">
        <v>129</v>
      </c>
    </row>
  </sheetData>
  <mergeCells count="2">
    <mergeCell ref="B1:F1"/>
    <mergeCell ref="B9:E9"/>
  </mergeCells>
  <conditionalFormatting sqref="E4">
    <cfRule type="expression" dxfId="252" priority="1">
      <formula>AND(ISNUMBER(E4),ROUND(E4,2)=INT(ROUND(E4,2)))</formula>
    </cfRule>
    <cfRule type="expression" dxfId="253" priority="2">
      <formula>AND(ISNUMBER(E4),ROUND(E4,2)&lt;&gt;INT(ROUND(E4,2)))</formula>
    </cfRule>
  </conditionalFormatting>
  <conditionalFormatting sqref="F4">
    <cfRule type="expression" dxfId="254" priority="1">
      <formula>AND(ISNUMBER(F4),ROUND(F4,2)=INT(ROUND(F4,2)))</formula>
    </cfRule>
    <cfRule type="expression" dxfId="255" priority="2">
      <formula>AND(ISNUMBER(F4),ROUND(F4,2)&lt;&gt;INT(ROUND(F4,2)))</formula>
    </cfRule>
  </conditionalFormatting>
  <conditionalFormatting sqref="E5">
    <cfRule type="expression" dxfId="256" priority="1">
      <formula>AND(ISNUMBER(E5),ROUND(E5,2)=INT(ROUND(E5,2)))</formula>
    </cfRule>
    <cfRule type="expression" dxfId="257" priority="2">
      <formula>AND(ISNUMBER(E5),ROUND(E5,2)&lt;&gt;INT(ROUND(E5,2)))</formula>
    </cfRule>
  </conditionalFormatting>
  <conditionalFormatting sqref="F5">
    <cfRule type="expression" dxfId="258" priority="1">
      <formula>AND(ISNUMBER(F5),ROUND(F5,2)=INT(ROUND(F5,2)))</formula>
    </cfRule>
    <cfRule type="expression" dxfId="259" priority="2">
      <formula>AND(ISNUMBER(F5),ROUND(F5,2)&lt;&gt;INT(ROUND(F5,2)))</formula>
    </cfRule>
  </conditionalFormatting>
  <conditionalFormatting sqref="E6">
    <cfRule type="expression" dxfId="260" priority="1">
      <formula>AND(ISNUMBER(E6),ROUND(E6,2)=INT(ROUND(E6,2)))</formula>
    </cfRule>
    <cfRule type="expression" dxfId="261" priority="2">
      <formula>AND(ISNUMBER(E6),ROUND(E6,2)&lt;&gt;INT(ROUND(E6,2)))</formula>
    </cfRule>
  </conditionalFormatting>
  <conditionalFormatting sqref="F6">
    <cfRule type="expression" dxfId="262" priority="1">
      <formula>AND(ISNUMBER(F6),ROUND(F6,2)=INT(ROUND(F6,2)))</formula>
    </cfRule>
    <cfRule type="expression" dxfId="263" priority="2">
      <formula>AND(ISNUMBER(F6),ROUND(F6,2)&lt;&gt;INT(ROUND(F6,2)))</formula>
    </cfRule>
  </conditionalFormatting>
  <conditionalFormatting sqref="E7">
    <cfRule type="expression" dxfId="264" priority="1">
      <formula>AND(ISNUMBER(E7),ROUND(E7,2)=INT(ROUND(E7,2)))</formula>
    </cfRule>
    <cfRule type="expression" dxfId="265" priority="2">
      <formula>AND(ISNUMBER(E7),ROUND(E7,2)&lt;&gt;INT(ROUND(E7,2)))</formula>
    </cfRule>
  </conditionalFormatting>
  <conditionalFormatting sqref="F7">
    <cfRule type="expression" dxfId="266" priority="1">
      <formula>AND(ISNUMBER(F7),ROUND(F7,2)=INT(ROUND(F7,2)))</formula>
    </cfRule>
    <cfRule type="expression" dxfId="267" priority="2">
      <formula>AND(ISNUMBER(F7),ROUND(F7,2)&lt;&gt;INT(ROUND(F7,2)))</formula>
    </cfRule>
  </conditionalFormatting>
  <conditionalFormatting sqref="F9">
    <cfRule type="expression" dxfId="268" priority="1">
      <formula>AND(ISNUMBER(F9),ROUND(F9,2)=INT(ROUND(F9,2)))</formula>
    </cfRule>
    <cfRule type="expression" dxfId="269" priority="2">
      <formula>AND(ISNUMBER(F9),ROUND(F9,2)&lt;&gt;INT(ROUND(F9,2)))</formula>
    </cfRule>
  </conditionalFormatting>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17" useFirstPageNumber="1"/>
  <headerFooter>
    <oddFooter>&amp;Cעמוד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14</v>
      </c>
      <c r="B1" s="12" t="s">
        <v>22</v>
      </c>
      <c r="C1" s="3"/>
      <c r="D1" s="3"/>
      <c r="E1" s="3"/>
      <c r="F1" s="3"/>
      <c r="G1" s="1" t="s">
        <v>77</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333</v>
      </c>
      <c r="C3" s="21"/>
      <c r="D3" s="21"/>
      <c r="E3" s="21"/>
      <c r="F3" s="21"/>
      <c r="G3" s="4" t="s">
        <v>334</v>
      </c>
      <c r="H3" s="4" t="s">
        <v>103</v>
      </c>
    </row>
    <row r="4" ht="64.19999999999999" customHeight="1" spans="1:8" x14ac:dyDescent="0.25">
      <c r="A4" s="21" t="s">
        <v>335</v>
      </c>
      <c r="B4" s="22" t="s">
        <v>336</v>
      </c>
      <c r="C4" s="21" t="s">
        <v>134</v>
      </c>
      <c r="D4" s="21"/>
      <c r="E4" s="23"/>
      <c r="F4" s="23" t="str">
        <f>IF(ISBLANK(D4),"",IF(NOT(ISNUMBER(D4)),"קלט לא תקין",IF(D4&lt;0,"קלט לא תקין",IF(ISBLANK(E4),"",IF(OR(E4="כלול",E4="לא רלוונטי"),0,IF(NOT(ISNUMBER(E4)),"קלט לא תקין",IF(E4&lt;0,"קלט לא תקין",ROUND(D4*E4,2))))))))</f>
        <v/>
      </c>
      <c r="G4" s="4" t="s">
        <v>337</v>
      </c>
      <c r="H4" s="4" t="s">
        <v>108</v>
      </c>
    </row>
    <row r="5" ht="64.19999999999999" customHeight="1" spans="1:8" x14ac:dyDescent="0.25">
      <c r="A5" s="21" t="s">
        <v>338</v>
      </c>
      <c r="B5" s="22" t="s">
        <v>339</v>
      </c>
      <c r="C5" s="21" t="s">
        <v>134</v>
      </c>
      <c r="D5" s="21"/>
      <c r="E5" s="23"/>
      <c r="F5" s="23" t="str">
        <f>IF(ISBLANK(D5),"",IF(NOT(ISNUMBER(D5)),"קלט לא תקין",IF(D5&lt;0,"קלט לא תקין",IF(ISBLANK(E5),"",IF(OR(E5="כלול",E5="לא רלוונטי"),0,IF(NOT(ISNUMBER(E5)),"קלט לא תקין",IF(E5&lt;0,"קלט לא תקין",ROUND(D5*E5,2))))))))</f>
        <v/>
      </c>
      <c r="G5" s="4" t="s">
        <v>340</v>
      </c>
      <c r="H5" s="4" t="s">
        <v>108</v>
      </c>
    </row>
    <row r="6" ht="64.19999999999999" customHeight="1" spans="1:8" x14ac:dyDescent="0.25">
      <c r="A6" s="21" t="s">
        <v>341</v>
      </c>
      <c r="B6" s="22" t="s">
        <v>342</v>
      </c>
      <c r="C6" s="21" t="s">
        <v>134</v>
      </c>
      <c r="D6" s="21"/>
      <c r="E6" s="23"/>
      <c r="F6" s="23" t="str">
        <f>IF(ISBLANK(D6),"",IF(NOT(ISNUMBER(D6)),"קלט לא תקין",IF(D6&lt;0,"קלט לא תקין",IF(ISBLANK(E6),"",IF(OR(E6="כלול",E6="לא רלוונטי"),0,IF(NOT(ISNUMBER(E6)),"קלט לא תקין",IF(E6&lt;0,"קלט לא תקין",ROUND(D6*E6,2))))))))</f>
        <v/>
      </c>
      <c r="G6" s="4" t="s">
        <v>343</v>
      </c>
      <c r="H6" s="4" t="s">
        <v>108</v>
      </c>
    </row>
    <row r="7" ht="64.19999999999999" customHeight="1" spans="1:8" x14ac:dyDescent="0.25">
      <c r="A7" s="21" t="s">
        <v>344</v>
      </c>
      <c r="B7" s="22" t="s">
        <v>345</v>
      </c>
      <c r="C7" s="21" t="s">
        <v>134</v>
      </c>
      <c r="D7" s="21"/>
      <c r="E7" s="23"/>
      <c r="F7" s="23" t="str">
        <f>IF(ISBLANK(D7),"",IF(NOT(ISNUMBER(D7)),"קלט לא תקין",IF(D7&lt;0,"קלט לא תקין",IF(ISBLANK(E7),"",IF(OR(E7="כלול",E7="לא רלוונטי"),0,IF(NOT(ISNUMBER(E7)),"קלט לא תקין",IF(E7&lt;0,"קלט לא תקין",ROUND(D7*E7,2))))))))</f>
        <v/>
      </c>
      <c r="G7" s="4" t="s">
        <v>346</v>
      </c>
      <c r="H7" s="4" t="s">
        <v>108</v>
      </c>
    </row>
    <row r="8" ht="64.19999999999999" customHeight="1" spans="1:8" x14ac:dyDescent="0.25">
      <c r="A8" s="21" t="s">
        <v>347</v>
      </c>
      <c r="B8" s="22" t="s">
        <v>348</v>
      </c>
      <c r="C8" s="21" t="s">
        <v>134</v>
      </c>
      <c r="D8" s="21"/>
      <c r="E8" s="23"/>
      <c r="F8" s="23" t="str">
        <f>IF(ISBLANK(D8),"",IF(NOT(ISNUMBER(D8)),"קלט לא תקין",IF(D8&lt;0,"קלט לא תקין",IF(ISBLANK(E8),"",IF(OR(E8="כלול",E8="לא רלוונטי"),0,IF(NOT(ISNUMBER(E8)),"קלט לא תקין",IF(E8&lt;0,"קלט לא תקין",ROUND(D8*E8,2))))))))</f>
        <v/>
      </c>
      <c r="G8" s="4" t="s">
        <v>349</v>
      </c>
      <c r="H8" s="4" t="s">
        <v>108</v>
      </c>
    </row>
    <row r="9" ht="221.4000000000001" customHeight="1" spans="1:8" x14ac:dyDescent="0.25">
      <c r="A9" s="21"/>
      <c r="B9" s="22"/>
      <c r="C9" s="21"/>
      <c r="D9" s="21"/>
      <c r="E9" s="21"/>
      <c r="F9" s="21"/>
      <c r="G9" s="4"/>
      <c r="H9" s="4" t="s">
        <v>4</v>
      </c>
    </row>
    <row r="10" ht="32" customHeight="1" spans="1:8" x14ac:dyDescent="0.25">
      <c r="A10" s="14"/>
      <c r="B10" s="15" t="s">
        <v>350</v>
      </c>
      <c r="C10" s="16"/>
      <c r="D10" s="16"/>
      <c r="E10" s="16"/>
      <c r="F10" s="24">
        <f>SUM(F4,F5,F6,F7,F8)</f>
        <v>0</v>
      </c>
      <c r="G10" s="4"/>
      <c r="H10" s="4" t="s">
        <v>129</v>
      </c>
    </row>
  </sheetData>
  <mergeCells count="2">
    <mergeCell ref="B1:F1"/>
    <mergeCell ref="B10:E10"/>
  </mergeCells>
  <conditionalFormatting sqref="E4">
    <cfRule type="expression" dxfId="270" priority="1">
      <formula>AND(ISNUMBER(E4),ROUND(E4,2)=INT(ROUND(E4,2)))</formula>
    </cfRule>
    <cfRule type="expression" dxfId="271" priority="2">
      <formula>AND(ISNUMBER(E4),ROUND(E4,2)&lt;&gt;INT(ROUND(E4,2)))</formula>
    </cfRule>
  </conditionalFormatting>
  <conditionalFormatting sqref="F4">
    <cfRule type="expression" dxfId="272" priority="1">
      <formula>AND(ISNUMBER(F4),ROUND(F4,2)=INT(ROUND(F4,2)))</formula>
    </cfRule>
    <cfRule type="expression" dxfId="273" priority="2">
      <formula>AND(ISNUMBER(F4),ROUND(F4,2)&lt;&gt;INT(ROUND(F4,2)))</formula>
    </cfRule>
  </conditionalFormatting>
  <conditionalFormatting sqref="E5">
    <cfRule type="expression" dxfId="274" priority="1">
      <formula>AND(ISNUMBER(E5),ROUND(E5,2)=INT(ROUND(E5,2)))</formula>
    </cfRule>
    <cfRule type="expression" dxfId="275" priority="2">
      <formula>AND(ISNUMBER(E5),ROUND(E5,2)&lt;&gt;INT(ROUND(E5,2)))</formula>
    </cfRule>
  </conditionalFormatting>
  <conditionalFormatting sqref="F5">
    <cfRule type="expression" dxfId="276" priority="1">
      <formula>AND(ISNUMBER(F5),ROUND(F5,2)=INT(ROUND(F5,2)))</formula>
    </cfRule>
    <cfRule type="expression" dxfId="277" priority="2">
      <formula>AND(ISNUMBER(F5),ROUND(F5,2)&lt;&gt;INT(ROUND(F5,2)))</formula>
    </cfRule>
  </conditionalFormatting>
  <conditionalFormatting sqref="E6">
    <cfRule type="expression" dxfId="278" priority="1">
      <formula>AND(ISNUMBER(E6),ROUND(E6,2)=INT(ROUND(E6,2)))</formula>
    </cfRule>
    <cfRule type="expression" dxfId="279" priority="2">
      <formula>AND(ISNUMBER(E6),ROUND(E6,2)&lt;&gt;INT(ROUND(E6,2)))</formula>
    </cfRule>
  </conditionalFormatting>
  <conditionalFormatting sqref="F6">
    <cfRule type="expression" dxfId="280" priority="1">
      <formula>AND(ISNUMBER(F6),ROUND(F6,2)=INT(ROUND(F6,2)))</formula>
    </cfRule>
    <cfRule type="expression" dxfId="281" priority="2">
      <formula>AND(ISNUMBER(F6),ROUND(F6,2)&lt;&gt;INT(ROUND(F6,2)))</formula>
    </cfRule>
  </conditionalFormatting>
  <conditionalFormatting sqref="E7">
    <cfRule type="expression" dxfId="282" priority="1">
      <formula>AND(ISNUMBER(E7),ROUND(E7,2)=INT(ROUND(E7,2)))</formula>
    </cfRule>
    <cfRule type="expression" dxfId="283" priority="2">
      <formula>AND(ISNUMBER(E7),ROUND(E7,2)&lt;&gt;INT(ROUND(E7,2)))</formula>
    </cfRule>
  </conditionalFormatting>
  <conditionalFormatting sqref="F7">
    <cfRule type="expression" dxfId="284" priority="1">
      <formula>AND(ISNUMBER(F7),ROUND(F7,2)=INT(ROUND(F7,2)))</formula>
    </cfRule>
    <cfRule type="expression" dxfId="285" priority="2">
      <formula>AND(ISNUMBER(F7),ROUND(F7,2)&lt;&gt;INT(ROUND(F7,2)))</formula>
    </cfRule>
  </conditionalFormatting>
  <conditionalFormatting sqref="E8">
    <cfRule type="expression" dxfId="286" priority="1">
      <formula>AND(ISNUMBER(E8),ROUND(E8,2)=INT(ROUND(E8,2)))</formula>
    </cfRule>
    <cfRule type="expression" dxfId="287" priority="2">
      <formula>AND(ISNUMBER(E8),ROUND(E8,2)&lt;&gt;INT(ROUND(E8,2)))</formula>
    </cfRule>
  </conditionalFormatting>
  <conditionalFormatting sqref="F8">
    <cfRule type="expression" dxfId="288" priority="1">
      <formula>AND(ISNUMBER(F8),ROUND(F8,2)=INT(ROUND(F8,2)))</formula>
    </cfRule>
    <cfRule type="expression" dxfId="289" priority="2">
      <formula>AND(ISNUMBER(F8),ROUND(F8,2)&lt;&gt;INT(ROUND(F8,2)))</formula>
    </cfRule>
  </conditionalFormatting>
  <conditionalFormatting sqref="F10">
    <cfRule type="expression" dxfId="290" priority="1">
      <formula>AND(ISNUMBER(F10),ROUND(F10,2)=INT(ROUND(F10,2)))</formula>
    </cfRule>
    <cfRule type="expression" dxfId="291" priority="2">
      <formula>AND(ISNUMBER(F10),ROUND(F10,2)&lt;&gt;INT(ROUND(F10,2)))</formula>
    </cfRule>
  </conditionalFormatting>
  <dataValidations count="6">
    <dataValidation type="decimal" operator="greaterThanOrEqual" allowBlank="1" showErrorMessage="1" error="יש להזין מספר לא שלילי" sqref="D4:D8">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s>
  <pageMargins left="0.25" right="0.25" top="0.75" bottom="0.75" header="0" footer="0.25"/>
  <pageSetup paperSize="9" orientation="portrait" fitToWidth="1" fitToHeight="0" firstPageNumber="18" useFirstPageNumber="1"/>
  <headerFooter>
    <oddFooter>&amp;Cעמוד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15</v>
      </c>
      <c r="B1" s="12" t="s">
        <v>23</v>
      </c>
      <c r="C1" s="3"/>
      <c r="D1" s="3"/>
      <c r="E1" s="3"/>
      <c r="F1" s="3"/>
      <c r="G1" s="1" t="s">
        <v>79</v>
      </c>
      <c r="H1" s="1" t="s">
        <v>93</v>
      </c>
    </row>
    <row r="2" ht="32" customHeight="1" spans="1:8" x14ac:dyDescent="0.25">
      <c r="A2" s="19" t="s">
        <v>94</v>
      </c>
      <c r="B2" s="20" t="s">
        <v>95</v>
      </c>
      <c r="C2" s="19" t="s">
        <v>96</v>
      </c>
      <c r="D2" s="19" t="s">
        <v>97</v>
      </c>
      <c r="E2" s="19" t="s">
        <v>98</v>
      </c>
      <c r="F2" s="19" t="s">
        <v>99</v>
      </c>
      <c r="G2" s="1"/>
      <c r="H2" s="1" t="s">
        <v>100</v>
      </c>
    </row>
    <row r="3" ht="99" customHeight="1" spans="1:8" x14ac:dyDescent="0.25">
      <c r="A3" s="21"/>
      <c r="B3" s="22" t="s">
        <v>351</v>
      </c>
      <c r="C3" s="21"/>
      <c r="D3" s="21"/>
      <c r="E3" s="21"/>
      <c r="F3" s="21"/>
      <c r="G3" s="4" t="s">
        <v>352</v>
      </c>
      <c r="H3" s="4" t="s">
        <v>103</v>
      </c>
    </row>
    <row r="4" ht="46.8" customHeight="1" spans="1:8" x14ac:dyDescent="0.25">
      <c r="A4" s="21" t="s">
        <v>353</v>
      </c>
      <c r="B4" s="22" t="s">
        <v>354</v>
      </c>
      <c r="C4" s="21" t="s">
        <v>114</v>
      </c>
      <c r="D4" s="21"/>
      <c r="E4" s="23"/>
      <c r="F4" s="23" t="str">
        <f>IF(ISBLANK(D4),"",IF(NOT(ISNUMBER(D4)),"קלט לא תקין",IF(D4&lt;0,"קלט לא תקין",IF(ISBLANK(E4),"",IF(OR(E4="כלול",E4="לא רלוונטי"),0,IF(NOT(ISNUMBER(E4)),"קלט לא תקין",IF(E4&lt;0,"קלט לא תקין",ROUND(D4*E4,2))))))))</f>
        <v/>
      </c>
      <c r="G4" s="4" t="s">
        <v>355</v>
      </c>
      <c r="H4" s="4" t="s">
        <v>108</v>
      </c>
    </row>
    <row r="5" ht="46.8" customHeight="1" spans="1:8" x14ac:dyDescent="0.25">
      <c r="A5" s="21" t="s">
        <v>356</v>
      </c>
      <c r="B5" s="22" t="s">
        <v>357</v>
      </c>
      <c r="C5" s="21" t="s">
        <v>141</v>
      </c>
      <c r="D5" s="21"/>
      <c r="E5" s="23"/>
      <c r="F5" s="23" t="str">
        <f>IF(ISBLANK(D5),"",IF(NOT(ISNUMBER(D5)),"קלט לא תקין",IF(D5&lt;0,"קלט לא תקין",IF(ISBLANK(E5),"",IF(OR(E5="כלול",E5="לא רלוונטי"),0,IF(NOT(ISNUMBER(E5)),"קלט לא תקין",IF(E5&lt;0,"קלט לא תקין",ROUND(D5*E5,2))))))))</f>
        <v/>
      </c>
      <c r="G5" s="4" t="s">
        <v>358</v>
      </c>
      <c r="H5" s="4" t="s">
        <v>108</v>
      </c>
    </row>
    <row r="6" ht="64.19999999999999" customHeight="1" spans="1:8" x14ac:dyDescent="0.25">
      <c r="A6" s="21" t="s">
        <v>359</v>
      </c>
      <c r="B6" s="22" t="s">
        <v>360</v>
      </c>
      <c r="C6" s="21" t="s">
        <v>141</v>
      </c>
      <c r="D6" s="21"/>
      <c r="E6" s="23"/>
      <c r="F6" s="23" t="str">
        <f>IF(ISBLANK(D6),"",IF(NOT(ISNUMBER(D6)),"קלט לא תקין",IF(D6&lt;0,"קלט לא תקין",IF(ISBLANK(E6),"",IF(OR(E6="כלול",E6="לא רלוונטי"),0,IF(NOT(ISNUMBER(E6)),"קלט לא תקין",IF(E6&lt;0,"קלט לא תקין",ROUND(D6*E6,2))))))))</f>
        <v/>
      </c>
      <c r="G6" s="4" t="s">
        <v>361</v>
      </c>
      <c r="H6" s="4" t="s">
        <v>108</v>
      </c>
    </row>
    <row r="7" ht="367.2" customHeight="1" spans="1:8" x14ac:dyDescent="0.25">
      <c r="A7" s="21"/>
      <c r="B7" s="22"/>
      <c r="C7" s="21"/>
      <c r="D7" s="21"/>
      <c r="E7" s="21"/>
      <c r="F7" s="21"/>
      <c r="G7" s="4"/>
      <c r="H7" s="4" t="s">
        <v>4</v>
      </c>
    </row>
    <row r="8" ht="32" customHeight="1" spans="1:8" x14ac:dyDescent="0.25">
      <c r="A8" s="14"/>
      <c r="B8" s="15" t="s">
        <v>362</v>
      </c>
      <c r="C8" s="16"/>
      <c r="D8" s="16"/>
      <c r="E8" s="16"/>
      <c r="F8" s="24">
        <f>SUM(F4,F5,F6)</f>
        <v>0</v>
      </c>
      <c r="G8" s="4"/>
      <c r="H8" s="4" t="s">
        <v>129</v>
      </c>
    </row>
  </sheetData>
  <mergeCells count="2">
    <mergeCell ref="B1:F1"/>
    <mergeCell ref="B8:E8"/>
  </mergeCells>
  <conditionalFormatting sqref="E4">
    <cfRule type="expression" dxfId="292" priority="1">
      <formula>AND(ISNUMBER(E4),ROUND(E4,2)=INT(ROUND(E4,2)))</formula>
    </cfRule>
    <cfRule type="expression" dxfId="293" priority="2">
      <formula>AND(ISNUMBER(E4),ROUND(E4,2)&lt;&gt;INT(ROUND(E4,2)))</formula>
    </cfRule>
  </conditionalFormatting>
  <conditionalFormatting sqref="F4">
    <cfRule type="expression" dxfId="294" priority="1">
      <formula>AND(ISNUMBER(F4),ROUND(F4,2)=INT(ROUND(F4,2)))</formula>
    </cfRule>
    <cfRule type="expression" dxfId="295" priority="2">
      <formula>AND(ISNUMBER(F4),ROUND(F4,2)&lt;&gt;INT(ROUND(F4,2)))</formula>
    </cfRule>
  </conditionalFormatting>
  <conditionalFormatting sqref="E5">
    <cfRule type="expression" dxfId="296" priority="1">
      <formula>AND(ISNUMBER(E5),ROUND(E5,2)=INT(ROUND(E5,2)))</formula>
    </cfRule>
    <cfRule type="expression" dxfId="297" priority="2">
      <formula>AND(ISNUMBER(E5),ROUND(E5,2)&lt;&gt;INT(ROUND(E5,2)))</formula>
    </cfRule>
  </conditionalFormatting>
  <conditionalFormatting sqref="F5">
    <cfRule type="expression" dxfId="298" priority="1">
      <formula>AND(ISNUMBER(F5),ROUND(F5,2)=INT(ROUND(F5,2)))</formula>
    </cfRule>
    <cfRule type="expression" dxfId="299" priority="2">
      <formula>AND(ISNUMBER(F5),ROUND(F5,2)&lt;&gt;INT(ROUND(F5,2)))</formula>
    </cfRule>
  </conditionalFormatting>
  <conditionalFormatting sqref="E6">
    <cfRule type="expression" dxfId="300" priority="1">
      <formula>AND(ISNUMBER(E6),ROUND(E6,2)=INT(ROUND(E6,2)))</formula>
    </cfRule>
    <cfRule type="expression" dxfId="301" priority="2">
      <formula>AND(ISNUMBER(E6),ROUND(E6,2)&lt;&gt;INT(ROUND(E6,2)))</formula>
    </cfRule>
  </conditionalFormatting>
  <conditionalFormatting sqref="F6">
    <cfRule type="expression" dxfId="302" priority="1">
      <formula>AND(ISNUMBER(F6),ROUND(F6,2)=INT(ROUND(F6,2)))</formula>
    </cfRule>
    <cfRule type="expression" dxfId="303" priority="2">
      <formula>AND(ISNUMBER(F6),ROUND(F6,2)&lt;&gt;INT(ROUND(F6,2)))</formula>
    </cfRule>
  </conditionalFormatting>
  <conditionalFormatting sqref="F8">
    <cfRule type="expression" dxfId="304" priority="1">
      <formula>AND(ISNUMBER(F8),ROUND(F8,2)=INT(ROUND(F8,2)))</formula>
    </cfRule>
    <cfRule type="expression" dxfId="305" priority="2">
      <formula>AND(ISNUMBER(F8),ROUND(F8,2)&lt;&gt;INT(ROUND(F8,2)))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9" useFirstPageNumber="1"/>
  <headerFooter>
    <oddFooter>&amp;Cעמוד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16</v>
      </c>
      <c r="B1" s="12" t="s">
        <v>24</v>
      </c>
      <c r="C1" s="3"/>
      <c r="D1" s="3"/>
      <c r="E1" s="3"/>
      <c r="F1" s="3"/>
      <c r="G1" s="1" t="s">
        <v>81</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363</v>
      </c>
      <c r="C3" s="21"/>
      <c r="D3" s="21"/>
      <c r="E3" s="21"/>
      <c r="F3" s="21"/>
      <c r="G3" s="4" t="s">
        <v>364</v>
      </c>
      <c r="H3" s="4" t="s">
        <v>103</v>
      </c>
    </row>
    <row r="4" ht="64.19999999999999" customHeight="1" spans="1:8" x14ac:dyDescent="0.25">
      <c r="A4" s="21" t="s">
        <v>365</v>
      </c>
      <c r="B4" s="22" t="s">
        <v>366</v>
      </c>
      <c r="C4" s="21" t="s">
        <v>106</v>
      </c>
      <c r="D4" s="21"/>
      <c r="E4" s="23"/>
      <c r="F4" s="23" t="str">
        <f>IF(ISBLANK(D4),"",IF(NOT(ISNUMBER(D4)),"קלט לא תקין",IF(D4&lt;0,"קלט לא תקין",IF(ISBLANK(E4),"",IF(OR(E4="כלול",E4="לא רלוונטי"),0,IF(NOT(ISNUMBER(E4)),"קלט לא תקין",IF(E4&lt;0,"קלט לא תקין",ROUND(D4*E4,2))))))))</f>
        <v/>
      </c>
      <c r="G4" s="4" t="s">
        <v>367</v>
      </c>
      <c r="H4" s="4" t="s">
        <v>108</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368</v>
      </c>
      <c r="C7" s="16"/>
      <c r="D7" s="16"/>
      <c r="E7" s="16"/>
      <c r="F7" s="24">
        <f>SUM(F4)</f>
        <v>0</v>
      </c>
      <c r="G7" s="4"/>
      <c r="H7" s="4" t="s">
        <v>129</v>
      </c>
    </row>
  </sheetData>
  <mergeCells count="2">
    <mergeCell ref="B1:F1"/>
    <mergeCell ref="B7:E7"/>
  </mergeCells>
  <conditionalFormatting sqref="E4">
    <cfRule type="expression" dxfId="306" priority="1">
      <formula>AND(ISNUMBER(E4),ROUND(E4,2)=INT(ROUND(E4,2)))</formula>
    </cfRule>
    <cfRule type="expression" dxfId="307" priority="2">
      <formula>AND(ISNUMBER(E4),ROUND(E4,2)&lt;&gt;INT(ROUND(E4,2)))</formula>
    </cfRule>
  </conditionalFormatting>
  <conditionalFormatting sqref="F4">
    <cfRule type="expression" dxfId="308" priority="1">
      <formula>AND(ISNUMBER(F4),ROUND(F4,2)=INT(ROUND(F4,2)))</formula>
    </cfRule>
    <cfRule type="expression" dxfId="309" priority="2">
      <formula>AND(ISNUMBER(F4),ROUND(F4,2)&lt;&gt;INT(ROUND(F4,2)))</formula>
    </cfRule>
  </conditionalFormatting>
  <conditionalFormatting sqref="F7">
    <cfRule type="expression" dxfId="310" priority="1">
      <formula>AND(ISNUMBER(F7),ROUND(F7,2)=INT(ROUND(F7,2)))</formula>
    </cfRule>
    <cfRule type="expression" dxfId="311"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0" useFirstPageNumber="1"/>
  <headerFooter>
    <oddFooter>&amp;Cעמוד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17</v>
      </c>
      <c r="B1" s="12" t="s">
        <v>25</v>
      </c>
      <c r="C1" s="3"/>
      <c r="D1" s="3"/>
      <c r="E1" s="3"/>
      <c r="F1" s="3"/>
      <c r="G1" s="1" t="s">
        <v>83</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363</v>
      </c>
      <c r="C3" s="21"/>
      <c r="D3" s="21"/>
      <c r="E3" s="21"/>
      <c r="F3" s="21"/>
      <c r="G3" s="4" t="s">
        <v>369</v>
      </c>
      <c r="H3" s="4" t="s">
        <v>103</v>
      </c>
    </row>
    <row r="4" ht="46.8" customHeight="1" spans="1:8" x14ac:dyDescent="0.25">
      <c r="A4" s="21" t="s">
        <v>370</v>
      </c>
      <c r="B4" s="22" t="s">
        <v>371</v>
      </c>
      <c r="C4" s="21" t="s">
        <v>141</v>
      </c>
      <c r="D4" s="21"/>
      <c r="E4" s="23"/>
      <c r="F4" s="23" t="str">
        <f>IF(ISBLANK(D4),"",IF(NOT(ISNUMBER(D4)),"קלט לא תקין",IF(D4&lt;0,"קלט לא תקין",IF(ISBLANK(E4),"",IF(OR(E4="כלול",E4="לא רלוונטי"),0,IF(NOT(ISNUMBER(E4)),"קלט לא תקין",IF(E4&lt;0,"קלט לא תקין",ROUND(D4*E4,2))))))))</f>
        <v/>
      </c>
      <c r="G4" s="4" t="s">
        <v>372</v>
      </c>
      <c r="H4" s="4" t="s">
        <v>108</v>
      </c>
    </row>
    <row r="5" ht="400" customHeight="1" spans="1:8" x14ac:dyDescent="0.25">
      <c r="A5" s="21"/>
      <c r="B5" s="22"/>
      <c r="C5" s="21"/>
      <c r="D5" s="21"/>
      <c r="E5" s="21"/>
      <c r="F5" s="21"/>
      <c r="G5" s="4"/>
      <c r="H5" s="4" t="s">
        <v>4</v>
      </c>
    </row>
    <row r="6" ht="113" customHeight="1" spans="1:8" x14ac:dyDescent="0.25">
      <c r="A6" s="21"/>
      <c r="B6" s="22"/>
      <c r="C6" s="21"/>
      <c r="D6" s="21"/>
      <c r="E6" s="21"/>
      <c r="F6" s="21"/>
      <c r="G6" s="4"/>
      <c r="H6" s="4" t="s">
        <v>4</v>
      </c>
    </row>
    <row r="7" ht="32" customHeight="1" spans="1:8" x14ac:dyDescent="0.25">
      <c r="A7" s="14"/>
      <c r="B7" s="15" t="s">
        <v>373</v>
      </c>
      <c r="C7" s="16"/>
      <c r="D7" s="16"/>
      <c r="E7" s="16"/>
      <c r="F7" s="24">
        <f>SUM(F4)</f>
        <v>0</v>
      </c>
      <c r="G7" s="4"/>
      <c r="H7" s="4" t="s">
        <v>129</v>
      </c>
    </row>
  </sheetData>
  <mergeCells count="2">
    <mergeCell ref="B1:F1"/>
    <mergeCell ref="B7:E7"/>
  </mergeCells>
  <conditionalFormatting sqref="E4">
    <cfRule type="expression" dxfId="312" priority="1">
      <formula>AND(ISNUMBER(E4),ROUND(E4,2)=INT(ROUND(E4,2)))</formula>
    </cfRule>
    <cfRule type="expression" dxfId="313" priority="2">
      <formula>AND(ISNUMBER(E4),ROUND(E4,2)&lt;&gt;INT(ROUND(E4,2)))</formula>
    </cfRule>
  </conditionalFormatting>
  <conditionalFormatting sqref="F4">
    <cfRule type="expression" dxfId="314" priority="1">
      <formula>AND(ISNUMBER(F4),ROUND(F4,2)=INT(ROUND(F4,2)))</formula>
    </cfRule>
    <cfRule type="expression" dxfId="315" priority="2">
      <formula>AND(ISNUMBER(F4),ROUND(F4,2)&lt;&gt;INT(ROUND(F4,2)))</formula>
    </cfRule>
  </conditionalFormatting>
  <conditionalFormatting sqref="F7">
    <cfRule type="expression" dxfId="316" priority="1">
      <formula>AND(ISNUMBER(F7),ROUND(F7,2)=INT(ROUND(F7,2)))</formula>
    </cfRule>
    <cfRule type="expression" dxfId="317"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1" useFirstPageNumber="1"/>
  <headerFooter>
    <oddFooter>&amp;Cעמוד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18</v>
      </c>
      <c r="B1" s="12" t="s">
        <v>26</v>
      </c>
      <c r="C1" s="3"/>
      <c r="D1" s="3"/>
      <c r="E1" s="3"/>
      <c r="F1" s="3"/>
      <c r="G1" s="1" t="s">
        <v>85</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374</v>
      </c>
      <c r="C3" s="21"/>
      <c r="D3" s="21"/>
      <c r="E3" s="21"/>
      <c r="F3" s="21"/>
      <c r="G3" s="4" t="s">
        <v>375</v>
      </c>
      <c r="H3" s="4" t="s">
        <v>103</v>
      </c>
    </row>
    <row r="4" ht="64.19999999999999" customHeight="1" spans="1:8" x14ac:dyDescent="0.25">
      <c r="A4" s="21" t="s">
        <v>376</v>
      </c>
      <c r="B4" s="22" t="s">
        <v>377</v>
      </c>
      <c r="C4" s="21" t="s">
        <v>157</v>
      </c>
      <c r="D4" s="21"/>
      <c r="E4" s="23"/>
      <c r="F4" s="23" t="str">
        <f>IF(ISBLANK(D4),"",IF(NOT(ISNUMBER(D4)),"קלט לא תקין",IF(D4&lt;0,"קלט לא תקין",IF(ISBLANK(E4),"",IF(OR(E4="כלול",E4="לא רלוונטי"),0,IF(NOT(ISNUMBER(E4)),"קלט לא תקין",IF(E4&lt;0,"קלט לא תקין",ROUND(D4*E4,2))))))))</f>
        <v/>
      </c>
      <c r="G4" s="4" t="s">
        <v>378</v>
      </c>
      <c r="H4" s="4" t="s">
        <v>108</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379</v>
      </c>
      <c r="C7" s="16"/>
      <c r="D7" s="16"/>
      <c r="E7" s="16"/>
      <c r="F7" s="24">
        <f>SUM(F4)</f>
        <v>0</v>
      </c>
      <c r="G7" s="4"/>
      <c r="H7" s="4" t="s">
        <v>129</v>
      </c>
    </row>
  </sheetData>
  <mergeCells count="2">
    <mergeCell ref="B1:F1"/>
    <mergeCell ref="B7:E7"/>
  </mergeCells>
  <conditionalFormatting sqref="E4">
    <cfRule type="expression" dxfId="318" priority="1">
      <formula>AND(ISNUMBER(E4),ROUND(E4,2)=INT(ROUND(E4,2)))</formula>
    </cfRule>
    <cfRule type="expression" dxfId="319" priority="2">
      <formula>AND(ISNUMBER(E4),ROUND(E4,2)&lt;&gt;INT(ROUND(E4,2)))</formula>
    </cfRule>
  </conditionalFormatting>
  <conditionalFormatting sqref="F4">
    <cfRule type="expression" dxfId="320" priority="1">
      <formula>AND(ISNUMBER(F4),ROUND(F4,2)=INT(ROUND(F4,2)))</formula>
    </cfRule>
    <cfRule type="expression" dxfId="321" priority="2">
      <formula>AND(ISNUMBER(F4),ROUND(F4,2)&lt;&gt;INT(ROUND(F4,2)))</formula>
    </cfRule>
  </conditionalFormatting>
  <conditionalFormatting sqref="F7">
    <cfRule type="expression" dxfId="322" priority="1">
      <formula>AND(ISNUMBER(F7),ROUND(F7,2)=INT(ROUND(F7,2)))</formula>
    </cfRule>
    <cfRule type="expression" dxfId="323"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2" useFirstPageNumber="1"/>
  <headerFooter>
    <oddFooter>&amp;Cעמוד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19</v>
      </c>
      <c r="B1" s="12" t="s">
        <v>27</v>
      </c>
      <c r="C1" s="3"/>
      <c r="D1" s="3"/>
      <c r="E1" s="3"/>
      <c r="F1" s="3"/>
      <c r="G1" s="1" t="s">
        <v>87</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363</v>
      </c>
      <c r="C3" s="21"/>
      <c r="D3" s="21"/>
      <c r="E3" s="21"/>
      <c r="F3" s="21"/>
      <c r="G3" s="4" t="s">
        <v>380</v>
      </c>
      <c r="H3" s="4" t="s">
        <v>103</v>
      </c>
    </row>
    <row r="4" ht="46.8" customHeight="1" spans="1:8" x14ac:dyDescent="0.25">
      <c r="A4" s="21" t="s">
        <v>381</v>
      </c>
      <c r="B4" s="22" t="s">
        <v>382</v>
      </c>
      <c r="C4" s="21" t="s">
        <v>106</v>
      </c>
      <c r="D4" s="21"/>
      <c r="E4" s="23"/>
      <c r="F4" s="23" t="str">
        <f>IF(ISBLANK(D4),"",IF(NOT(ISNUMBER(D4)),"קלט לא תקין",IF(D4&lt;0,"קלט לא תקין",IF(ISBLANK(E4),"",IF(OR(E4="כלול",E4="לא רלוונטי"),0,IF(NOT(ISNUMBER(E4)),"קלט לא תקין",IF(E4&lt;0,"קלט לא תקין",ROUND(D4*E4,2))))))))</f>
        <v/>
      </c>
      <c r="G4" s="4" t="s">
        <v>383</v>
      </c>
      <c r="H4" s="4" t="s">
        <v>108</v>
      </c>
    </row>
    <row r="5" ht="46.8" customHeight="1" spans="1:8" x14ac:dyDescent="0.25">
      <c r="A5" s="21" t="s">
        <v>384</v>
      </c>
      <c r="B5" s="22" t="s">
        <v>385</v>
      </c>
      <c r="C5" s="21" t="s">
        <v>106</v>
      </c>
      <c r="D5" s="21"/>
      <c r="E5" s="23"/>
      <c r="F5" s="23" t="str">
        <f>IF(ISBLANK(D5),"",IF(NOT(ISNUMBER(D5)),"קלט לא תקין",IF(D5&lt;0,"קלט לא תקין",IF(ISBLANK(E5),"",IF(OR(E5="כלול",E5="לא רלוונטי"),0,IF(NOT(ISNUMBER(E5)),"קלט לא תקין",IF(E5&lt;0,"קלט לא תקין",ROUND(D5*E5,2))))))))</f>
        <v/>
      </c>
      <c r="G5" s="4" t="s">
        <v>386</v>
      </c>
      <c r="H5" s="4" t="s">
        <v>108</v>
      </c>
    </row>
    <row r="6" ht="400" customHeight="1" spans="1:8" x14ac:dyDescent="0.25">
      <c r="A6" s="21"/>
      <c r="B6" s="22"/>
      <c r="C6" s="21"/>
      <c r="D6" s="21"/>
      <c r="E6" s="21"/>
      <c r="F6" s="21"/>
      <c r="G6" s="4"/>
      <c r="H6" s="4" t="s">
        <v>4</v>
      </c>
    </row>
    <row r="7" ht="66.20000000000005" customHeight="1" spans="1:8" x14ac:dyDescent="0.25">
      <c r="A7" s="21"/>
      <c r="B7" s="22"/>
      <c r="C7" s="21"/>
      <c r="D7" s="21"/>
      <c r="E7" s="21"/>
      <c r="F7" s="21"/>
      <c r="G7" s="4"/>
      <c r="H7" s="4" t="s">
        <v>4</v>
      </c>
    </row>
    <row r="8" ht="32" customHeight="1" spans="1:8" x14ac:dyDescent="0.25">
      <c r="A8" s="14"/>
      <c r="B8" s="15" t="s">
        <v>387</v>
      </c>
      <c r="C8" s="16"/>
      <c r="D8" s="16"/>
      <c r="E8" s="16"/>
      <c r="F8" s="24">
        <f>SUM(F4,F5)</f>
        <v>0</v>
      </c>
      <c r="G8" s="4"/>
      <c r="H8" s="4" t="s">
        <v>129</v>
      </c>
    </row>
  </sheetData>
  <mergeCells count="2">
    <mergeCell ref="B1:F1"/>
    <mergeCell ref="B8:E8"/>
  </mergeCells>
  <conditionalFormatting sqref="E4">
    <cfRule type="expression" dxfId="324" priority="1">
      <formula>AND(ISNUMBER(E4),ROUND(E4,2)=INT(ROUND(E4,2)))</formula>
    </cfRule>
    <cfRule type="expression" dxfId="325" priority="2">
      <formula>AND(ISNUMBER(E4),ROUND(E4,2)&lt;&gt;INT(ROUND(E4,2)))</formula>
    </cfRule>
  </conditionalFormatting>
  <conditionalFormatting sqref="F4">
    <cfRule type="expression" dxfId="326" priority="1">
      <formula>AND(ISNUMBER(F4),ROUND(F4,2)=INT(ROUND(F4,2)))</formula>
    </cfRule>
    <cfRule type="expression" dxfId="327" priority="2">
      <formula>AND(ISNUMBER(F4),ROUND(F4,2)&lt;&gt;INT(ROUND(F4,2)))</formula>
    </cfRule>
  </conditionalFormatting>
  <conditionalFormatting sqref="E5">
    <cfRule type="expression" dxfId="328" priority="1">
      <formula>AND(ISNUMBER(E5),ROUND(E5,2)=INT(ROUND(E5,2)))</formula>
    </cfRule>
    <cfRule type="expression" dxfId="329" priority="2">
      <formula>AND(ISNUMBER(E5),ROUND(E5,2)&lt;&gt;INT(ROUND(E5,2)))</formula>
    </cfRule>
  </conditionalFormatting>
  <conditionalFormatting sqref="F5">
    <cfRule type="expression" dxfId="330" priority="1">
      <formula>AND(ISNUMBER(F5),ROUND(F5,2)=INT(ROUND(F5,2)))</formula>
    </cfRule>
    <cfRule type="expression" dxfId="331" priority="2">
      <formula>AND(ISNUMBER(F5),ROUND(F5,2)&lt;&gt;INT(ROUND(F5,2)))</formula>
    </cfRule>
  </conditionalFormatting>
  <conditionalFormatting sqref="F8">
    <cfRule type="expression" dxfId="332" priority="1">
      <formula>AND(ISNUMBER(F8),ROUND(F8,2)=INT(ROUND(F8,2)))</formula>
    </cfRule>
    <cfRule type="expression" dxfId="333"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23" useFirstPageNumber="1"/>
  <headerFooter>
    <oddFooter>&amp;Cעמוד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20</v>
      </c>
      <c r="B1" s="12" t="s">
        <v>28</v>
      </c>
      <c r="C1" s="3"/>
      <c r="D1" s="3"/>
      <c r="E1" s="3"/>
      <c r="F1" s="3"/>
      <c r="G1" s="1" t="s">
        <v>89</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363</v>
      </c>
      <c r="C3" s="21"/>
      <c r="D3" s="21"/>
      <c r="E3" s="21"/>
      <c r="F3" s="21"/>
      <c r="G3" s="4" t="s">
        <v>388</v>
      </c>
      <c r="H3" s="4" t="s">
        <v>103</v>
      </c>
    </row>
    <row r="4" ht="64.19999999999999" customHeight="1" spans="1:8" x14ac:dyDescent="0.25">
      <c r="A4" s="21" t="s">
        <v>389</v>
      </c>
      <c r="B4" s="22" t="s">
        <v>390</v>
      </c>
      <c r="C4" s="21" t="s">
        <v>141</v>
      </c>
      <c r="D4" s="21"/>
      <c r="E4" s="23"/>
      <c r="F4" s="23" t="str">
        <f>IF(ISBLANK(D4),"",IF(NOT(ISNUMBER(D4)),"קלט לא תקין",IF(D4&lt;0,"קלט לא תקין",IF(ISBLANK(E4),"",IF(OR(E4="כלול",E4="לא רלוונטי"),0,IF(NOT(ISNUMBER(E4)),"קלט לא תקין",IF(E4&lt;0,"קלט לא תקין",ROUND(D4*E4,2))))))))</f>
        <v/>
      </c>
      <c r="G4" s="4" t="s">
        <v>391</v>
      </c>
      <c r="H4" s="4" t="s">
        <v>108</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392</v>
      </c>
      <c r="C7" s="16"/>
      <c r="D7" s="16"/>
      <c r="E7" s="16"/>
      <c r="F7" s="24">
        <f>SUM(F4)</f>
        <v>0</v>
      </c>
      <c r="G7" s="4"/>
      <c r="H7" s="4" t="s">
        <v>129</v>
      </c>
    </row>
  </sheetData>
  <mergeCells count="2">
    <mergeCell ref="B1:F1"/>
    <mergeCell ref="B7:E7"/>
  </mergeCells>
  <conditionalFormatting sqref="E4">
    <cfRule type="expression" dxfId="334" priority="1">
      <formula>AND(ISNUMBER(E4),ROUND(E4,2)=INT(ROUND(E4,2)))</formula>
    </cfRule>
    <cfRule type="expression" dxfId="335" priority="2">
      <formula>AND(ISNUMBER(E4),ROUND(E4,2)&lt;&gt;INT(ROUND(E4,2)))</formula>
    </cfRule>
  </conditionalFormatting>
  <conditionalFormatting sqref="F4">
    <cfRule type="expression" dxfId="336" priority="1">
      <formula>AND(ISNUMBER(F4),ROUND(F4,2)=INT(ROUND(F4,2)))</formula>
    </cfRule>
    <cfRule type="expression" dxfId="337" priority="2">
      <formula>AND(ISNUMBER(F4),ROUND(F4,2)&lt;&gt;INT(ROUND(F4,2)))</formula>
    </cfRule>
  </conditionalFormatting>
  <conditionalFormatting sqref="F7">
    <cfRule type="expression" dxfId="338" priority="1">
      <formula>AND(ISNUMBER(F7),ROUND(F7,2)=INT(ROUND(F7,2)))</formula>
    </cfRule>
    <cfRule type="expression" dxfId="339"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4" useFirstPageNumber="1"/>
  <headerFooter>
    <oddFooter>&amp;Cעמוד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21</v>
      </c>
      <c r="B1" s="12" t="s">
        <v>30</v>
      </c>
      <c r="C1" s="3"/>
      <c r="D1" s="3"/>
      <c r="E1" s="3"/>
      <c r="F1" s="3"/>
      <c r="G1" s="1" t="s">
        <v>91</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393</v>
      </c>
      <c r="C3" s="21"/>
      <c r="D3" s="21"/>
      <c r="E3" s="21"/>
      <c r="F3" s="21"/>
      <c r="G3" s="4" t="s">
        <v>394</v>
      </c>
      <c r="H3" s="4" t="s">
        <v>103</v>
      </c>
    </row>
    <row r="4" ht="46.8" customHeight="1" spans="1:8" x14ac:dyDescent="0.25">
      <c r="A4" s="21" t="s">
        <v>395</v>
      </c>
      <c r="B4" s="22" t="s">
        <v>396</v>
      </c>
      <c r="C4" s="21" t="s">
        <v>141</v>
      </c>
      <c r="D4" s="21"/>
      <c r="E4" s="23"/>
      <c r="F4" s="23" t="str">
        <f>IF(ISBLANK(D4),"",IF(NOT(ISNUMBER(D4)),"קלט לא תקין",IF(D4&lt;0,"קלט לא תקין",IF(ISBLANK(E4),"",IF(OR(E4="כלול",E4="לא רלוונטי"),0,IF(NOT(ISNUMBER(E4)),"קלט לא תקין",IF(E4&lt;0,"קלט לא תקין",ROUND(D4*E4,2))))))))</f>
        <v/>
      </c>
      <c r="G4" s="4" t="s">
        <v>397</v>
      </c>
      <c r="H4" s="4" t="s">
        <v>108</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398</v>
      </c>
      <c r="C7" s="16"/>
      <c r="D7" s="16"/>
      <c r="E7" s="16"/>
      <c r="F7" s="24">
        <f>SUM(F4)</f>
        <v>0</v>
      </c>
      <c r="G7" s="4"/>
      <c r="H7" s="4" t="s">
        <v>129</v>
      </c>
    </row>
  </sheetData>
  <mergeCells count="2">
    <mergeCell ref="B1:F1"/>
    <mergeCell ref="B7:E7"/>
  </mergeCells>
  <conditionalFormatting sqref="E4">
    <cfRule type="expression" dxfId="340" priority="1">
      <formula>AND(ISNUMBER(E4),ROUND(E4,2)=INT(ROUND(E4,2)))</formula>
    </cfRule>
    <cfRule type="expression" dxfId="341" priority="2">
      <formula>AND(ISNUMBER(E4),ROUND(E4,2)&lt;&gt;INT(ROUND(E4,2)))</formula>
    </cfRule>
  </conditionalFormatting>
  <conditionalFormatting sqref="F4">
    <cfRule type="expression" dxfId="342" priority="1">
      <formula>AND(ISNUMBER(F4),ROUND(F4,2)=INT(ROUND(F4,2)))</formula>
    </cfRule>
    <cfRule type="expression" dxfId="343" priority="2">
      <formula>AND(ISNUMBER(F4),ROUND(F4,2)&lt;&gt;INT(ROUND(F4,2)))</formula>
    </cfRule>
  </conditionalFormatting>
  <conditionalFormatting sqref="F7">
    <cfRule type="expression" dxfId="344" priority="1">
      <formula>AND(ISNUMBER(F7),ROUND(F7,2)=INT(ROUND(F7,2)))</formula>
    </cfRule>
    <cfRule type="expression" dxfId="345"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5" useFirstPageNumber="1"/>
  <headerFooter>
    <oddFooter>&amp;Cעמוד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0" customHeight="1" spans="1:6" x14ac:dyDescent="0.25">
      <c r="A1" s="1"/>
      <c r="B1" s="12" t="s">
        <v>399</v>
      </c>
      <c r="C1" s="3"/>
      <c r="D1" s="3"/>
      <c r="E1" s="3"/>
      <c r="F1" s="3"/>
    </row>
    <row r="2" ht="30" customHeight="1" spans="1:6" x14ac:dyDescent="0.25">
      <c r="A2" s="28" t="s">
        <v>6</v>
      </c>
      <c r="B2" s="29" t="s">
        <v>400</v>
      </c>
      <c r="C2" s="30"/>
      <c r="D2" s="30"/>
      <c r="E2" s="28" t="s">
        <v>99</v>
      </c>
      <c r="F2" s="30"/>
    </row>
    <row r="3" ht="24" customHeight="1" spans="1:6" x14ac:dyDescent="0.25">
      <c r="A3" s="31">
        <v>1</v>
      </c>
      <c r="B3" s="32" t="s">
        <v>9</v>
      </c>
      <c r="C3" s="33"/>
      <c r="D3" s="33"/>
      <c r="E3" s="34">
        <f>'פירוק והריסה'!F12</f>
        <v>0</v>
      </c>
      <c r="F3" s="35"/>
    </row>
    <row r="4" ht="24" customHeight="1" spans="1:6" x14ac:dyDescent="0.25">
      <c r="A4" s="31">
        <v>2</v>
      </c>
      <c r="B4" s="32" t="s">
        <v>10</v>
      </c>
      <c r="C4" s="33"/>
      <c r="D4" s="33"/>
      <c r="E4" s="34">
        <f>'מחיצות והכנות לדלפק'!F10</f>
        <v>0</v>
      </c>
      <c r="F4" s="35"/>
    </row>
    <row r="5" ht="24" customHeight="1" spans="1:6" x14ac:dyDescent="0.25">
      <c r="A5" s="31">
        <v>3</v>
      </c>
      <c r="B5" s="32" t="s">
        <v>11</v>
      </c>
      <c r="C5" s="33"/>
      <c r="D5" s="33"/>
      <c r="E5" s="34">
        <f>'אינסטלציה ותברואה'!F12</f>
        <v>0</v>
      </c>
      <c r="F5" s="35"/>
    </row>
    <row r="6" ht="24" customHeight="1" spans="1:6" x14ac:dyDescent="0.25">
      <c r="A6" s="31">
        <v>4</v>
      </c>
      <c r="B6" s="32" t="s">
        <v>12</v>
      </c>
      <c r="C6" s="33"/>
      <c r="D6" s="33"/>
      <c r="E6" s="34">
        <f>'חשמל והכנות תקשורת'!F15</f>
        <v>0</v>
      </c>
      <c r="F6" s="35"/>
    </row>
    <row r="7" ht="24" customHeight="1" spans="1:6" x14ac:dyDescent="0.25">
      <c r="A7" s="31">
        <v>5</v>
      </c>
      <c r="B7" s="32" t="s">
        <v>13</v>
      </c>
      <c r="C7" s="33"/>
      <c r="D7" s="33"/>
      <c r="E7" s="34">
        <f>'הכנות רצפה והגבהות'!F7</f>
        <v>0</v>
      </c>
      <c r="F7" s="35"/>
    </row>
    <row r="8" ht="24" customHeight="1" spans="1:6" x14ac:dyDescent="0.25">
      <c r="A8" s="31">
        <v>6</v>
      </c>
      <c r="B8" s="32" t="s">
        <v>14</v>
      </c>
      <c r="C8" s="33"/>
      <c r="D8" s="33"/>
      <c r="E8" s="34">
        <f>'איטום'!F7</f>
        <v>0</v>
      </c>
      <c r="F8" s="35"/>
    </row>
    <row r="9" ht="24" customHeight="1" spans="1:6" x14ac:dyDescent="0.25">
      <c r="A9" s="31">
        <v>7</v>
      </c>
      <c r="B9" s="32" t="s">
        <v>15</v>
      </c>
      <c r="C9" s="33"/>
      <c r="D9" s="33"/>
      <c r="E9" s="34">
        <f>'דלתות בחנות או בחדר שירות'!F7</f>
        <v>0</v>
      </c>
      <c r="F9" s="35"/>
    </row>
    <row r="10" ht="24" customHeight="1" spans="1:6" x14ac:dyDescent="0.25">
      <c r="A10" s="31">
        <v>8</v>
      </c>
      <c r="B10" s="32" t="s">
        <v>16</v>
      </c>
      <c r="C10" s="33"/>
      <c r="D10" s="33"/>
      <c r="E10" s="34">
        <f>'ריצוף וחיפוי הדלפק'!F11</f>
        <v>0</v>
      </c>
      <c r="F10" s="35"/>
    </row>
    <row r="11" ht="24" customHeight="1" spans="1:6" x14ac:dyDescent="0.25">
      <c r="A11" s="31">
        <v>9</v>
      </c>
      <c r="B11" s="32" t="s">
        <v>17</v>
      </c>
      <c r="C11" s="33"/>
      <c r="D11" s="33"/>
      <c r="E11" s="34">
        <f>'תקרה וקרניזים לדוכן'!F8</f>
        <v>0</v>
      </c>
      <c r="F11" s="35"/>
    </row>
    <row r="12" ht="24" customHeight="1" spans="1:6" x14ac:dyDescent="0.25">
      <c r="A12" s="31">
        <v>10</v>
      </c>
      <c r="B12" s="32" t="s">
        <v>18</v>
      </c>
      <c r="C12" s="33"/>
      <c r="D12" s="33"/>
      <c r="E12" s="34">
        <f>'צבע וגמר'!F8</f>
        <v>0</v>
      </c>
      <c r="F12" s="35"/>
    </row>
    <row r="13" ht="24" customHeight="1" spans="1:6" x14ac:dyDescent="0.25">
      <c r="A13" s="31">
        <v>11</v>
      </c>
      <c r="B13" s="32" t="s">
        <v>19</v>
      </c>
      <c r="C13" s="33"/>
      <c r="D13" s="33"/>
      <c r="E13" s="34">
        <f>'נגרות ביפרש'!F11</f>
        <v>0</v>
      </c>
      <c r="F13" s="35"/>
    </row>
    <row r="14" ht="24" customHeight="1" spans="1:6" x14ac:dyDescent="0.25">
      <c r="A14" s="31">
        <v>12</v>
      </c>
      <c r="B14" s="32" t="s">
        <v>20</v>
      </c>
      <c r="C14" s="33"/>
      <c r="D14" s="33"/>
      <c r="E14" s="34">
        <f>'מסגרות ביפרש'!F17</f>
        <v>0</v>
      </c>
      <c r="F14" s="35"/>
    </row>
    <row r="15" ht="24" customHeight="1" spans="1:6" x14ac:dyDescent="0.25">
      <c r="A15" s="31">
        <v>13</v>
      </c>
      <c r="B15" s="32" t="s">
        <v>21</v>
      </c>
      <c r="C15" s="33"/>
      <c r="D15" s="33"/>
      <c r="E15" s="34">
        <f>'זיגוג וחופת דלפק'!F9</f>
        <v>0</v>
      </c>
      <c r="F15" s="35"/>
    </row>
    <row r="16" ht="24" customHeight="1" spans="1:6" x14ac:dyDescent="0.25">
      <c r="A16" s="31">
        <v>14</v>
      </c>
      <c r="B16" s="32" t="s">
        <v>22</v>
      </c>
      <c r="C16" s="33"/>
      <c r="D16" s="33"/>
      <c r="E16" s="34">
        <f>'משטחים ודפנות מיוחדים'!F10</f>
        <v>0</v>
      </c>
      <c r="F16" s="35"/>
    </row>
    <row r="17" ht="24" customHeight="1" spans="1:6" x14ac:dyDescent="0.25">
      <c r="A17" s="31">
        <v>15</v>
      </c>
      <c r="B17" s="32" t="s">
        <v>23</v>
      </c>
      <c r="C17" s="33"/>
      <c r="D17" s="33"/>
      <c r="E17" s="34">
        <f>'אספקות גמר נפרדות'!F8</f>
        <v>0</v>
      </c>
      <c r="F17" s="35"/>
    </row>
    <row r="18" ht="24" customHeight="1" spans="1:6" x14ac:dyDescent="0.25">
      <c r="A18" s="31">
        <v>16</v>
      </c>
      <c r="B18" s="32" t="s">
        <v>24</v>
      </c>
      <c r="C18" s="33"/>
      <c r="D18" s="33"/>
      <c r="E18" s="34">
        <f>'מיזוג ואוורור'!F7</f>
        <v>0</v>
      </c>
      <c r="F18" s="35"/>
    </row>
    <row r="19" ht="24" customHeight="1" spans="1:6" x14ac:dyDescent="0.25">
      <c r="A19" s="31">
        <v>17</v>
      </c>
      <c r="B19" s="32" t="s">
        <v>25</v>
      </c>
      <c r="C19" s="33"/>
      <c r="D19" s="33"/>
      <c r="E19" s="34">
        <f>'ציוד מטבח ונירוסטה'!F7</f>
        <v>0</v>
      </c>
      <c r="F19" s="35"/>
    </row>
    <row r="20" ht="24" customHeight="1" spans="1:6" x14ac:dyDescent="0.25">
      <c r="A20" s="31">
        <v>18</v>
      </c>
      <c r="B20" s="32" t="s">
        <v>26</v>
      </c>
      <c r="C20" s="33"/>
      <c r="D20" s="33"/>
      <c r="E20" s="34">
        <f>'הכנות ומערכת גז'!F7</f>
        <v>0</v>
      </c>
      <c r="F20" s="35"/>
    </row>
    <row r="21" ht="24" customHeight="1" spans="1:6" x14ac:dyDescent="0.25">
      <c r="A21" s="31">
        <v>19</v>
      </c>
      <c r="B21" s="32" t="s">
        <v>27</v>
      </c>
      <c r="C21" s="33"/>
      <c r="D21" s="33"/>
      <c r="E21" s="34">
        <f>'כיבוי וגילוי'!F8</f>
        <v>0</v>
      </c>
      <c r="F21" s="35"/>
    </row>
    <row r="22" ht="24" customHeight="1" spans="1:6" x14ac:dyDescent="0.25">
      <c r="A22" s="31">
        <v>20</v>
      </c>
      <c r="B22" s="32" t="s">
        <v>28</v>
      </c>
      <c r="C22" s="33"/>
      <c r="D22" s="33"/>
      <c r="E22" s="34">
        <f>'שילוט ומיתוג'!F7</f>
        <v>0</v>
      </c>
      <c r="F22" s="35"/>
    </row>
    <row r="23" ht="24" customHeight="1" spans="1:6" x14ac:dyDescent="0.25">
      <c r="A23" s="31">
        <v>21</v>
      </c>
      <c r="B23" s="32" t="s">
        <v>30</v>
      </c>
      <c r="C23" s="33"/>
      <c r="D23" s="33"/>
      <c r="E23" s="34">
        <f>'ריהוט נייד'!F7</f>
        <v>0</v>
      </c>
      <c r="F23" s="35"/>
    </row>
    <row r="24" ht="24" customHeight="1" spans="1:6" x14ac:dyDescent="0.25">
      <c r="A24" s="4"/>
      <c r="B24" s="36" t="s">
        <v>401</v>
      </c>
      <c r="C24" s="37"/>
      <c r="D24" s="37"/>
      <c r="E24" s="37"/>
      <c r="F24" s="37"/>
    </row>
    <row r="25" ht="32" customHeight="1" spans="1:6" x14ac:dyDescent="0.25">
      <c r="A25" s="4"/>
      <c r="B25" s="38" t="s">
        <v>99</v>
      </c>
      <c r="C25" s="39"/>
      <c r="D25" s="39"/>
      <c r="E25" s="40">
        <f>SUM(E3:E23)</f>
        <v>0</v>
      </c>
      <c r="F25" s="41"/>
    </row>
    <row r="26" ht="32" customHeight="1" spans="1:6" x14ac:dyDescent="0.25">
      <c r="A26" s="4"/>
      <c r="B26" s="42" t="str">
        <f>IF(ISNUMBER('שער'!F14),"מע"&amp;CHAR(34)&amp;"מ ("&amp;'שער'!F14&amp;"%)","מע"&amp;CHAR(34)&amp;"מ (לא הוגדר)")</f>
        <v>מע״מ (18%)</v>
      </c>
      <c r="C26" s="43"/>
      <c r="D26" s="43"/>
      <c r="E26" s="44">
        <f>IF(ISBLANK('שער'!F14),"",IF(ISNUMBER('שער'!F14),ROUND(E25*'שער'!F14/100,2),"קלט לא תקין"))</f>
        <v>0</v>
      </c>
      <c r="F26" s="45"/>
    </row>
    <row r="27" ht="32" customHeight="1" spans="1:6" x14ac:dyDescent="0.25">
      <c r="A27" s="4"/>
      <c r="B27" s="46" t="s">
        <v>402</v>
      </c>
      <c r="C27" s="47"/>
      <c r="D27" s="47"/>
      <c r="E27" s="48">
        <f>IF(ISNUMBER(E26),SUM(E25,E26),"")</f>
        <v>0</v>
      </c>
      <c r="F27" s="49"/>
    </row>
  </sheetData>
  <mergeCells count="52">
    <mergeCell ref="B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D10"/>
    <mergeCell ref="E10:F10"/>
    <mergeCell ref="B11:D11"/>
    <mergeCell ref="E11:F11"/>
    <mergeCell ref="B12:D12"/>
    <mergeCell ref="E12:F12"/>
    <mergeCell ref="B13:D13"/>
    <mergeCell ref="E13:F13"/>
    <mergeCell ref="B14:D14"/>
    <mergeCell ref="E14:F14"/>
    <mergeCell ref="B15:D15"/>
    <mergeCell ref="E15:F15"/>
    <mergeCell ref="B16:D16"/>
    <mergeCell ref="E16:F16"/>
    <mergeCell ref="B17:D17"/>
    <mergeCell ref="E17:F17"/>
    <mergeCell ref="B18:D18"/>
    <mergeCell ref="E18:F18"/>
    <mergeCell ref="B19:D19"/>
    <mergeCell ref="E19:F19"/>
    <mergeCell ref="B20:D20"/>
    <mergeCell ref="E20:F20"/>
    <mergeCell ref="B21:D21"/>
    <mergeCell ref="E21:F21"/>
    <mergeCell ref="B22:D22"/>
    <mergeCell ref="E22:F22"/>
    <mergeCell ref="B23:D23"/>
    <mergeCell ref="E23:F23"/>
    <mergeCell ref="B24:F24"/>
    <mergeCell ref="B25:D25"/>
    <mergeCell ref="E25:F25"/>
    <mergeCell ref="B26:D26"/>
    <mergeCell ref="E26:F26"/>
    <mergeCell ref="B27:D27"/>
    <mergeCell ref="E27:F27"/>
  </mergeCells>
  <conditionalFormatting sqref="E3">
    <cfRule type="expression" dxfId="346" priority="1">
      <formula>AND(ISNUMBER(E3),ROUND(E3,2)=INT(ROUND(E3,2)))</formula>
    </cfRule>
    <cfRule type="expression" dxfId="347" priority="2">
      <formula>AND(ISNUMBER(E3),ROUND(E3,2)&lt;&gt;INT(ROUND(E3,2)))</formula>
    </cfRule>
  </conditionalFormatting>
  <conditionalFormatting sqref="E4">
    <cfRule type="expression" dxfId="348" priority="1">
      <formula>AND(ISNUMBER(E4),ROUND(E4,2)=INT(ROUND(E4,2)))</formula>
    </cfRule>
    <cfRule type="expression" dxfId="349" priority="2">
      <formula>AND(ISNUMBER(E4),ROUND(E4,2)&lt;&gt;INT(ROUND(E4,2)))</formula>
    </cfRule>
  </conditionalFormatting>
  <conditionalFormatting sqref="E5">
    <cfRule type="expression" dxfId="350" priority="1">
      <formula>AND(ISNUMBER(E5),ROUND(E5,2)=INT(ROUND(E5,2)))</formula>
    </cfRule>
    <cfRule type="expression" dxfId="351" priority="2">
      <formula>AND(ISNUMBER(E5),ROUND(E5,2)&lt;&gt;INT(ROUND(E5,2)))</formula>
    </cfRule>
  </conditionalFormatting>
  <conditionalFormatting sqref="E6">
    <cfRule type="expression" dxfId="352" priority="1">
      <formula>AND(ISNUMBER(E6),ROUND(E6,2)=INT(ROUND(E6,2)))</formula>
    </cfRule>
    <cfRule type="expression" dxfId="353" priority="2">
      <formula>AND(ISNUMBER(E6),ROUND(E6,2)&lt;&gt;INT(ROUND(E6,2)))</formula>
    </cfRule>
  </conditionalFormatting>
  <conditionalFormatting sqref="E7">
    <cfRule type="expression" dxfId="354" priority="1">
      <formula>AND(ISNUMBER(E7),ROUND(E7,2)=INT(ROUND(E7,2)))</formula>
    </cfRule>
    <cfRule type="expression" dxfId="355" priority="2">
      <formula>AND(ISNUMBER(E7),ROUND(E7,2)&lt;&gt;INT(ROUND(E7,2)))</formula>
    </cfRule>
  </conditionalFormatting>
  <conditionalFormatting sqref="E8">
    <cfRule type="expression" dxfId="356" priority="1">
      <formula>AND(ISNUMBER(E8),ROUND(E8,2)=INT(ROUND(E8,2)))</formula>
    </cfRule>
    <cfRule type="expression" dxfId="357" priority="2">
      <formula>AND(ISNUMBER(E8),ROUND(E8,2)&lt;&gt;INT(ROUND(E8,2)))</formula>
    </cfRule>
  </conditionalFormatting>
  <conditionalFormatting sqref="E9">
    <cfRule type="expression" dxfId="358" priority="1">
      <formula>AND(ISNUMBER(E9),ROUND(E9,2)=INT(ROUND(E9,2)))</formula>
    </cfRule>
    <cfRule type="expression" dxfId="359" priority="2">
      <formula>AND(ISNUMBER(E9),ROUND(E9,2)&lt;&gt;INT(ROUND(E9,2)))</formula>
    </cfRule>
  </conditionalFormatting>
  <conditionalFormatting sqref="E10">
    <cfRule type="expression" dxfId="360" priority="1">
      <formula>AND(ISNUMBER(E10),ROUND(E10,2)=INT(ROUND(E10,2)))</formula>
    </cfRule>
    <cfRule type="expression" dxfId="361" priority="2">
      <formula>AND(ISNUMBER(E10),ROUND(E10,2)&lt;&gt;INT(ROUND(E10,2)))</formula>
    </cfRule>
  </conditionalFormatting>
  <conditionalFormatting sqref="E11">
    <cfRule type="expression" dxfId="362" priority="1">
      <formula>AND(ISNUMBER(E11),ROUND(E11,2)=INT(ROUND(E11,2)))</formula>
    </cfRule>
    <cfRule type="expression" dxfId="363" priority="2">
      <formula>AND(ISNUMBER(E11),ROUND(E11,2)&lt;&gt;INT(ROUND(E11,2)))</formula>
    </cfRule>
  </conditionalFormatting>
  <conditionalFormatting sqref="E12">
    <cfRule type="expression" dxfId="364" priority="1">
      <formula>AND(ISNUMBER(E12),ROUND(E12,2)=INT(ROUND(E12,2)))</formula>
    </cfRule>
    <cfRule type="expression" dxfId="365" priority="2">
      <formula>AND(ISNUMBER(E12),ROUND(E12,2)&lt;&gt;INT(ROUND(E12,2)))</formula>
    </cfRule>
  </conditionalFormatting>
  <conditionalFormatting sqref="E13">
    <cfRule type="expression" dxfId="366" priority="1">
      <formula>AND(ISNUMBER(E13),ROUND(E13,2)=INT(ROUND(E13,2)))</formula>
    </cfRule>
    <cfRule type="expression" dxfId="367" priority="2">
      <formula>AND(ISNUMBER(E13),ROUND(E13,2)&lt;&gt;INT(ROUND(E13,2)))</formula>
    </cfRule>
  </conditionalFormatting>
  <conditionalFormatting sqref="E14">
    <cfRule type="expression" dxfId="368" priority="1">
      <formula>AND(ISNUMBER(E14),ROUND(E14,2)=INT(ROUND(E14,2)))</formula>
    </cfRule>
    <cfRule type="expression" dxfId="369" priority="2">
      <formula>AND(ISNUMBER(E14),ROUND(E14,2)&lt;&gt;INT(ROUND(E14,2)))</formula>
    </cfRule>
  </conditionalFormatting>
  <conditionalFormatting sqref="E15">
    <cfRule type="expression" dxfId="370" priority="1">
      <formula>AND(ISNUMBER(E15),ROUND(E15,2)=INT(ROUND(E15,2)))</formula>
    </cfRule>
    <cfRule type="expression" dxfId="371" priority="2">
      <formula>AND(ISNUMBER(E15),ROUND(E15,2)&lt;&gt;INT(ROUND(E15,2)))</formula>
    </cfRule>
  </conditionalFormatting>
  <conditionalFormatting sqref="E16">
    <cfRule type="expression" dxfId="372" priority="1">
      <formula>AND(ISNUMBER(E16),ROUND(E16,2)=INT(ROUND(E16,2)))</formula>
    </cfRule>
    <cfRule type="expression" dxfId="373" priority="2">
      <formula>AND(ISNUMBER(E16),ROUND(E16,2)&lt;&gt;INT(ROUND(E16,2)))</formula>
    </cfRule>
  </conditionalFormatting>
  <conditionalFormatting sqref="E17">
    <cfRule type="expression" dxfId="374" priority="1">
      <formula>AND(ISNUMBER(E17),ROUND(E17,2)=INT(ROUND(E17,2)))</formula>
    </cfRule>
    <cfRule type="expression" dxfId="375" priority="2">
      <formula>AND(ISNUMBER(E17),ROUND(E17,2)&lt;&gt;INT(ROUND(E17,2)))</formula>
    </cfRule>
  </conditionalFormatting>
  <conditionalFormatting sqref="E18">
    <cfRule type="expression" dxfId="376" priority="1">
      <formula>AND(ISNUMBER(E18),ROUND(E18,2)=INT(ROUND(E18,2)))</formula>
    </cfRule>
    <cfRule type="expression" dxfId="377" priority="2">
      <formula>AND(ISNUMBER(E18),ROUND(E18,2)&lt;&gt;INT(ROUND(E18,2)))</formula>
    </cfRule>
  </conditionalFormatting>
  <conditionalFormatting sqref="E19">
    <cfRule type="expression" dxfId="378" priority="1">
      <formula>AND(ISNUMBER(E19),ROUND(E19,2)=INT(ROUND(E19,2)))</formula>
    </cfRule>
    <cfRule type="expression" dxfId="379" priority="2">
      <formula>AND(ISNUMBER(E19),ROUND(E19,2)&lt;&gt;INT(ROUND(E19,2)))</formula>
    </cfRule>
  </conditionalFormatting>
  <conditionalFormatting sqref="E20">
    <cfRule type="expression" dxfId="380" priority="1">
      <formula>AND(ISNUMBER(E20),ROUND(E20,2)=INT(ROUND(E20,2)))</formula>
    </cfRule>
    <cfRule type="expression" dxfId="381" priority="2">
      <formula>AND(ISNUMBER(E20),ROUND(E20,2)&lt;&gt;INT(ROUND(E20,2)))</formula>
    </cfRule>
  </conditionalFormatting>
  <conditionalFormatting sqref="E21">
    <cfRule type="expression" dxfId="382" priority="1">
      <formula>AND(ISNUMBER(E21),ROUND(E21,2)=INT(ROUND(E21,2)))</formula>
    </cfRule>
    <cfRule type="expression" dxfId="383" priority="2">
      <formula>AND(ISNUMBER(E21),ROUND(E21,2)&lt;&gt;INT(ROUND(E21,2)))</formula>
    </cfRule>
  </conditionalFormatting>
  <conditionalFormatting sqref="E22">
    <cfRule type="expression" dxfId="384" priority="1">
      <formula>AND(ISNUMBER(E22),ROUND(E22,2)=INT(ROUND(E22,2)))</formula>
    </cfRule>
    <cfRule type="expression" dxfId="385" priority="2">
      <formula>AND(ISNUMBER(E22),ROUND(E22,2)&lt;&gt;INT(ROUND(E22,2)))</formula>
    </cfRule>
  </conditionalFormatting>
  <conditionalFormatting sqref="E23">
    <cfRule type="expression" dxfId="386" priority="1">
      <formula>AND(ISNUMBER(E23),ROUND(E23,2)=INT(ROUND(E23,2)))</formula>
    </cfRule>
    <cfRule type="expression" dxfId="387" priority="2">
      <formula>AND(ISNUMBER(E23),ROUND(E23,2)&lt;&gt;INT(ROUND(E23,2)))</formula>
    </cfRule>
  </conditionalFormatting>
  <conditionalFormatting sqref="E25">
    <cfRule type="expression" dxfId="388" priority="1">
      <formula>AND(ISNUMBER(E25),ROUND(E25,2)=INT(ROUND(E25,2)))</formula>
    </cfRule>
    <cfRule type="expression" dxfId="389" priority="2">
      <formula>AND(ISNUMBER(E25),ROUND(E25,2)&lt;&gt;INT(ROUND(E25,2)))</formula>
    </cfRule>
  </conditionalFormatting>
  <conditionalFormatting sqref="E26">
    <cfRule type="expression" dxfId="390" priority="1">
      <formula>AND(ISNUMBER(E26),ROUND(E26,2)=INT(ROUND(E26,2)))</formula>
    </cfRule>
    <cfRule type="expression" dxfId="391" priority="2">
      <formula>AND(ISNUMBER(E26),ROUND(E26,2)&lt;&gt;INT(ROUND(E26,2)))</formula>
    </cfRule>
  </conditionalFormatting>
  <conditionalFormatting sqref="E27">
    <cfRule type="expression" dxfId="392" priority="1">
      <formula>AND(ISNUMBER(E27),ROUND(E27,2)=INT(ROUND(E27,2)))</formula>
    </cfRule>
    <cfRule type="expression" dxfId="393" priority="2">
      <formula>AND(ISNUMBER(E27),ROUND(E27,2)&lt;&gt;INT(ROUND(E27,2)))</formula>
    </cfRule>
  </conditionalFormatting>
  <pageMargins left="0.25" right="0.25" top="0.75" bottom="0.75" header="0" footer="0.25"/>
  <pageSetup paperSize="9" orientation="portrait" fitToWidth="1" fitToHeight="0" firstPageNumber="26" useFirstPageNumber="1"/>
  <headerFooter>
    <oddFooter>&amp;Cעמוד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שער</vt:lpstr>
      <vt:lpstr>מקרא והנחיות</vt:lpstr>
      <vt:lpstr>_BOQ_META</vt:lpstr>
      <vt:lpstr>פירוק והריסה</vt:lpstr>
      <vt:lpstr>מחיצות והכנות לדלפק</vt:lpstr>
      <vt:lpstr>אינסטלציה ותברואה</vt:lpstr>
      <vt:lpstr>חשמל והכנות תקשורת</vt:lpstr>
      <vt:lpstr>הכנות רצפה והגבהות</vt:lpstr>
      <vt:lpstr>איטום</vt:lpstr>
      <vt:lpstr>דלתות בחנות או בחדר שירות</vt:lpstr>
      <vt:lpstr>ריצוף וחיפוי הדלפק</vt:lpstr>
      <vt:lpstr>תקרה וקרניזים לדוכן</vt:lpstr>
      <vt:lpstr>צבע וגמר</vt:lpstr>
      <vt:lpstr>נגרות ביפרש</vt:lpstr>
      <vt:lpstr>מסגרות ביפרש</vt:lpstr>
      <vt:lpstr>זיגוג וחופת דלפק</vt:lpstr>
      <vt:lpstr>משטחים ודפנות מיוחדים</vt:lpstr>
      <vt:lpstr>אספקות גמר נפרדות</vt:lpstr>
      <vt:lpstr>מיזוג ואוורור</vt:lpstr>
      <vt:lpstr>ציוד מטבח ונירוסטה</vt:lpstr>
      <vt:lpstr>הכנות ומערכת גז</vt:lpstr>
      <vt:lpstr>כיבוי וגילוי</vt:lpstr>
      <vt:lpstr>שילוט ומיתוג</vt:lpstr>
      <vt:lpstr>ריהוט נייד</vt:lpstr>
      <vt:lpstr>ריכוז עלויות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2026-10-28T11:56:36Z</dcterms:created>
  <dcterms:modified xsi:type="dcterms:W3CDTF">2026-10-28T11:56:36Z</dcterms:modified>
</cp:coreProperties>
</file>