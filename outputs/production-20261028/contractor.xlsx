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שער" state="visible" r:id="rId4"/>
    <sheet sheetId="2" name="מקרא והנחיות" state="visible" r:id="rId5"/>
    <sheet sheetId="3" name="_BOQ_META" state="hidden" r:id="rId6"/>
    <sheet sheetId="4" name="בנייה ומחיצות פנים" state="visible" r:id="rId7"/>
    <sheet sheetId="5" name="אינסטלציה ותברואה" state="visible" r:id="rId8"/>
    <sheet sheetId="6" name="חשמל והכנות תקשורת" state="visible" r:id="rId9"/>
    <sheet sheetId="7" name="איטום" state="visible" r:id="rId10"/>
    <sheet sheetId="8" name="דלתות פנים" state="visible" r:id="rId11"/>
    <sheet sheetId="9" name="ריצוף וחיפוי" state="visible" r:id="rId12"/>
    <sheet sheetId="10" name="תקרות והנמכות" state="visible" r:id="rId13"/>
    <sheet sheetId="11" name="צבע וגמרים דקורטיביים" state="visible" r:id="rId14"/>
    <sheet sheetId="12" name="נגרות ייעודית" state="visible" r:id="rId15"/>
    <sheet sheetId="13" name="ריכוז עלויות" state="visible" r:id="rId16"/>
  </sheets>
  <definedNames>
    <definedName name="_xlnm.Print_Area" localSheetId="0">'שער'!$A1:$F13</definedName>
    <definedName name="_xlnm.Print_Area" localSheetId="1">'מקרא והנחיות'!$A1:$F20</definedName>
    <definedName name="_xlnm.Print_Area" localSheetId="3">'בנייה ומחיצות פנים'!$A1:$F11</definedName>
    <definedName name="_xlnm.Print_Area" localSheetId="4">'אינסטלציה ותברואה'!$A1:$F13</definedName>
    <definedName name="_xlnm.Print_Area" localSheetId="5">'חשמל והכנות תקשורת'!$A1:$F15</definedName>
    <definedName name="_xlnm.Print_Area" localSheetId="6">'איטום'!$A1:$F7</definedName>
    <definedName name="_xlnm.Print_Area" localSheetId="7">'דלתות פנים'!$A1:$F7</definedName>
    <definedName name="_xlnm.Print_Area" localSheetId="8">'ריצוף וחיפוי'!$A1:$F9</definedName>
    <definedName name="_xlnm.Print_Area" localSheetId="9">'תקרות והנמכות'!$A1:$F9</definedName>
    <definedName name="_xlnm.Print_Area" localSheetId="10">'צבע וגמרים דקורטיביים'!$A1:$F9</definedName>
    <definedName name="_xlnm.Print_Area" localSheetId="11">'נגרות ייעודית'!$A1:$F21</definedName>
    <definedName name="_xlnm.Print_Area" localSheetId="12">'ריכוז עלויות'!$A1:$F15</definedName>
  </definedNames>
  <calcPr calcId="171027" fullCalcOnLoad="1"/>
</workbook>
</file>

<file path=xl/sharedStrings.xml><?xml version="1.0" encoding="utf-8"?>
<sst xmlns="http://schemas.openxmlformats.org/spreadsheetml/2006/main" count="489" uniqueCount="252">
  <si>
    <t>פירוט טכני וכתב כמויות</t>
  </si>
  <si>
    <t>בדיקת הפקה</t>
  </si>
  <si>
    <t/>
  </si>
  <si>
    <t>2026-10-28</t>
  </si>
  <si>
    <t>נחלת יצחק 34 ת"א | טל- 0505241244</t>
  </si>
  <si>
    <t>spacer</t>
  </si>
  <si>
    <t>מקרא ותוכן עניינים</t>
  </si>
  <si>
    <t>פרק</t>
  </si>
  <si>
    <t>שם הפרק</t>
  </si>
  <si>
    <t>עמוד</t>
  </si>
  <si>
    <t>בנייה ומחיצות פנים</t>
  </si>
  <si>
    <t>אינסטלציה ותברואה</t>
  </si>
  <si>
    <t>חשמל והכנות תקשורת</t>
  </si>
  <si>
    <t>איטום</t>
  </si>
  <si>
    <t>דלתות פנים</t>
  </si>
  <si>
    <t>ריצוף וחיפוי</t>
  </si>
  <si>
    <t>תקרות והנמכות</t>
  </si>
  <si>
    <t>צבע וגמרים דקורטיביים</t>
  </si>
  <si>
    <t>נגרות ייעודית</t>
  </si>
  <si>
    <t>הנחיות והערות כלליות לקבלן</t>
  </si>
  <si>
    <t>1. יש להגיש הצעה לפי הסעיפים והתכולות שבמסמך הפרויקט. יש להעביר לבירור אי־התאמה, גבול תכולה לא ברור או פרט חסר לפני ביצוע העבודה הנוגעת להם.</t>
  </si>
  <si>
    <t>2. אספקה, התקנה, תשתית וחיבור בידי קבלנים או ספקים שונים יפורטו בנפרד. אין להסיק אחריות רק מהופעת שם ספק או מהסימון קיים.</t>
  </si>
  <si>
    <t>3. פרטי ביצוע, מידות, גוונים ודגמים יושלמו לפי מסמכי הפרויקט המאושרים. אין להשתמש בערכים זמניים או במידע מפרויקט קודם כנתוני ביצוע.</t>
  </si>
  <si>
    <t>4. לכל רכיב תכולת תמחור אחת. אספקה או עבודה המופיעות בפרק נפרד יוחרגו ממחיר הפריט שבו היו עלולות להיכלל שוב.</t>
  </si>
  <si>
    <t>5. תכניות ופרטים החלים על ההצעה: {רשימת מסמכים ומהדורות לפרויקט}. פרטי הקבלן, חתימה וחותמת יושלמו בעותק ההצעה.</t>
  </si>
  <si>
    <t>BOQ_WORKBOOK</t>
  </si>
  <si>
    <t>contractor</t>
  </si>
  <si>
    <t>563cb228-6009-4ed9-8207-4fba8d2c7f75</t>
  </si>
  <si>
    <t>c7430ad0-2cc9-4032-9c6f-7c83eeb7f184</t>
  </si>
  <si>
    <t>restaurant</t>
  </si>
  <si>
    <t>["03d59d56-c27a-42a3-ab4c-d61e682982fc","11ef6001-1e3d-43a0-9286-9afe837d7789","5f85f0b8-5734-4b1e-9a7b-f063c8910e82","6f2683a1-70d2-4897-89a4-b33ec4ca5626","f9a7c4af-0b37-41be-b798-862f50401d6b","d0475702-808e-432b-bba2-cd196c201e2f","6a35879c-b178-4eeb-9e1d-f80137786a7e","10b5e60d-a50d-4dfa-91cc-ad55955715f8","0b4b841f-46a6-4a52-9062-31947a4bc690"]</t>
  </si>
  <si>
    <t>layout</t>
  </si>
  <si>
    <t>{"font":"Assistant","sideMarginMm":6.35,"verticalMarginMm":19.05}</t>
  </si>
  <si>
    <t>{"title":[{"sheet":"שער","cell":"B4"}],"location":[{"sheet":"שער","cell":"B5"}],"client":[{"sheet":"שער","cell":"B6"}],"date":[{"sheet":"שער","cell":"B8"}],"office":[{"sheet":"שער","cell":"B12"}],"revision":[{"sheet":"שער","cell":"B14"}],"contractor":[{"sheet":"שער","cell":"D14"}],"vat":[{"sheet":"שער","cell":"F14"}],"instructions":[{"sheet":"מקרא והנחיות","cell":"A15"},{"sheet":"מקרא והנחיות","cell":"A16"},{"sheet":"מקרא והנחיות","cell":"A17"},{"sheet":"מקרא והנחיות","cell":"A18"},{"sheet":"מקרא והנחיות","cell":"A19"}]}</t>
  </si>
  <si>
    <t>{"width":2836,"height":771,"sha256":"11e4cb844c2fce059d04ea30f256087da08ced63e5ed936793dfe2e25a583992"}</t>
  </si>
  <si>
    <t>chapterId</t>
  </si>
  <si>
    <t>sheet</t>
  </si>
  <si>
    <t>active</t>
  </si>
  <si>
    <t>rowIds</t>
  </si>
  <si>
    <t>03d59d56-c27a-42a3-ab4c-d61e682982fc</t>
  </si>
  <si>
    <t>["c85694ab-6f62-4beb-9580-ac47dda132e5","68f35a79-3f43-45c5-b583-5a44a73ad91d","a36ea3da-4586-4b8c-aae4-f1a9bf8681aa","04d319d0-5b75-4fde-a02e-5af838380df3","67b4865f-5116-4810-bfb3-244d566f7b2d","66893097-5c2b-44c1-a19f-4fca8fd4939e","4b621313-0499-414f-aaec-242be6afb774"]</t>
  </si>
  <si>
    <t>11ef6001-1e3d-43a0-9286-9afe837d7789</t>
  </si>
  <si>
    <t>["7692147f-aa7a-4dc0-bea3-365b671c14fd","5fe460c9-0e85-4a41-9c82-305ebc578072","1a27c6a8-4760-4cd7-9c1b-ed4e7cc22079","385e4b6e-150a-4315-9858-582bee9def0d","d4484165-4ad4-4e64-b7cf-d50d011c1ee0","778e0c76-8624-4c62-bf2a-37fa6f970b96","10b14c73-518c-423d-bc14-ca581fd64ecf","2a13001e-9c4b-4c63-8216-457559a3e03e","7253c12d-e083-4e2a-beee-93890e25edb9"]</t>
  </si>
  <si>
    <t>5f85f0b8-5734-4b1e-9a7b-f063c8910e82</t>
  </si>
  <si>
    <t>["06066cd1-928d-46f9-ad61-baa55f2bd587","57e5a953-b698-42f3-a82b-82897b91ab86","8a430625-1d72-48c0-9aaf-88bb56e0f3f5","11be422c-d9c9-4269-95dd-1f7d53884679","9d74cf44-22f7-45e8-b6c9-76e2d610ec3b","11afc80f-8238-4b51-b4b1-37b207036eda","559ba254-340a-4a1b-ae77-18f9fa2e246c","658c8e28-7d7f-45db-a7ac-048775421bfa","82e93219-a648-4148-a934-71ba273b02a5","69580e8e-a909-4078-917e-03f13df9facf","1126909b-01c9-4fdc-81b3-4d8979dd7632"]</t>
  </si>
  <si>
    <t>6f2683a1-70d2-4897-89a4-b33ec4ca5626</t>
  </si>
  <si>
    <t>["03d61e20-f019-4810-8cc3-5f9b57efd758","3734477c-55b4-4323-a607-15eb2b18bd90"]</t>
  </si>
  <si>
    <t>f9a7c4af-0b37-41be-b798-862f50401d6b</t>
  </si>
  <si>
    <t>["5b223e84-1a9a-4568-956b-9715e835f30e","88495559-2a10-49fa-b0e9-c10f1ceed30c"]</t>
  </si>
  <si>
    <t>d0475702-808e-432b-bba2-cd196c201e2f</t>
  </si>
  <si>
    <t>["9e1c3338-7a47-498e-904b-37cb03565b24","67a7cd5d-ddca-4d6f-bc37-93427abd9944","59fe2f39-61b5-460d-87c1-fd49f29b26c0","284479ea-b8a7-4a99-8180-9a0cb7cf2421","a05cf1de-6de4-4a07-a03d-84c1da87c0c9"]</t>
  </si>
  <si>
    <t>6a35879c-b178-4eeb-9e1d-f80137786a7e</t>
  </si>
  <si>
    <t>["0677e71c-10a8-4c76-b375-97e2900130af","48a3e998-8fd3-4e61-9a45-64d6e314a616","18da1c9b-0971-44a8-a5c2-acfb9a6a44ad","0030e557-f3e2-4d0f-81c5-c9e732042415","a25f52b2-c071-41de-87d0-827d78e67560"]</t>
  </si>
  <si>
    <t>10b5e60d-a50d-4dfa-91cc-ad55955715f8</t>
  </si>
  <si>
    <t>["e90765e1-3862-4bcc-ba13-1ad9c0ec4ffc","fac06922-5aef-439f-8e92-f3687b6fb478","a8c389dd-53ba-4b0e-b02f-0fa30435627b","92ecb106-b537-4ff6-9a8f-8c795522fafd"]</t>
  </si>
  <si>
    <t>0b4b841f-46a6-4a52-9062-31947a4bc690</t>
  </si>
  <si>
    <t>["eed6b46b-41ba-4030-b3e6-ad9e52816f49","a4c5ce7c-1905-4c19-976b-a0c77301b8f3","070029a7-8858-4f72-a935-b6286e7e1b8e","5e1bd1f0-1c55-45e6-b307-c3ea94e7c2c2","0b184f70-a982-4b94-988b-799479827245","2768e6ee-f41d-41f8-9b54-411026fd5d7d","ca35bfa7-f8d1-429b-8ba0-ab12ceff85a2","efc066f3-a36e-4127-83e7-41d23354b6d6","fabe18ed-f7f3-4021-bba8-927866845dd2","58b39d07-1e4e-4a47-8881-80a2606e99a6","533b5a6c-0e64-48bd-af8a-0b3ff4688c51","b4d0bba7-3d75-4a74-a51e-5eba76b4308c","1a325ab6-edd5-4e90-a936-53c3ff0f5fa8"]</t>
  </si>
  <si>
    <t>chapter</t>
  </si>
  <si>
    <t>סעיף</t>
  </si>
  <si>
    <t>תיאור עבודה</t>
  </si>
  <si>
    <t>יח׳</t>
  </si>
  <si>
    <t>כמות</t>
  </si>
  <si>
    <t>מחיר יחידה</t>
  </si>
  <si>
    <t>סה״כ</t>
  </si>
  <si>
    <t>columns</t>
  </si>
  <si>
    <t>מחירי המחיצות כוללים את רכיבי המערכת, התשתית, החיבורים והגמר המוגדרים בסעיף. סוגי לוחות, שכבות, בידוד ועיגון יושלמו לפי הפרויקט. גמר צבע וחיפוי מתומחרים בפרקים המיועדים להם, אלא אם הוגדר אחרת במפורש.</t>
  </si>
  <si>
    <t>c85694ab-6f62-4beb-9580-ac47dda132e5</t>
  </si>
  <si>
    <t>note</t>
  </si>
  <si>
    <t>1.01</t>
  </si>
  <si>
    <t xml:space="preserve">הקמת מחיצת פנים במערכת בנייה יבשה באזור {אזור}.
גובה: {גובה}; עובי ומבנה המערכת: {מפרט}; לוחות: {סוג ושכבות}; בידוד: {מפרט}; בסיס ועיגון: {פרט}.</t>
  </si>
  <si>
    <t>מ"ר</t>
  </si>
  <si>
    <t>68f35a79-3f43-45c5-b583-5a44a73ad91d</t>
  </si>
  <si>
    <t>item</t>
  </si>
  <si>
    <t>1.02</t>
  </si>
  <si>
    <t>ביצוע עיבוי או חיפוי קיר קיים במערכת {סוג}, בגובה {גובה}, באזור {אזור}, לצורך {ייעוד}, לרבות תשתית וחיבורים כמפורט.</t>
  </si>
  <si>
    <t>a36ea3da-4586-4b8c-aae4-f1a9bf8681aa</t>
  </si>
  <si>
    <t>1.03</t>
  </si>
  <si>
    <t>הקמת מחיצה נמוכה כתשתית לדלפק או להפרדה באזור {אזור}, בגובה ובחתך {מידות}, במערכת {סוג}, לרבות {תכולה ועיגון}.</t>
  </si>
  <si>
    <t>מ.א.</t>
  </si>
  <si>
    <t>04d319d0-5b75-4fde-a02e-5af838380df3</t>
  </si>
  <si>
    <t>1.04</t>
  </si>
  <si>
    <t>אספקה והתקנת מגן פינה מנירוסטה מטיפוס {טיפוס}, במידות {מידות}, עובי וגמר {מפרט}, על תשתית {סוג} ובאופן חיבור {פרט}.</t>
  </si>
  <si>
    <t>יח'</t>
  </si>
  <si>
    <t>67b4865f-5116-4810-bfb3-244d566f7b2d</t>
  </si>
  <si>
    <t>1.05</t>
  </si>
  <si>
    <t>אספקה והתקנת מגן קצה מנירוסטה מטיפוס {טיפוס}, במידות {מידות}, עובי וגמר {מפרט}, על תשתית {סוג} ובאופן חיבור {פרט}.</t>
  </si>
  <si>
    <t>66893097-5c2b-44c1-a19f-4fca8fd4939e</t>
  </si>
  <si>
    <t>1.06</t>
  </si>
  <si>
    <t>אספקה והתקנת משקוף נירוסטה לפתח {זיהוי וייעוד}, במידות {מידות}, עובי וגמר {מפרט}, לרבות החיבורים והעיגון שנקבעו לפריט.</t>
  </si>
  <si>
    <t>4b621313-0499-414f-aaec-242be6afb774</t>
  </si>
  <si>
    <t>סיכום חלקי פרק 1 להעברה</t>
  </si>
  <si>
    <t>total</t>
  </si>
  <si>
    <t>מערכת המים והדלוחין תבוצע לפי תכנון הפרויקט. המחירים כוללים צנרת ואביזרי תשתית, חיבורים, הכנות ובדיקות כפי שנקבעו במפרט. אספקת כלים סניטריים וציוד אינה כלולה בסעיפי התקנה בלבד. קיום מערכת באתר אינו מעיד שאינה דורשת התאמה.</t>
  </si>
  <si>
    <t>7692147f-aa7a-4dc0-bea3-365b671c14fd</t>
  </si>
  <si>
    <t>2.01</t>
  </si>
  <si>
    <t>ביצוע או התאמת מערכת מים ודלוחין באזור {אזור}, בין נקודות החיבור {תחילה וסיום}, לרבות {צנרת, אביזרים ומתקנים}, לפי תכנון {הפניה}. חיבור למערכת קיימת יוגדר לפי מצב האתר שנבדק.</t>
  </si>
  <si>
    <t>קומפ'</t>
  </si>
  <si>
    <t>5fe460c9-0e85-4a41-9c82-305ebc578072</t>
  </si>
  <si>
    <t>2.02</t>
  </si>
  <si>
    <t>ביצוע נקודת מים חמים וקרים ודלוחין עבור {כיור או ציוד}, לפי תכנון הפרויקט, לרבות הצנרת ואביזרי החיבור בגבולות {תכולה}. התקנת האביזר ואספקתו: {כלולות או מוחרגות}.</t>
  </si>
  <si>
    <t>נק'</t>
  </si>
  <si>
    <t>1a27c6a8-4760-4cd7-9c1b-ed4e7cc22079</t>
  </si>
  <si>
    <t>2.03</t>
  </si>
  <si>
    <t>ביצוע נקודת מים קרים ודלוחין עבור {כיור או ציוד}, לפי תכנון הפרויקט, לרבות הצנרת ואביזרי החיבור בגבולות {תכולה}.</t>
  </si>
  <si>
    <t>385e4b6e-150a-4315-9858-582bee9def0d</t>
  </si>
  <si>
    <t>2.04</t>
  </si>
  <si>
    <t>ביצוע נקודת דלוחין עצמאית עבור {ציוד או ייעוד}, לרבות חיבור וסיום לפי תכנון הפרויקט. אין לכלול שוב ניקוז שכבר נכלל בנקודת מים משולבת.</t>
  </si>
  <si>
    <t>d4484165-4ad4-4e64-b7cf-d50d011c1ee0</t>
  </si>
  <si>
    <t>2.05</t>
  </si>
  <si>
    <t>ביצוע נקודת ניקוז למיזוג אוויר מטיפוס {טיפוס}, לפי תכנון המיזוג והתברואה; קצה וגבול החיבור לקבלן המיזוג: {פירוט}.</t>
  </si>
  <si>
    <t>778e0c76-8624-4c62-bf2a-37fa6f970b96</t>
  </si>
  <si>
    <t>2.06</t>
  </si>
  <si>
    <t>התקנת תעלת ניקוז מטיפוס {טיפוס}, במידות {מידות}, על התשתית המוגדרת, וחיבורה למערכת הניקוז. אספקת התעלה, עיגון ואיטום המפגש: {חלוקת אחריות}.</t>
  </si>
  <si>
    <t>10b14c73-518c-423d-bc14-ca581fd64ecf</t>
  </si>
  <si>
    <t>2.07</t>
  </si>
  <si>
    <t>התקנת מכל הדחה סמוי וכלי סניטרי מטיפוס {טיפוס} על תשתית {בלוק או מערכת אחרת}, לרבות חיבורים ותכולת ההתקנה שנקבעה. אספקת הכלי והמכל: {אחריות}.</t>
  </si>
  <si>
    <t>2a13001e-9c4b-4c63-8216-457559a3e03e</t>
  </si>
  <si>
    <t>2.08</t>
  </si>
  <si>
    <t>אספקה והתקנת מתקן חימום מים מסוג {סוג}, בקיבול או הספק {נתון}, עם אביזרים וחיבורים כמפורט בתכנון. גבולות עבודות החשמל ועיגון המתקן: {פירוט}.</t>
  </si>
  <si>
    <t>7253c12d-e083-4e2a-beee-93890e25edb9</t>
  </si>
  <si>
    <t>סיכום חלקי פרק 2 להעברה</t>
  </si>
  <si>
    <t>עבודות החשמל כוללות תשתית, מוליכים, חיבורים ואביזרים רק בתכולה המוגדרת לכל סעיף ולפי תכנון החשמל. הכנת נקודה, התקנת גוף ואספקת גוף הן תכולות שונות. חתכי מוליכים, קטרים, הגנות, הספקים ואופן הבדיקה ייקבעו בתכנון ולא יועתקו מפרויקט קודם.</t>
  </si>
  <si>
    <t>06066cd1-928d-46f9-ad61-baa55f2bd587</t>
  </si>
  <si>
    <t>3.01</t>
  </si>
  <si>
    <t>ביצוע נקודת הפעלה וחיבור למעגל תאורה מטיפוס {טיפוס}, באזור {אזור}, לפי תכנון החשמל, כולל {תשתית, חיבור ואביזרי הפעלה}. אספקת והתקנת גופי התאורה אינן נכללות בסעיף זה.</t>
  </si>
  <si>
    <t>57e5a953-b698-42f3-a82b-82897b91ab86</t>
  </si>
  <si>
    <t>3.02</t>
  </si>
  <si>
    <t>ביצוע יציאה נוספת לגוף תאורה המשויך למעגל {זיהוי}, לפי תכנון החשמל; תכולת החיבור: {פירוט}.</t>
  </si>
  <si>
    <t>8a430625-1d72-48c0-9aaf-88bb56e0f3f5</t>
  </si>
  <si>
    <t>3.03</t>
  </si>
  <si>
    <t>התקנת וחיבור גוף תאורה מטיפוס {טיפוס} על תשתית {קיימת או חדשה}, לרבות אביזרי ההתקנה המוגדרים. אספקת הגוף: {אחריות}.</t>
  </si>
  <si>
    <t>11be422c-d9c9-4269-95dd-1f7d53884679</t>
  </si>
  <si>
    <t>3.04</t>
  </si>
  <si>
    <t>ביצוע נקודת כוח חד־פאזית עבור {ייעוד}, באזור {אזור}, עם האביזר והתשתית לפי תכנון החשמל ובגבולות {תכולה}.</t>
  </si>
  <si>
    <t>9d74cf44-22f7-45e8-b6c9-76e2d610ec3b</t>
  </si>
  <si>
    <t>3.05</t>
  </si>
  <si>
    <t>ביצוע נקודת כוח תלת־פאזית עבור {ציוד}, לפי מפרט ההזנה של מתכנן החשמל ויצרן הציוד. אביזר החיבור וגבול העבודה: {פירוט}.</t>
  </si>
  <si>
    <t>11afc80f-8238-4b51-b4b1-37b207036eda</t>
  </si>
  <si>
    <t>3.06</t>
  </si>
  <si>
    <t>ביצוע נקודת הזנה למיזוג אוויר עבור {יחידה}, בהתאם לתכנון החשמל והמיזוג, לרבות אביזר סיום וגבול חיבור {פירוט}.</t>
  </si>
  <si>
    <t>559ba254-340a-4a1b-ae77-18f9fa2e246c</t>
  </si>
  <si>
    <t>3.07</t>
  </si>
  <si>
    <t>ביצוע נקודת הזנה למפוח עבור {יחידה וייעוד}, בהתאם לתכנון החשמל והאוורור, לרבות אביזר סיום וגבול חיבור {פירוט}.</t>
  </si>
  <si>
    <t>658c8e28-7d7f-45db-a7ac-048775421bfa</t>
  </si>
  <si>
    <t>3.08</t>
  </si>
  <si>
    <t>ביצוע תשתית תקשורת מטיפוס {סוג}, בין נקודות {קצוות}, לרבות צנרת, חוט משיכה ואביזרי סיום שנקבעו. כבילה פעילה וציוד קצה: {תכולה ואחריות}.</t>
  </si>
  <si>
    <t>82e93219-a648-4148-a934-71ba273b02a5</t>
  </si>
  <si>
    <t>3.09</t>
  </si>
  <si>
    <t>אספקה והתקנת לוח חשמל {זיהוי}, כולל מכלול הרכיבים, הסימון, החיווט והחיבור שנקבעו בתכנון החשמל. גודל החיבור והמפרט יושלמו בפרויקט.</t>
  </si>
  <si>
    <t>69580e8e-a909-4078-917e-03f13df9facf</t>
  </si>
  <si>
    <t>3.10</t>
  </si>
  <si>
    <t>ביצוע מערכת תאורת חירום בתכולת {היקף}, לפי תכנון החשמל והבטיחות המאושרים לפרויקט; אספקה, התקנה וחיבורים: {פירוט}.</t>
  </si>
  <si>
    <t>1126909b-01c9-4fdc-81b3-4d8979dd7632</t>
  </si>
  <si>
    <t>סיכום חלקי פרק 3 להעברה</t>
  </si>
  <si>
    <t>מערכת האיטום תיקבע לפי התשתית, השימוש, החדירות והמפגשים בפרויקט. כל סעיף יפרט את הכנת התשתית, סיומות, טיפול בנקזים ובפתחים ובדיקות נדרשות. אין ברירת מחדל לשיטת איטום, עובי, גובה רולקה או מותג.</t>
  </si>
  <si>
    <t>03d61e20-f019-4810-8cc3-5f9b57efd758</t>
  </si>
  <si>
    <t>4.01</t>
  </si>
  <si>
    <t>ביצוע איטום באזור רטוב {זיהוי ואזור}, במערכת {מפרט מאושר}, לרבות הכנת תשתית, מפגשי קיר ורצפה, חדירות וסיומות לפי הפרט. בדיקות ותכולת ההכנה: {פירוט}.</t>
  </si>
  <si>
    <t>3734477c-55b4-4323-a607-15eb2b18bd90</t>
  </si>
  <si>
    <t>סיכום חלקי פרק 4 להעברה</t>
  </si>
  <si>
    <t>מחיר כל טיפוס דלת כולל כנף, משקוף, הלבשות, פרזול, גמר, הובלה והרכבה לפי תיאור הסעיף. סוגי מילוי, צירים, פתיחה והתאמת נגישות או בטיחות יוגדרו בפרויקט; אין הוראה כללית של פרזול הסותרת טיפוס דלת.</t>
  </si>
  <si>
    <t>5b223e84-1a9a-4568-956b-9715e835f30e</t>
  </si>
  <si>
    <t>5.01</t>
  </si>
  <si>
    <t xml:space="preserve">אספקה והתקנת דלת פנים מטיפוס {זיהוי}.
מידות ופתיחה: {מידות וכיוון}; כנף ומילוי: {מפרט}; משקוף והלבשות: {מפרט}; פרזול: {מפרט}; גמר וגוון: {מפרט}; תכנית ופרט: {הפניה}.</t>
  </si>
  <si>
    <t>88495559-2a10-49fa-b0e9-c10f1ceed30c</t>
  </si>
  <si>
    <t>סיכום חלקי פרק 5 להעברה</t>
  </si>
  <si>
    <t>מחירי עבודות הריצוף והחיפוי כוללים הכנת תשתית בתכולה שנקבעה, חומרי עזר, חיתוכים, התאמות, פינות ורובה בהתאם למפרט. אספקת האריחים תתומחר בפרק האספקות כשאינו כבוי; פנלים המופיעים בסעיף נפרד אינם כלולים שוב במחיר השטח.</t>
  </si>
  <si>
    <t>9e1c3338-7a47-498e-904b-37cb03565b24</t>
  </si>
  <si>
    <t>6.01</t>
  </si>
  <si>
    <t>ריצוף אזור {אזור}, באריחי {חומר, דגם ומידה}, על תשתית {סוג}, עם מישקים {רוחב}, רובה {סוג וגוון} וגמר פינות {פירוט}. תכולת אספקת האריחים: {אחריות}.</t>
  </si>
  <si>
    <t>67a7cd5d-ddca-4d6f-bc37-93427abd9944</t>
  </si>
  <si>
    <t>6.02</t>
  </si>
  <si>
    <t>ריצוף אזור הכנת מזון או שטח רטוב {אזור}, באריחים {סוג, מידה וגמר מאושרים לשימוש}, לרבות טיפול במפגשים ובנקזים לפי הפרט, מישקים ורובה {מפרט}.</t>
  </si>
  <si>
    <t>59fe2f39-61b5-460d-87c1-fd49f29b26c0</t>
  </si>
  <si>
    <t>6.03</t>
  </si>
  <si>
    <t>חיפוי קירות באזור {אזור}, באריחים {חומר, דגם ומידה}, לגובה {גובה}, בדוגמה {דוגמה}, עם מישקים, רובה וגמר פינות {מפרט}. תכולת אספקת האריחים: {אחריות}.</t>
  </si>
  <si>
    <t>284479ea-b8a7-4a99-8180-9a0cb7cf2421</t>
  </si>
  <si>
    <t>6.04</t>
  </si>
  <si>
    <t>התקנת פנל תואם לריצוף {חומר וגמר}, בגובה {גובה}, לאורך האזור {אזור}, לרבות פינות וסיומות לפי הפרט.</t>
  </si>
  <si>
    <t>a05cf1de-6de4-4a07-a03d-84c1da87c0c9</t>
  </si>
  <si>
    <t>סיכום חלקי פרק 6 להעברה</t>
  </si>
  <si>
    <t>המחירים כוללים תשתית, תלייה, חיבורים, פרופילי גמר ופתחים למערכות לפי מפרט התקרה. יש להגדיר סוג לוח או אריח, גובה, טיפול אקוסטי וחיזוקים. גמר צבע מתומחר בנפרד אם אינו מפורש כחלק מהמוצר.</t>
  </si>
  <si>
    <t>0677e71c-10a8-4c76-b375-97e2900130af</t>
  </si>
  <si>
    <t>7.01</t>
  </si>
  <si>
    <t>ביצוע הנמכת תקרה באזור {אזור}, במערכת {סוג ושכבות}, בגובה {גובה}, לרבות התשתית, פתחים וחיזוקים המפורטים בתכנון.</t>
  </si>
  <si>
    <t>48a3e998-8fd3-4e61-9a45-64d6e314a616</t>
  </si>
  <si>
    <t>7.02</t>
  </si>
  <si>
    <t>ביצוע קרניז מטיפוס {טיפוס}, בחתך ובגובה {מידות}, באזור {אזור}, לרבות הכנה לתאורה או למיזוג לפי הפרט וללא אספקת גוף התאורה.</t>
  </si>
  <si>
    <t>18da1c9b-0971-44a8-a5c2-acfb9a6a44ad</t>
  </si>
  <si>
    <t>7.03</t>
  </si>
  <si>
    <t>אספקה והתקנת תקרה פריקה מטיפוס {טיפוס}, באזור {אזור}, במידות מודול ובגמר {מפרט}, לרבות תשתית, פרופילי סיום ופתחים לפי התכנון.</t>
  </si>
  <si>
    <t>0030e557-f3e2-4d0f-81c5-c9e732042415</t>
  </si>
  <si>
    <t>7.04</t>
  </si>
  <si>
    <t>אספקה והתקנת תקרה אקוסטית מסוג {סוג}, במודול ובגמר {מפרט}, באזור {אזור}, לרבות התשתית והחיבורים המתאימים כמפורט בתכנון.</t>
  </si>
  <si>
    <t>a25f52b2-c071-41de-87d0-827d78e67560</t>
  </si>
  <si>
    <t>סיכום חלקי פרק 7 להעברה</t>
  </si>
  <si>
    <t>עבודות הצבע כוללות הכנת תשתית, תיקונים וחומרי יסוד וגמר לפי מערכת מתאימה למשטח ולהוראות המוצר שנבחר. הגוון, הברק והמרקם יושלמו בפרויקט. הוראות דילול ישנות אינן חלק מהתבנית.</t>
  </si>
  <si>
    <t>e90765e1-3862-4bcc-ba13-1ad9c0ec4ffc</t>
  </si>
  <si>
    <t>8.01</t>
  </si>
  <si>
    <t>הכנת וצביעת קירות באזור {אזור}, לרבות תיקוני תשתית והחלקה בתכולת {פירוט}, במערכת צבע {סוג}, בגוון ובגמר {מפרט}.</t>
  </si>
  <si>
    <t>fac06922-5aef-439f-8e92-f3687b6fb478</t>
  </si>
  <si>
    <t>8.02</t>
  </si>
  <si>
    <t>הכנת וצביעת תקרות והנמכות באזור {אזור}, לרבות תיקוני תשתית והחלקה בתכולת {פירוט}, במערכת צבע {סוג}, בגוון ובגמר {מפרט}.</t>
  </si>
  <si>
    <t>a8c389dd-53ba-4b0e-b02f-0fa30435627b</t>
  </si>
  <si>
    <t>8.03</t>
  </si>
  <si>
    <t>ביצוע גמר דקורטיבי מסוג {סוג}, על תשתית {סוג}, באזור {אזור}, בדוגמה, מרקם וגוון {מפרט}, לרבות שכבות הכנה וגמר שנקבעו.</t>
  </si>
  <si>
    <t>92ecb106-b537-4ff6-9a8f-8c795522fafd</t>
  </si>
  <si>
    <t>סיכום חלקי פרק 8 להעברה</t>
  </si>
  <si>
    <t>מחיר כל פריט נגרות כולל את החומרים, החיפויים, הפרזול, הגמר, ההובלה וההרכבה שפורטו בסעיף. רכיבי מתכת, משטחי אבן או חומר מיוחד, זיגוג וציוד שמופיעים בפרק נפרד מוחרגים ממחיר הנגרות. מידות, גוונים ודגמים יושלמו לכל פריט.</t>
  </si>
  <si>
    <t>eed6b46b-41ba-4030-b3e6-ad9e52816f49</t>
  </si>
  <si>
    <t>9.01</t>
  </si>
  <si>
    <t>אספקה והתקנת משטח הגשה ואכילה לדלפק {זיהוי}, מחומר {סוג}, במידות חתך {מידות}, בגמר {גמר}, עם קנט קדמי ואחורי {מפרט}. תשתית מסגרות, דפנות ומשטחים מיוחדים מתומחרים בנפרד ככל שהוגדרו בפרקים שלהם.</t>
  </si>
  <si>
    <t>a4c5ce7c-1905-4c19-976b-a0c77301b8f3</t>
  </si>
  <si>
    <t>9.02</t>
  </si>
  <si>
    <t>אספקה והתקנת דופן פנימית לדלפק {זיהוי}, מחומר {סוג}, בגובה ובעובי {מידות}, בגמר {גמר}, על תשתית {סוג}, לרבות פתחים והתאמות לציוד לפי הפרט.</t>
  </si>
  <si>
    <t>070029a7-8858-4f72-a935-b6286e7e1b8e</t>
  </si>
  <si>
    <t>9.03</t>
  </si>
  <si>
    <t>אספקה והתקנת דופן חיצונית או חיפוי נגרות לדלפק {זיהוי}, בגובה ובחלוקה {מידות}, מחומר ובגמר {מפרט}, על גבי {תשתית}. חיפוי אריחים ורכיבי מיתוג אינם כלולים אם תומחרו בנפרד.</t>
  </si>
  <si>
    <t>5e1bd1f0-1c55-45e6-b307-c3ea94e7c2c2</t>
  </si>
  <si>
    <t>9.04</t>
  </si>
  <si>
    <t>אספקה והתקנת שער או דלת כניסה לדלפק מטיפוס {טיפוס}, במידות {מידות}, מחומר ובגמר {מפרט}, לרבות מסגרת, צירים, סגירה וחיבורים כפי שנקבעו בפרט.</t>
  </si>
  <si>
    <t>0b184f70-a982-4b94-988b-799479827245</t>
  </si>
  <si>
    <t>9.05</t>
  </si>
  <si>
    <t>אספקה והתקנת יחידת מדפים או בר תצוגה אחורי לדלפק {זיהוי}, במידות {מידות}, מחומרי {מפרט}, בגמר {גמר}, לרבות פרזול ועיגון. מסגרות תמיכה ומראות בפרקים נפרדים אינן כלולות.</t>
  </si>
  <si>
    <t>2768e6ee-f41d-41f8-9b54-411026fd5d7d</t>
  </si>
  <si>
    <t>9.06</t>
  </si>
  <si>
    <t>אספקה והתקנת עמדת מלצרים מטיפוס {טיפוס}, במידות {מידות}, הכוללת ארון, חלוקה פנימית, דלתות ומגירות {פירוט}; חומרי פנים וחוץ, גמר ופרזול {מפרט}.</t>
  </si>
  <si>
    <t>ca35bfa7-f8d1-429b-8ba0-ab12ceff85a2</t>
  </si>
  <si>
    <t>9.07</t>
  </si>
  <si>
    <t>אספקה והתקנת עמדת משלוחים מטיפוס {טיפוס}, במידות {מידות}, מחומרים ובגמר {מפרט}, לרבות חלוקה פנימית, פרזול ופתחים המוגדרים לפריט.</t>
  </si>
  <si>
    <t>efc066f3-a36e-4127-83e7-41d23354b6d6</t>
  </si>
  <si>
    <t>9.08</t>
  </si>
  <si>
    <t>אספקה והתקנת ארון שירות מטיפוס {טיפוס}, במידות {מידות}, בחלוקה {חלוקה}, מחומרים ובגמר {מפרט}, לרבות פרזול וחיבורים. משטח עליון מתומחר בנפרד בפרק המשטחים.</t>
  </si>
  <si>
    <t>fabe18ed-f7f3-4021-bba8-927866845dd2</t>
  </si>
  <si>
    <t>נגרות ייעודית (המשך)</t>
  </si>
  <si>
    <t>heading</t>
  </si>
  <si>
    <t>מפרט משותף לפלטות שולחן: תשתית {חומר}, גמר עליון ותחתון {מפרט}, קנט {מפרט}, הכנות וחיבור לרגל {מפרט}. כל גודל או טיפוס בתמחור שונה יופיע כסעיף עצמאי. המידות אינן ערכי ברירת מחדל.</t>
  </si>
  <si>
    <t>58b39d07-1e4e-4a47-8881-80a2606e99a6</t>
  </si>
  <si>
    <t>9.09</t>
  </si>
  <si>
    <t>פלטת שולחן מטיפוס {טיפוס א}, במידות {מידות א}, לפי המפרט המשותף, לרבות {תכולת הכנות וחיבור}.</t>
  </si>
  <si>
    <t>533b5a6c-0e64-48bd-af8a-0b3ff4688c51</t>
  </si>
  <si>
    <t>9.10</t>
  </si>
  <si>
    <t>פלטת שולחן מטיפוס {טיפוס ב}, במידות {מידות ב}, לפי המפרט המשותף, לרבות {תכולת הכנות וחיבור}.</t>
  </si>
  <si>
    <t>b4d0bba7-3d75-4a74-a51e-5eba76b4308c</t>
  </si>
  <si>
    <t>9.11</t>
  </si>
  <si>
    <t>פלטת שולחן מטיפוס {טיפוס ג}, במידות {מידות ג}, לפי המפרט המשותף, לרבות {תכולת הכנות וחיבור}.</t>
  </si>
  <si>
    <t>1a325ab6-edd5-4e90-a936-53c3ff0f5fa8</t>
  </si>
  <si>
    <t>סיכום חלקי פרק 9 להעברה</t>
  </si>
  <si>
    <t>ריכוז עלויות</t>
  </si>
  <si>
    <t>תיאור</t>
  </si>
  <si>
    <t>סכומים חלקיים — קיימים סעיפים ללא תמחור מלא</t>
  </si>
  <si>
    <t>סה״כ כולל מע״מ</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</si>
</sst>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quot;תאריך: &quot;@"/>
    <numFmt numFmtId="165" formatCode="&quot;פרק &quot;0"/>
    <numFmt numFmtId="166" formatCode="#,##0.00&quot;₪&quot;"/>
    <numFmt numFmtId="167" formatCode="#,##0&quot;₪&quot;"/>
    <numFmt numFmtId="168" formatCode="[=0]#,##0&quot;₪&quot;;#,##0.00&quot;₪&quot;"/>
  </numFmts>
  <fonts count="7" x14ac:knownFonts="1">
    <font>
      <color theme="1"/>
      <family val="2"/>
      <scheme val="minor"/>
      <sz val="11"/>
      <name val="Calibri"/>
    </font>
    <font>
      <b/>
      <sz val="12"/>
      <name val="Assistant"/>
    </font>
    <font>
      <b/>
      <sz val="14"/>
      <name val="Assistant"/>
    </font>
    <font>
      <sz val="12"/>
      <name val="Assistant"/>
    </font>
    <font>
      <b/>
      <sz val="36"/>
      <name val="Assistant"/>
    </font>
    <font>
      <sz val="20"/>
      <name val="Assistant"/>
    </font>
    <font>
      <i/>
      <color rgb="FF68756E"/>
      <sz val="10"/>
      <name val="Assistant"/>
    </font>
  </fonts>
  <fills count="4">
    <fill>
      <patternFill patternType="none"/>
    </fill>
    <fill>
      <patternFill patternType="gray125"/>
    </fill>
    <fill>
      <patternFill patternType="solid">
        <fgColor rgb="FFF3F6F4"/>
      </patternFill>
    </fill>
    <fill>
      <patternFill patternType="solid">
        <fgColor rgb="FFE3ECE6"/>
      </patternFill>
    </fill>
  </fills>
  <borders count="8">
    <border>
      <left/>
      <right/>
      <top/>
      <bottom/>
      <diagonal/>
    </border>
    <border>
      <left style="thin">
        <color rgb="FF505B55"/>
      </left>
      <right style="thin">
        <color rgb="FF505B55"/>
      </right>
      <top style="thin">
        <color rgb="FF505B55"/>
      </top>
      <bottom style="thin">
        <color rgb="FF505B55"/>
      </bottom>
      <diagonal/>
    </border>
    <border>
      <left style="thin">
        <color rgb="FF505B55"/>
      </left>
      <right style="thin">
        <color rgb="FF505B55"/>
      </right>
      <top/>
      <bottom/>
      <diagonal/>
    </border>
    <border>
      <left style="thin">
        <color rgb="FF505B55"/>
      </left>
      <right style="thin">
        <color rgb="FF505B55"/>
      </right>
      <top/>
      <bottom style="thin">
        <color rgb="FF505B55"/>
      </bottom>
      <diagonal/>
    </border>
    <border>
      <left style="thin">
        <color rgb="FF505B55"/>
      </left>
      <right style="thin">
        <color rgb="FF505B55"/>
      </right>
      <top style="thin">
        <color rgb="FF505B55"/>
      </top>
      <bottom/>
      <diagonal/>
    </border>
    <border>
      <left style="thin">
        <color rgb="FF505B55"/>
      </left>
      <right style="thin">
        <color rgb="FF505B55"/>
      </right>
      <top/>
      <bottom style="hair">
        <color rgb="FFD7DDD9"/>
      </bottom>
      <diagonal/>
    </border>
    <border>
      <left/>
      <right/>
      <top style="thin">
        <color rgb="FF505B55"/>
      </top>
      <bottom style="thin">
        <color rgb="FF505B55"/>
      </bottom>
      <diagonal/>
    </border>
    <border>
      <left/>
      <right/>
      <top/>
      <bottom style="thin">
        <color rgb="FF505B55"/>
      </bottom>
      <diagonal/>
    </border>
  </borders>
  <cellStyleXfs count="1">
    <xf numFmtId="0" fontId="0" fillId="0" borderId="0"/>
  </cellStyleXfs>
  <cellXfs count="53">
    <xf numFmtId="0" fontId="0" fillId="0" borderId="0" xfId="0"/>
    <xf numFmtId="0" fontId="1" fillId="0" borderId="0" xfId="0" applyFont="1" applyAlignment="1">
      <alignment horizontal="center" vertical="top" wrapText="1" readingOrder="2"/>
    </xf>
    <xf numFmtId="0" fontId="2" fillId="0" borderId="0" xfId="0" applyFont="1" applyAlignment="1">
      <alignment horizontal="center" vertical="top" wrapText="1" readingOrder="2"/>
    </xf>
    <xf numFmtId="0" fontId="2" fillId="0" borderId="0" xfId="0" applyFont="1"/>
    <xf numFmtId="0" fontId="3" fillId="0" borderId="0" xfId="0" applyFont="1" applyAlignment="1">
      <alignment horizontal="center" vertical="top" wrapText="1" readingOrder="2"/>
    </xf>
    <xf numFmtId="0" fontId="4" fillId="0" borderId="0" xfId="0" applyFont="1" applyAlignment="1">
      <alignment horizontal="center" vertical="top" wrapText="1" readingOrder="2"/>
    </xf>
    <xf numFmtId="0" fontId="4" fillId="0" borderId="0" xfId="0" applyFont="1"/>
    <xf numFmtId="0" fontId="5" fillId="0" borderId="0" xfId="0" applyFont="1" applyAlignment="1">
      <alignment horizontal="center" vertical="top" wrapText="1" readingOrder="2"/>
    </xf>
    <xf numFmtId="0" fontId="5" fillId="0" borderId="0" xfId="0" applyFont="1"/>
    <xf numFmtId="164" fontId="3" fillId="0" borderId="0" xfId="0" applyNumberFormat="1" applyFont="1" applyAlignment="1">
      <alignment horizontal="center" vertical="top" wrapText="1" readingOrder="2"/>
    </xf>
    <xf numFmtId="164" fontId="0" fillId="0" borderId="0" xfId="0" applyNumberFormat="1"/>
    <xf numFmtId="0" fontId="3" fillId="0" borderId="0" xfId="0" applyFont="1"/>
    <xf numFmtId="0" fontId="2" fillId="0" borderId="0" xfId="0" applyFont="1" applyAlignment="1">
      <alignment horizontal="right" vertical="top" wrapText="1" readingOrder="2"/>
    </xf>
    <xf numFmtId="0" fontId="1" fillId="0" borderId="0" xfId="0" applyFont="1" applyAlignment="1">
      <alignment horizontal="right" vertical="top" wrapText="1" readingOrder="2"/>
    </xf>
    <xf numFmtId="0" fontId="3" fillId="0" borderId="1" xfId="0" applyFont="1" applyBorder="1" applyAlignment="1">
      <alignment horizontal="center" vertical="top" wrapText="1" readingOrder="2"/>
    </xf>
    <xf numFmtId="0" fontId="3" fillId="0" borderId="1" xfId="0" applyFont="1" applyBorder="1" applyAlignment="1">
      <alignment horizontal="right" vertical="top" wrapText="1" readingOrder="2"/>
    </xf>
    <xf numFmtId="0" fontId="0" fillId="0" borderId="1" xfId="0" applyBorder="1"/>
    <xf numFmtId="0" fontId="3" fillId="0" borderId="0" xfId="0" applyFont="1" applyAlignment="1">
      <alignment horizontal="right" vertical="top" wrapText="1" readingOrder="2"/>
    </xf>
    <xf numFmtId="165" fontId="1" fillId="0" borderId="0" xfId="0" applyNumberFormat="1" applyFont="1" applyAlignment="1">
      <alignment horizontal="center" vertical="top" wrapText="1" readingOrder="2"/>
    </xf>
    <xf numFmtId="0" fontId="1" fillId="0" borderId="1" xfId="0" applyFont="1" applyBorder="1" applyAlignment="1">
      <alignment horizontal="center" vertical="top" wrapText="1" readingOrder="2"/>
    </xf>
    <xf numFmtId="0" fontId="1" fillId="0" borderId="1" xfId="0" applyFont="1" applyBorder="1" applyAlignment="1">
      <alignment horizontal="right" vertical="top" wrapText="1" readingOrder="2"/>
    </xf>
    <xf numFmtId="0" fontId="3" fillId="0" borderId="2" xfId="0" applyFont="1" applyBorder="1" applyAlignment="1">
      <alignment horizontal="center" vertical="top" wrapText="1" readingOrder="2"/>
    </xf>
    <xf numFmtId="0" fontId="3" fillId="0" borderId="2" xfId="0" applyFont="1" applyBorder="1" applyAlignment="1">
      <alignment horizontal="right" vertical="top" wrapText="1" readingOrder="2"/>
    </xf>
    <xf numFmtId="166" fontId="3" fillId="0" borderId="2" xfId="0" applyNumberFormat="1" applyFont="1" applyBorder="1" applyAlignment="1">
      <alignment horizontal="center" vertical="top" wrapText="1" readingOrder="2"/>
    </xf>
    <xf numFmtId="166" fontId="3" fillId="0" borderId="1" xfId="0" applyNumberFormat="1" applyFont="1" applyBorder="1" applyAlignment="1">
      <alignment horizontal="center" vertical="top" wrapText="1" readingOrder="2"/>
    </xf>
    <xf numFmtId="168" fontId="3" fillId="0" borderId="1" xfId="0" applyNumberFormat="1" applyFont="1" applyBorder="1" applyAlignment="1">
      <alignment horizontal="center" vertical="top" wrapText="1" readingOrder="2"/>
    </xf>
    <xf numFmtId="0" fontId="3" fillId="0" borderId="3" xfId="0" applyFont="1" applyBorder="1" applyAlignment="1">
      <alignment horizontal="center" vertical="top" wrapText="1" readingOrder="2"/>
    </xf>
    <xf numFmtId="0" fontId="3" fillId="0" borderId="3" xfId="0" applyFont="1" applyBorder="1" applyAlignment="1">
      <alignment horizontal="right" vertical="top" wrapText="1" readingOrder="2"/>
    </xf>
    <xf numFmtId="165" fontId="3" fillId="0" borderId="0" xfId="0" applyNumberFormat="1" applyFont="1" applyAlignment="1">
      <alignment horizontal="center" vertical="top" wrapText="1" readingOrder="2"/>
    </xf>
    <xf numFmtId="0" fontId="1" fillId="0" borderId="4" xfId="0" applyFont="1" applyBorder="1" applyAlignment="1">
      <alignment horizontal="center" vertical="top" wrapText="1" readingOrder="2"/>
    </xf>
    <xf numFmtId="0" fontId="1" fillId="0" borderId="4" xfId="0" applyFont="1" applyBorder="1" applyAlignment="1">
      <alignment horizontal="right" vertical="top" wrapText="1" readingOrder="2"/>
    </xf>
    <xf numFmtId="0" fontId="0" fillId="0" borderId="4" xfId="0" applyBorder="1"/>
    <xf numFmtId="0" fontId="3" fillId="0" borderId="5" xfId="0" applyFont="1" applyBorder="1" applyAlignment="1">
      <alignment horizontal="center" vertical="top" wrapText="1" readingOrder="2"/>
    </xf>
    <xf numFmtId="0" fontId="3" fillId="0" borderId="5" xfId="0" applyFont="1" applyBorder="1" applyAlignment="1">
      <alignment horizontal="right" vertical="top" wrapText="1" readingOrder="2"/>
    </xf>
    <xf numFmtId="0" fontId="0" fillId="0" borderId="5" xfId="0" applyBorder="1"/>
    <xf numFmtId="166" fontId="3" fillId="0" borderId="5" xfId="0" applyNumberFormat="1" applyFont="1" applyBorder="1" applyAlignment="1">
      <alignment horizontal="center" vertical="top" wrapText="1" readingOrder="2"/>
    </xf>
    <xf numFmtId="166" fontId="0" fillId="0" borderId="5" xfId="0" applyNumberFormat="1" applyBorder="1"/>
    <xf numFmtId="168" fontId="3" fillId="0" borderId="5" xfId="0" applyNumberFormat="1" applyFont="1" applyBorder="1" applyAlignment="1">
      <alignment horizontal="center" vertical="top" wrapText="1" readingOrder="2"/>
    </xf>
    <xf numFmtId="168" fontId="0" fillId="0" borderId="5" xfId="0" applyNumberFormat="1" applyBorder="1"/>
    <xf numFmtId="0" fontId="6" fillId="0" borderId="0" xfId="0" applyFont="1" applyAlignment="1">
      <alignment horizontal="right" vertical="top" wrapText="1" readingOrder="2"/>
    </xf>
    <xf numFmtId="0" fontId="6" fillId="0" borderId="0" xfId="0" applyFont="1"/>
    <xf numFmtId="0" fontId="1" fillId="2" borderId="6" xfId="0" applyFont="1" applyFill="1" applyBorder="1" applyAlignment="1">
      <alignment horizontal="right" vertical="top" wrapText="1" readingOrder="2"/>
    </xf>
    <xf numFmtId="0" fontId="1" fillId="2" borderId="6" xfId="0" applyFont="1" applyFill="1" applyBorder="1"/>
    <xf numFmtId="166" fontId="1" fillId="2" borderId="6" xfId="0" applyNumberFormat="1" applyFont="1" applyFill="1" applyBorder="1" applyAlignment="1">
      <alignment horizontal="center" vertical="top" wrapText="1" readingOrder="2"/>
    </xf>
    <xf numFmtId="166" fontId="1" fillId="2" borderId="6" xfId="0" applyNumberFormat="1" applyFont="1" applyFill="1" applyBorder="1"/>
    <xf numFmtId="0" fontId="1" fillId="2" borderId="7" xfId="0" applyFont="1" applyFill="1" applyBorder="1" applyAlignment="1">
      <alignment horizontal="right" vertical="top" wrapText="1" readingOrder="2"/>
    </xf>
    <xf numFmtId="0" fontId="1" fillId="2" borderId="7" xfId="0" applyFont="1" applyFill="1" applyBorder="1"/>
    <xf numFmtId="166" fontId="1" fillId="2" borderId="7" xfId="0" applyNumberFormat="1" applyFont="1" applyFill="1" applyBorder="1" applyAlignment="1">
      <alignment horizontal="center" vertical="top" wrapText="1" readingOrder="2"/>
    </xf>
    <xf numFmtId="166" fontId="1" fillId="2" borderId="7" xfId="0" applyNumberFormat="1" applyFont="1" applyFill="1" applyBorder="1"/>
    <xf numFmtId="0" fontId="1" fillId="3" borderId="7" xfId="0" applyFont="1" applyFill="1" applyBorder="1" applyAlignment="1">
      <alignment horizontal="right" vertical="top" wrapText="1" readingOrder="2"/>
    </xf>
    <xf numFmtId="0" fontId="1" fillId="3" borderId="7" xfId="0" applyFont="1" applyFill="1" applyBorder="1"/>
    <xf numFmtId="166" fontId="1" fillId="3" borderId="7" xfId="0" applyNumberFormat="1" applyFont="1" applyFill="1" applyBorder="1" applyAlignment="1">
      <alignment horizontal="center" vertical="top" wrapText="1" readingOrder="2"/>
    </xf>
    <xf numFmtId="166" fontId="1" fillId="3" borderId="7" xfId="0" applyNumberFormat="1" applyFont="1" applyFill="1" applyBorder="1"/>
  </cellXfs>
  <cellStyles count="1">
    <cellStyle name="Normal" xfId="0" builtinId="0"/>
  </cellStyles>
  <dxfs count="234">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
      <numFmt numFmtId="167" formatCode="#,##0&quot;₪&quot;"/>
    </dxf>
    <dxf>
      <numFmt numFmtId="166" formatCode="#,##0.00&quot;₪&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1681163</xdr:colOff>
      <xdr:row>10</xdr:row>
      <xdr:rowOff>105393</xdr:rowOff>
    </xdr:from>
    <xdr:ext cx="3429000" cy="932214"/>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4"/>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46" customHeight="1" x14ac:dyDescent="0.25"/>
    <row r="2" ht="36" customHeight="1" spans="1:6" x14ac:dyDescent="0.25">
      <c r="A2" s="1"/>
      <c r="B2" s="2" t="s">
        <v>0</v>
      </c>
      <c r="C2" s="3"/>
      <c r="D2" s="3"/>
      <c r="E2" s="3"/>
      <c r="F2" s="3"/>
    </row>
    <row r="3" ht="65" customHeight="1" x14ac:dyDescent="0.25"/>
    <row r="4" ht="70" customHeight="1" spans="1:6" x14ac:dyDescent="0.25">
      <c r="A4" s="4"/>
      <c r="B4" s="5" t="s">
        <v>1</v>
      </c>
      <c r="C4" s="6"/>
      <c r="D4" s="6"/>
      <c r="E4" s="6"/>
      <c r="F4" s="6"/>
    </row>
    <row r="5" ht="41" customHeight="1" spans="1:6" x14ac:dyDescent="0.25">
      <c r="A5" s="4"/>
      <c r="B5" s="7" t="s">
        <v>2</v>
      </c>
      <c r="C5" s="8"/>
      <c r="D5" s="8"/>
      <c r="E5" s="8"/>
      <c r="F5" s="8"/>
    </row>
    <row r="6" ht="32" customHeight="1" spans="1:6" x14ac:dyDescent="0.25">
      <c r="A6" s="4"/>
      <c r="B6" s="2" t="s">
        <v>2</v>
      </c>
      <c r="C6" s="3"/>
      <c r="D6" s="3"/>
      <c r="E6" s="3"/>
      <c r="F6" s="3"/>
    </row>
    <row r="7" ht="35" customHeight="1" x14ac:dyDescent="0.25"/>
    <row r="8" ht="28" customHeight="1" spans="1:6" x14ac:dyDescent="0.25">
      <c r="A8" s="4"/>
      <c r="B8" s="9" t="s">
        <v>3</v>
      </c>
      <c r="C8" s="10"/>
      <c r="D8" s="10"/>
      <c r="E8" s="10"/>
      <c r="F8" s="10"/>
    </row>
    <row r="10" ht="70" customHeight="1" x14ac:dyDescent="0.25"/>
    <row r="11" ht="90" customHeight="1" x14ac:dyDescent="0.25"/>
    <row r="12" ht="38" customHeight="1" spans="1:6" x14ac:dyDescent="0.25">
      <c r="A12" s="4"/>
      <c r="B12" s="4" t="s">
        <v>4</v>
      </c>
      <c r="C12" s="11"/>
      <c r="D12" s="11"/>
      <c r="E12" s="11"/>
      <c r="F12" s="11"/>
    </row>
    <row r="13" ht="145" customHeight="1" spans="1:8" x14ac:dyDescent="0.25">
      <c r="A13" s="4"/>
      <c r="B13" s="4"/>
      <c r="C13" s="4"/>
      <c r="D13" s="4"/>
      <c r="E13" s="4"/>
      <c r="F13" s="4"/>
      <c r="G13" s="4"/>
      <c r="H13" s="4" t="s">
        <v>5</v>
      </c>
    </row>
    <row r="14" hidden="1" spans="1:6" x14ac:dyDescent="0.25">
      <c r="A14" s="4"/>
      <c r="B14" s="4" t="s">
        <v>2</v>
      </c>
      <c r="C14" s="4"/>
      <c r="D14" s="4" t="s">
        <v>2</v>
      </c>
      <c r="E14" s="4"/>
      <c r="F14" s="4">
        <v>18</v>
      </c>
    </row>
  </sheetData>
  <mergeCells count="6">
    <mergeCell ref="B2:F2"/>
    <mergeCell ref="B4:F4"/>
    <mergeCell ref="B5:F5"/>
    <mergeCell ref="B6:F6"/>
    <mergeCell ref="B8:F8"/>
    <mergeCell ref="B12:F12"/>
  </mergeCells>
  <pageMargins left="0.25" right="0.25" top="0.75" bottom="0.75" header="0" footer="0.25"/>
  <pageSetup paperSize="9" orientation="portrait"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0"/>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6" customHeight="1" spans="1:6" x14ac:dyDescent="0.25">
      <c r="A1" s="1"/>
      <c r="B1" s="12" t="s">
        <v>6</v>
      </c>
      <c r="C1" s="3"/>
      <c r="D1" s="3"/>
      <c r="E1" s="3"/>
      <c r="F1" s="3"/>
    </row>
    <row r="2" ht="28" customHeight="1" spans="1:6" x14ac:dyDescent="0.25">
      <c r="A2" s="1" t="s">
        <v>7</v>
      </c>
      <c r="B2" s="13" t="s">
        <v>8</v>
      </c>
      <c r="C2"/>
      <c r="D2"/>
      <c r="E2"/>
      <c r="F2" s="1" t="s">
        <v>9</v>
      </c>
    </row>
    <row r="3" ht="30" customHeight="1" spans="1:6" x14ac:dyDescent="0.25">
      <c r="A3" s="14">
        <v>1</v>
      </c>
      <c r="B3" s="15" t="s">
        <v>10</v>
      </c>
      <c r="C3" s="16"/>
      <c r="D3" s="16"/>
      <c r="E3" s="16"/>
      <c r="F3" s="14">
        <v>3</v>
      </c>
    </row>
    <row r="4" ht="30" customHeight="1" spans="1:6" x14ac:dyDescent="0.25">
      <c r="A4" s="14">
        <v>2</v>
      </c>
      <c r="B4" s="15" t="s">
        <v>11</v>
      </c>
      <c r="C4" s="16"/>
      <c r="D4" s="16"/>
      <c r="E4" s="16"/>
      <c r="F4" s="14">
        <v>4</v>
      </c>
    </row>
    <row r="5" ht="30" customHeight="1" spans="1:6" x14ac:dyDescent="0.25">
      <c r="A5" s="14">
        <v>3</v>
      </c>
      <c r="B5" s="15" t="s">
        <v>12</v>
      </c>
      <c r="C5" s="16"/>
      <c r="D5" s="16"/>
      <c r="E5" s="16"/>
      <c r="F5" s="14">
        <v>5</v>
      </c>
    </row>
    <row r="6" ht="30" customHeight="1" spans="1:6" x14ac:dyDescent="0.25">
      <c r="A6" s="14">
        <v>4</v>
      </c>
      <c r="B6" s="15" t="s">
        <v>13</v>
      </c>
      <c r="C6" s="16"/>
      <c r="D6" s="16"/>
      <c r="E6" s="16"/>
      <c r="F6" s="14">
        <v>6</v>
      </c>
    </row>
    <row r="7" ht="30" customHeight="1" spans="1:6" x14ac:dyDescent="0.25">
      <c r="A7" s="14">
        <v>5</v>
      </c>
      <c r="B7" s="15" t="s">
        <v>14</v>
      </c>
      <c r="C7" s="16"/>
      <c r="D7" s="16"/>
      <c r="E7" s="16"/>
      <c r="F7" s="14">
        <v>7</v>
      </c>
    </row>
    <row r="8" ht="30" customHeight="1" spans="1:6" x14ac:dyDescent="0.25">
      <c r="A8" s="14">
        <v>6</v>
      </c>
      <c r="B8" s="15" t="s">
        <v>15</v>
      </c>
      <c r="C8" s="16"/>
      <c r="D8" s="16"/>
      <c r="E8" s="16"/>
      <c r="F8" s="14">
        <v>8</v>
      </c>
    </row>
    <row r="9" ht="30" customHeight="1" spans="1:6" x14ac:dyDescent="0.25">
      <c r="A9" s="14">
        <v>7</v>
      </c>
      <c r="B9" s="15" t="s">
        <v>16</v>
      </c>
      <c r="C9" s="16"/>
      <c r="D9" s="16"/>
      <c r="E9" s="16"/>
      <c r="F9" s="14">
        <v>9</v>
      </c>
    </row>
    <row r="10" ht="30" customHeight="1" spans="1:6" x14ac:dyDescent="0.25">
      <c r="A10" s="14">
        <v>8</v>
      </c>
      <c r="B10" s="15" t="s">
        <v>17</v>
      </c>
      <c r="C10" s="16"/>
      <c r="D10" s="16"/>
      <c r="E10" s="16"/>
      <c r="F10" s="14">
        <v>10</v>
      </c>
    </row>
    <row r="11" ht="30" customHeight="1" spans="1:6" x14ac:dyDescent="0.25">
      <c r="A11" s="14">
        <v>9</v>
      </c>
      <c r="B11" s="15" t="s">
        <v>18</v>
      </c>
      <c r="C11" s="16"/>
      <c r="D11" s="16"/>
      <c r="E11" s="16"/>
      <c r="F11" s="14">
        <v>11</v>
      </c>
    </row>
    <row r="12" ht="24" customHeight="1" spans="1:8" x14ac:dyDescent="0.25">
      <c r="A12" s="4"/>
      <c r="B12" s="17"/>
      <c r="C12" s="4"/>
      <c r="D12" s="4"/>
      <c r="E12" s="4"/>
      <c r="F12" s="4"/>
      <c r="G12" s="4"/>
      <c r="H12" s="4" t="s">
        <v>5</v>
      </c>
    </row>
    <row r="13" ht="24" customHeight="1" spans="1:8" x14ac:dyDescent="0.25">
      <c r="A13" s="4"/>
      <c r="B13" s="17"/>
      <c r="C13" s="4"/>
      <c r="D13" s="4"/>
      <c r="E13" s="4"/>
      <c r="F13" s="4"/>
      <c r="G13" s="4"/>
      <c r="H13" s="4" t="s">
        <v>5</v>
      </c>
    </row>
    <row r="14" ht="32" customHeight="1" spans="1:6" x14ac:dyDescent="0.25">
      <c r="A14" s="4"/>
      <c r="B14" s="12" t="s">
        <v>19</v>
      </c>
      <c r="C14" s="3"/>
      <c r="D14" s="3"/>
      <c r="E14" s="3"/>
      <c r="F14" s="3"/>
    </row>
    <row r="15" ht="34.8" customHeight="1" spans="1:6" x14ac:dyDescent="0.25">
      <c r="A15" s="17" t="s">
        <v>20</v>
      </c>
      <c r="B15"/>
      <c r="C15"/>
      <c r="D15"/>
      <c r="E15"/>
      <c r="F15"/>
    </row>
    <row r="16" ht="34.8" customHeight="1" spans="1:6" x14ac:dyDescent="0.25">
      <c r="A16" s="17" t="s">
        <v>21</v>
      </c>
      <c r="B16"/>
      <c r="C16"/>
      <c r="D16"/>
      <c r="E16"/>
      <c r="F16"/>
    </row>
    <row r="17" ht="34.8" customHeight="1" spans="1:6" x14ac:dyDescent="0.25">
      <c r="A17" s="17" t="s">
        <v>22</v>
      </c>
      <c r="B17"/>
      <c r="C17"/>
      <c r="D17"/>
      <c r="E17"/>
      <c r="F17"/>
    </row>
    <row r="18" ht="34.8" customHeight="1" spans="1:6" x14ac:dyDescent="0.25">
      <c r="A18" s="17" t="s">
        <v>23</v>
      </c>
      <c r="B18"/>
      <c r="C18"/>
      <c r="D18"/>
      <c r="E18"/>
      <c r="F18"/>
    </row>
    <row r="19" ht="34.8" customHeight="1" spans="1:6" x14ac:dyDescent="0.25">
      <c r="A19" s="17" t="s">
        <v>24</v>
      </c>
      <c r="B19"/>
      <c r="C19"/>
      <c r="D19"/>
      <c r="E19"/>
      <c r="F19"/>
    </row>
    <row r="20" ht="132.0000000000001" customHeight="1" spans="1:8" x14ac:dyDescent="0.25">
      <c r="A20" s="4"/>
      <c r="B20" s="17"/>
      <c r="C20" s="4"/>
      <c r="D20" s="4"/>
      <c r="E20" s="4"/>
      <c r="F20" s="4"/>
      <c r="G20" s="4"/>
      <c r="H20" s="4" t="s">
        <v>5</v>
      </c>
    </row>
  </sheetData>
  <mergeCells count="17">
    <mergeCell ref="B1:F1"/>
    <mergeCell ref="B2:E2"/>
    <mergeCell ref="B3:E3"/>
    <mergeCell ref="B4:E4"/>
    <mergeCell ref="B5:E5"/>
    <mergeCell ref="B6:E6"/>
    <mergeCell ref="B7:E7"/>
    <mergeCell ref="B8:E8"/>
    <mergeCell ref="B9:E9"/>
    <mergeCell ref="B10:E10"/>
    <mergeCell ref="B11:E11"/>
    <mergeCell ref="B14:F14"/>
    <mergeCell ref="A15:F15"/>
    <mergeCell ref="A16:F16"/>
    <mergeCell ref="A17:F17"/>
    <mergeCell ref="A18:F18"/>
    <mergeCell ref="A19:F19"/>
  </mergeCells>
  <pageMargins left="0.25" right="0.25" top="0.75" bottom="0.75" header="0" footer="0.25"/>
  <pageSetup paperSize="9" orientation="portrait" fitToWidth="1" fitToHeight="0" firstPageNumber="2" useFirstPageNumber="1"/>
  <headerFooter>
    <oddFooter>&amp;Cעמוד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FormatPr defaultRowHeight="15" outlineLevelRow="0" outlineLevelCol="0" x14ac:dyDescent="55"/>
  <sheetData>
    <row r="1" spans="1:7" x14ac:dyDescent="0.25">
      <c r="A1" t="s">
        <v>25</v>
      </c>
      <c r="B1">
        <v>4</v>
      </c>
      <c r="C1" t="s">
        <v>26</v>
      </c>
      <c r="D1" t="s">
        <v>27</v>
      </c>
      <c r="E1" t="s">
        <v>28</v>
      </c>
      <c r="F1" t="s">
        <v>29</v>
      </c>
      <c r="G1" t="s">
        <v>30</v>
      </c>
    </row>
    <row r="2" spans="1:4" x14ac:dyDescent="0.25">
      <c r="A2" t="s">
        <v>31</v>
      </c>
      <c r="B2" t="s">
        <v>32</v>
      </c>
      <c r="C2" t="s">
        <v>33</v>
      </c>
      <c r="D2" t="s">
        <v>34</v>
      </c>
    </row>
    <row r="3" spans="1:4" x14ac:dyDescent="0.25">
      <c r="A3" t="s">
        <v>35</v>
      </c>
      <c r="B3" t="s">
        <v>36</v>
      </c>
      <c r="C3" t="s">
        <v>37</v>
      </c>
      <c r="D3" t="s">
        <v>38</v>
      </c>
    </row>
    <row r="4" spans="1:4" x14ac:dyDescent="0.25">
      <c r="A4" t="s">
        <v>39</v>
      </c>
      <c r="B4" t="s">
        <v>10</v>
      </c>
      <c r="C4">
        <v>1</v>
      </c>
      <c r="D4" t="s">
        <v>40</v>
      </c>
    </row>
    <row r="5" spans="1:4" x14ac:dyDescent="0.25">
      <c r="A5" t="s">
        <v>41</v>
      </c>
      <c r="B5" t="s">
        <v>11</v>
      </c>
      <c r="C5">
        <v>1</v>
      </c>
      <c r="D5" t="s">
        <v>42</v>
      </c>
    </row>
    <row r="6" spans="1:4" x14ac:dyDescent="0.25">
      <c r="A6" t="s">
        <v>43</v>
      </c>
      <c r="B6" t="s">
        <v>12</v>
      </c>
      <c r="C6">
        <v>1</v>
      </c>
      <c r="D6" t="s">
        <v>44</v>
      </c>
    </row>
    <row r="7" spans="1:4" x14ac:dyDescent="0.25">
      <c r="A7" t="s">
        <v>45</v>
      </c>
      <c r="B7" t="s">
        <v>13</v>
      </c>
      <c r="C7">
        <v>1</v>
      </c>
      <c r="D7" t="s">
        <v>46</v>
      </c>
    </row>
    <row r="8" spans="1:4" x14ac:dyDescent="0.25">
      <c r="A8" t="s">
        <v>47</v>
      </c>
      <c r="B8" t="s">
        <v>14</v>
      </c>
      <c r="C8">
        <v>1</v>
      </c>
      <c r="D8" t="s">
        <v>48</v>
      </c>
    </row>
    <row r="9" spans="1:4" x14ac:dyDescent="0.25">
      <c r="A9" t="s">
        <v>49</v>
      </c>
      <c r="B9" t="s">
        <v>15</v>
      </c>
      <c r="C9">
        <v>1</v>
      </c>
      <c r="D9" t="s">
        <v>50</v>
      </c>
    </row>
    <row r="10" spans="1:4" x14ac:dyDescent="0.25">
      <c r="A10" t="s">
        <v>51</v>
      </c>
      <c r="B10" t="s">
        <v>16</v>
      </c>
      <c r="C10">
        <v>1</v>
      </c>
      <c r="D10" t="s">
        <v>52</v>
      </c>
    </row>
    <row r="11" spans="1:4" x14ac:dyDescent="0.25">
      <c r="A11" t="s">
        <v>53</v>
      </c>
      <c r="B11" t="s">
        <v>17</v>
      </c>
      <c r="C11">
        <v>1</v>
      </c>
      <c r="D11" t="s">
        <v>54</v>
      </c>
    </row>
    <row r="12" spans="1:4" x14ac:dyDescent="0.25">
      <c r="A12" t="s">
        <v>55</v>
      </c>
      <c r="B12" t="s">
        <v>18</v>
      </c>
      <c r="C12">
        <v>1</v>
      </c>
      <c r="D12" t="s">
        <v>56</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1"/>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1</v>
      </c>
      <c r="B1" s="12" t="s">
        <v>10</v>
      </c>
      <c r="C1" s="3"/>
      <c r="D1" s="3"/>
      <c r="E1" s="3"/>
      <c r="F1" s="3"/>
      <c r="G1" s="1" t="s">
        <v>39</v>
      </c>
      <c r="H1" s="1" t="s">
        <v>57</v>
      </c>
    </row>
    <row r="2" ht="32" customHeight="1" spans="1:8" x14ac:dyDescent="0.25">
      <c r="A2" s="19" t="s">
        <v>58</v>
      </c>
      <c r="B2" s="20" t="s">
        <v>59</v>
      </c>
      <c r="C2" s="19" t="s">
        <v>60</v>
      </c>
      <c r="D2" s="19" t="s">
        <v>61</v>
      </c>
      <c r="E2" s="19" t="s">
        <v>62</v>
      </c>
      <c r="F2" s="19" t="s">
        <v>63</v>
      </c>
      <c r="G2" s="1"/>
      <c r="H2" s="1" t="s">
        <v>64</v>
      </c>
    </row>
    <row r="3" ht="81.6" customHeight="1" spans="1:8" x14ac:dyDescent="0.25">
      <c r="A3" s="21"/>
      <c r="B3" s="22" t="s">
        <v>65</v>
      </c>
      <c r="C3" s="21"/>
      <c r="D3" s="21"/>
      <c r="E3" s="21"/>
      <c r="F3" s="21"/>
      <c r="G3" s="4" t="s">
        <v>66</v>
      </c>
      <c r="H3" s="4" t="s">
        <v>67</v>
      </c>
    </row>
    <row r="4" ht="64.19999999999999" customHeight="1" spans="1:8" x14ac:dyDescent="0.25">
      <c r="A4" s="21" t="s">
        <v>68</v>
      </c>
      <c r="B4" s="22" t="s">
        <v>69</v>
      </c>
      <c r="C4" s="21" t="s">
        <v>70</v>
      </c>
      <c r="D4" s="21">
        <v>0.5</v>
      </c>
      <c r="E4" s="23">
        <v>2469135.78</v>
      </c>
      <c r="F4" s="23">
        <f>IF(ISBLANK(D4),"",IF(NOT(ISNUMBER(D4)),"קלט לא תקין",IF(D4&lt;0,"קלט לא תקין",IF(ISBLANK(E4),"",IF(OR(E4="כלול",E4="לא רלוונטי"),0,IF(NOT(ISNUMBER(E4)),"קלט לא תקין",IF(E4&lt;0,"קלט לא תקין",ROUND(D4*E4,2))))))))</f>
        <v>1234567.89</v>
      </c>
      <c r="G4" s="4" t="s">
        <v>71</v>
      </c>
      <c r="H4" s="4" t="s">
        <v>72</v>
      </c>
    </row>
    <row r="5" ht="46.8" customHeight="1" spans="1:8" x14ac:dyDescent="0.25">
      <c r="A5" s="21" t="s">
        <v>73</v>
      </c>
      <c r="B5" s="22" t="s">
        <v>74</v>
      </c>
      <c r="C5" s="21" t="s">
        <v>70</v>
      </c>
      <c r="D5" s="21"/>
      <c r="E5" s="23"/>
      <c r="F5" s="23" t="str">
        <f>IF(ISBLANK(D5),"",IF(NOT(ISNUMBER(D5)),"קלט לא תקין",IF(D5&lt;0,"קלט לא תקין",IF(ISBLANK(E5),"",IF(OR(E5="כלול",E5="לא רלוונטי"),0,IF(NOT(ISNUMBER(E5)),"קלט לא תקין",IF(E5&lt;0,"קלט לא תקין",ROUND(D5*E5,2))))))))</f>
        <v/>
      </c>
      <c r="G5" s="4" t="s">
        <v>75</v>
      </c>
      <c r="H5" s="4" t="s">
        <v>72</v>
      </c>
    </row>
    <row r="6" ht="46.8" customHeight="1" spans="1:8" x14ac:dyDescent="0.25">
      <c r="A6" s="21" t="s">
        <v>76</v>
      </c>
      <c r="B6" s="22" t="s">
        <v>77</v>
      </c>
      <c r="C6" s="21" t="s">
        <v>78</v>
      </c>
      <c r="D6" s="21"/>
      <c r="E6" s="23"/>
      <c r="F6" s="23" t="str">
        <f>IF(ISBLANK(D6),"",IF(NOT(ISNUMBER(D6)),"קלט לא תקין",IF(D6&lt;0,"קלט לא תקין",IF(ISBLANK(E6),"",IF(OR(E6="כלול",E6="לא רלוונטי"),0,IF(NOT(ISNUMBER(E6)),"קלט לא תקין",IF(E6&lt;0,"קלט לא תקין",ROUND(D6*E6,2))))))))</f>
        <v/>
      </c>
      <c r="G6" s="4" t="s">
        <v>79</v>
      </c>
      <c r="H6" s="4" t="s">
        <v>72</v>
      </c>
    </row>
    <row r="7" ht="46.8" customHeight="1" spans="1:8" x14ac:dyDescent="0.25">
      <c r="A7" s="21" t="s">
        <v>80</v>
      </c>
      <c r="B7" s="22" t="s">
        <v>81</v>
      </c>
      <c r="C7" s="21" t="s">
        <v>82</v>
      </c>
      <c r="D7" s="21"/>
      <c r="E7" s="23"/>
      <c r="F7" s="23" t="str">
        <f>IF(ISBLANK(D7),"",IF(NOT(ISNUMBER(D7)),"קלט לא תקין",IF(D7&lt;0,"קלט לא תקין",IF(ISBLANK(E7),"",IF(OR(E7="כלול",E7="לא רלוונטי"),0,IF(NOT(ISNUMBER(E7)),"קלט לא תקין",IF(E7&lt;0,"קלט לא תקין",ROUND(D7*E7,2))))))))</f>
        <v/>
      </c>
      <c r="G7" s="4" t="s">
        <v>83</v>
      </c>
      <c r="H7" s="4" t="s">
        <v>72</v>
      </c>
    </row>
    <row r="8" ht="46.8" customHeight="1" spans="1:8" x14ac:dyDescent="0.25">
      <c r="A8" s="21" t="s">
        <v>84</v>
      </c>
      <c r="B8" s="22" t="s">
        <v>85</v>
      </c>
      <c r="C8" s="21" t="s">
        <v>82</v>
      </c>
      <c r="D8" s="21"/>
      <c r="E8" s="23"/>
      <c r="F8" s="23" t="str">
        <f>IF(ISBLANK(D8),"",IF(NOT(ISNUMBER(D8)),"קלט לא תקין",IF(D8&lt;0,"קלט לא תקין",IF(ISBLANK(E8),"",IF(OR(E8="כלול",E8="לא רלוונטי"),0,IF(NOT(ISNUMBER(E8)),"קלט לא תקין",IF(E8&lt;0,"קלט לא תקין",ROUND(D8*E8,2))))))))</f>
        <v/>
      </c>
      <c r="G8" s="4" t="s">
        <v>86</v>
      </c>
      <c r="H8" s="4" t="s">
        <v>72</v>
      </c>
    </row>
    <row r="9" ht="46.8" customHeight="1" spans="1:8" x14ac:dyDescent="0.25">
      <c r="A9" s="21" t="s">
        <v>87</v>
      </c>
      <c r="B9" s="22" t="s">
        <v>88</v>
      </c>
      <c r="C9" s="21" t="s">
        <v>82</v>
      </c>
      <c r="D9" s="21"/>
      <c r="E9" s="23"/>
      <c r="F9" s="23" t="str">
        <f>IF(ISBLANK(D9),"",IF(NOT(ISNUMBER(D9)),"קלט לא תקין",IF(D9&lt;0,"קלט לא תקין",IF(ISBLANK(E9),"",IF(OR(E9="כלול",E9="לא רלוונטי"),0,IF(NOT(ISNUMBER(E9)),"קלט לא תקין",IF(E9&lt;0,"קלט לא תקין",ROUND(D9*E9,2))))))))</f>
        <v/>
      </c>
      <c r="G9" s="4" t="s">
        <v>89</v>
      </c>
      <c r="H9" s="4" t="s">
        <v>72</v>
      </c>
    </row>
    <row r="10" ht="244.2" customHeight="1" spans="1:8" x14ac:dyDescent="0.25">
      <c r="A10" s="21"/>
      <c r="B10" s="22"/>
      <c r="C10" s="21"/>
      <c r="D10" s="21"/>
      <c r="E10" s="21"/>
      <c r="F10" s="21"/>
      <c r="G10" s="4"/>
      <c r="H10" s="4" t="s">
        <v>5</v>
      </c>
    </row>
    <row r="11" ht="32" customHeight="1" spans="1:8" x14ac:dyDescent="0.25">
      <c r="A11" s="14"/>
      <c r="B11" s="15" t="s">
        <v>90</v>
      </c>
      <c r="C11" s="16"/>
      <c r="D11" s="16"/>
      <c r="E11" s="16"/>
      <c r="F11" s="24">
        <f>SUM(F4,F5,F6,F7,F8,F9)</f>
        <v>1234567.89</v>
      </c>
      <c r="G11" s="4"/>
      <c r="H11" s="4" t="s">
        <v>91</v>
      </c>
    </row>
  </sheetData>
  <mergeCells count="2">
    <mergeCell ref="B1:F1"/>
    <mergeCell ref="B11:E11"/>
  </mergeCells>
  <conditionalFormatting sqref="E4">
    <cfRule type="expression" dxfId="0" priority="1">
      <formula>AND(ISNUMBER(E4),ROUND(E4,2)=INT(ROUND(E4,2)))</formula>
    </cfRule>
    <cfRule type="expression" dxfId="1" priority="2">
      <formula>AND(ISNUMBER(E4),ROUND(E4,2)&lt;&gt;INT(ROUND(E4,2)))</formula>
    </cfRule>
  </conditionalFormatting>
  <conditionalFormatting sqref="F4">
    <cfRule type="expression" dxfId="2" priority="1">
      <formula>AND(ISNUMBER(F4),ROUND(F4,2)=INT(ROUND(F4,2)))</formula>
    </cfRule>
    <cfRule type="expression" dxfId="3" priority="2">
      <formula>AND(ISNUMBER(F4),ROUND(F4,2)&lt;&gt;INT(ROUND(F4,2)))</formula>
    </cfRule>
  </conditionalFormatting>
  <conditionalFormatting sqref="E5">
    <cfRule type="expression" dxfId="4" priority="1">
      <formula>AND(ISNUMBER(E5),ROUND(E5,2)=INT(ROUND(E5,2)))</formula>
    </cfRule>
    <cfRule type="expression" dxfId="5" priority="2">
      <formula>AND(ISNUMBER(E5),ROUND(E5,2)&lt;&gt;INT(ROUND(E5,2)))</formula>
    </cfRule>
  </conditionalFormatting>
  <conditionalFormatting sqref="F5">
    <cfRule type="expression" dxfId="6" priority="1">
      <formula>AND(ISNUMBER(F5),ROUND(F5,2)=INT(ROUND(F5,2)))</formula>
    </cfRule>
    <cfRule type="expression" dxfId="7" priority="2">
      <formula>AND(ISNUMBER(F5),ROUND(F5,2)&lt;&gt;INT(ROUND(F5,2)))</formula>
    </cfRule>
  </conditionalFormatting>
  <conditionalFormatting sqref="E6">
    <cfRule type="expression" dxfId="8" priority="1">
      <formula>AND(ISNUMBER(E6),ROUND(E6,2)=INT(ROUND(E6,2)))</formula>
    </cfRule>
    <cfRule type="expression" dxfId="9" priority="2">
      <formula>AND(ISNUMBER(E6),ROUND(E6,2)&lt;&gt;INT(ROUND(E6,2)))</formula>
    </cfRule>
  </conditionalFormatting>
  <conditionalFormatting sqref="F6">
    <cfRule type="expression" dxfId="10" priority="1">
      <formula>AND(ISNUMBER(F6),ROUND(F6,2)=INT(ROUND(F6,2)))</formula>
    </cfRule>
    <cfRule type="expression" dxfId="11" priority="2">
      <formula>AND(ISNUMBER(F6),ROUND(F6,2)&lt;&gt;INT(ROUND(F6,2)))</formula>
    </cfRule>
  </conditionalFormatting>
  <conditionalFormatting sqref="E7">
    <cfRule type="expression" dxfId="12" priority="1">
      <formula>AND(ISNUMBER(E7),ROUND(E7,2)=INT(ROUND(E7,2)))</formula>
    </cfRule>
    <cfRule type="expression" dxfId="13" priority="2">
      <formula>AND(ISNUMBER(E7),ROUND(E7,2)&lt;&gt;INT(ROUND(E7,2)))</formula>
    </cfRule>
  </conditionalFormatting>
  <conditionalFormatting sqref="F7">
    <cfRule type="expression" dxfId="14" priority="1">
      <formula>AND(ISNUMBER(F7),ROUND(F7,2)=INT(ROUND(F7,2)))</formula>
    </cfRule>
    <cfRule type="expression" dxfId="15" priority="2">
      <formula>AND(ISNUMBER(F7),ROUND(F7,2)&lt;&gt;INT(ROUND(F7,2)))</formula>
    </cfRule>
  </conditionalFormatting>
  <conditionalFormatting sqref="E8">
    <cfRule type="expression" dxfId="16" priority="1">
      <formula>AND(ISNUMBER(E8),ROUND(E8,2)=INT(ROUND(E8,2)))</formula>
    </cfRule>
    <cfRule type="expression" dxfId="17" priority="2">
      <formula>AND(ISNUMBER(E8),ROUND(E8,2)&lt;&gt;INT(ROUND(E8,2)))</formula>
    </cfRule>
  </conditionalFormatting>
  <conditionalFormatting sqref="F8">
    <cfRule type="expression" dxfId="18" priority="1">
      <formula>AND(ISNUMBER(F8),ROUND(F8,2)=INT(ROUND(F8,2)))</formula>
    </cfRule>
    <cfRule type="expression" dxfId="19" priority="2">
      <formula>AND(ISNUMBER(F8),ROUND(F8,2)&lt;&gt;INT(ROUND(F8,2)))</formula>
    </cfRule>
  </conditionalFormatting>
  <conditionalFormatting sqref="E9">
    <cfRule type="expression" dxfId="20" priority="1">
      <formula>AND(ISNUMBER(E9),ROUND(E9,2)=INT(ROUND(E9,2)))</formula>
    </cfRule>
    <cfRule type="expression" dxfId="21" priority="2">
      <formula>AND(ISNUMBER(E9),ROUND(E9,2)&lt;&gt;INT(ROUND(E9,2)))</formula>
    </cfRule>
  </conditionalFormatting>
  <conditionalFormatting sqref="F9">
    <cfRule type="expression" dxfId="22" priority="1">
      <formula>AND(ISNUMBER(F9),ROUND(F9,2)=INT(ROUND(F9,2)))</formula>
    </cfRule>
    <cfRule type="expression" dxfId="23" priority="2">
      <formula>AND(ISNUMBER(F9),ROUND(F9,2)&lt;&gt;INT(ROUND(F9,2)))</formula>
    </cfRule>
  </conditionalFormatting>
  <conditionalFormatting sqref="F11">
    <cfRule type="expression" dxfId="24" priority="1">
      <formula>AND(ISNUMBER(F11),ROUND(F11,2)=INT(ROUND(F11,2)))</formula>
    </cfRule>
    <cfRule type="expression" dxfId="25" priority="2">
      <formula>AND(ISNUMBER(F11),ROUND(F11,2)&lt;&gt;INT(ROUND(F11,2)))</formula>
    </cfRule>
  </conditionalFormatting>
  <dataValidations count="7">
    <dataValidation type="decimal" operator="greaterThanOrEqual" allowBlank="1" showErrorMessage="1" error="יש להזין מספר לא שלילי" sqref="D4:D9">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 type="custom" allowBlank="1" showErrorMessage="1" error="מספר לא שלילי, כלול או לא רלוונטי בלבד" sqref="E8">
      <formula1>OR(ISBLANK(E8),AND(ISNUMBER(E8),E8&gt;=0),E8="כלול",E8="לא רלוונטי")</formula1>
    </dataValidation>
    <dataValidation type="custom" allowBlank="1" showErrorMessage="1" error="מספר לא שלילי, כלול או לא רלוונטי בלבד" sqref="E9">
      <formula1>OR(ISBLANK(E9),AND(ISNUMBER(E9),E9&gt;=0),E9="כלול",E9="לא רלוונטי")</formula1>
    </dataValidation>
  </dataValidations>
  <pageMargins left="0.25" right="0.25" top="0.75" bottom="0.75" header="0" footer="0.25"/>
  <pageSetup paperSize="9" orientation="portrait" fitToWidth="1" fitToHeight="0" firstPageNumber="3" useFirstPageNumber="1"/>
  <headerFooter>
    <oddFooter>&amp;Cעמוד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3"/>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2</v>
      </c>
      <c r="B1" s="12" t="s">
        <v>11</v>
      </c>
      <c r="C1" s="3"/>
      <c r="D1" s="3"/>
      <c r="E1" s="3"/>
      <c r="F1" s="3"/>
      <c r="G1" s="1" t="s">
        <v>41</v>
      </c>
      <c r="H1" s="1" t="s">
        <v>57</v>
      </c>
    </row>
    <row r="2" ht="32" customHeight="1" spans="1:8" x14ac:dyDescent="0.25">
      <c r="A2" s="19" t="s">
        <v>58</v>
      </c>
      <c r="B2" s="20" t="s">
        <v>59</v>
      </c>
      <c r="C2" s="19" t="s">
        <v>60</v>
      </c>
      <c r="D2" s="19" t="s">
        <v>61</v>
      </c>
      <c r="E2" s="19" t="s">
        <v>62</v>
      </c>
      <c r="F2" s="19" t="s">
        <v>63</v>
      </c>
      <c r="G2" s="1"/>
      <c r="H2" s="1" t="s">
        <v>64</v>
      </c>
    </row>
    <row r="3" ht="81.6" customHeight="1" spans="1:8" x14ac:dyDescent="0.25">
      <c r="A3" s="21"/>
      <c r="B3" s="22" t="s">
        <v>92</v>
      </c>
      <c r="C3" s="21"/>
      <c r="D3" s="21"/>
      <c r="E3" s="21"/>
      <c r="F3" s="21"/>
      <c r="G3" s="4" t="s">
        <v>93</v>
      </c>
      <c r="H3" s="4" t="s">
        <v>67</v>
      </c>
    </row>
    <row r="4" ht="64.19999999999999" customHeight="1" spans="1:8" x14ac:dyDescent="0.25">
      <c r="A4" s="21" t="s">
        <v>94</v>
      </c>
      <c r="B4" s="22" t="s">
        <v>95</v>
      </c>
      <c r="C4" s="21" t="s">
        <v>96</v>
      </c>
      <c r="D4" s="21"/>
      <c r="E4" s="23"/>
      <c r="F4" s="23" t="str">
        <f>IF(ISBLANK(D4),"",IF(NOT(ISNUMBER(D4)),"קלט לא תקין",IF(D4&lt;0,"קלט לא תקין",IF(ISBLANK(E4),"",IF(OR(E4="כלול",E4="לא רלוונטי"),0,IF(NOT(ISNUMBER(E4)),"קלט לא תקין",IF(E4&lt;0,"קלט לא תקין",ROUND(D4*E4,2))))))))</f>
        <v/>
      </c>
      <c r="G4" s="4" t="s">
        <v>97</v>
      </c>
      <c r="H4" s="4" t="s">
        <v>72</v>
      </c>
    </row>
    <row r="5" ht="64.19999999999999" customHeight="1" spans="1:8" x14ac:dyDescent="0.25">
      <c r="A5" s="21" t="s">
        <v>98</v>
      </c>
      <c r="B5" s="22" t="s">
        <v>99</v>
      </c>
      <c r="C5" s="21" t="s">
        <v>100</v>
      </c>
      <c r="D5" s="21"/>
      <c r="E5" s="23"/>
      <c r="F5" s="23" t="str">
        <f>IF(ISBLANK(D5),"",IF(NOT(ISNUMBER(D5)),"קלט לא תקין",IF(D5&lt;0,"קלט לא תקין",IF(ISBLANK(E5),"",IF(OR(E5="כלול",E5="לא רלוונטי"),0,IF(NOT(ISNUMBER(E5)),"קלט לא תקין",IF(E5&lt;0,"קלט לא תקין",ROUND(D5*E5,2))))))))</f>
        <v/>
      </c>
      <c r="G5" s="4" t="s">
        <v>101</v>
      </c>
      <c r="H5" s="4" t="s">
        <v>72</v>
      </c>
    </row>
    <row r="6" ht="46.8" customHeight="1" spans="1:8" x14ac:dyDescent="0.25">
      <c r="A6" s="21" t="s">
        <v>102</v>
      </c>
      <c r="B6" s="22" t="s">
        <v>103</v>
      </c>
      <c r="C6" s="21" t="s">
        <v>100</v>
      </c>
      <c r="D6" s="21"/>
      <c r="E6" s="23"/>
      <c r="F6" s="23" t="str">
        <f>IF(ISBLANK(D6),"",IF(NOT(ISNUMBER(D6)),"קלט לא תקין",IF(D6&lt;0,"קלט לא תקין",IF(ISBLANK(E6),"",IF(OR(E6="כלול",E6="לא רלוונטי"),0,IF(NOT(ISNUMBER(E6)),"קלט לא תקין",IF(E6&lt;0,"קלט לא תקין",ROUND(D6*E6,2))))))))</f>
        <v/>
      </c>
      <c r="G6" s="4" t="s">
        <v>104</v>
      </c>
      <c r="H6" s="4" t="s">
        <v>72</v>
      </c>
    </row>
    <row r="7" ht="46.8" customHeight="1" spans="1:8" x14ac:dyDescent="0.25">
      <c r="A7" s="21" t="s">
        <v>105</v>
      </c>
      <c r="B7" s="22" t="s">
        <v>106</v>
      </c>
      <c r="C7" s="21" t="s">
        <v>100</v>
      </c>
      <c r="D7" s="21"/>
      <c r="E7" s="23"/>
      <c r="F7" s="23" t="str">
        <f>IF(ISBLANK(D7),"",IF(NOT(ISNUMBER(D7)),"קלט לא תקין",IF(D7&lt;0,"קלט לא תקין",IF(ISBLANK(E7),"",IF(OR(E7="כלול",E7="לא רלוונטי"),0,IF(NOT(ISNUMBER(E7)),"קלט לא תקין",IF(E7&lt;0,"קלט לא תקין",ROUND(D7*E7,2))))))))</f>
        <v/>
      </c>
      <c r="G7" s="4" t="s">
        <v>107</v>
      </c>
      <c r="H7" s="4" t="s">
        <v>72</v>
      </c>
    </row>
    <row r="8" ht="46.8" customHeight="1" spans="1:8" x14ac:dyDescent="0.25">
      <c r="A8" s="21" t="s">
        <v>108</v>
      </c>
      <c r="B8" s="22" t="s">
        <v>109</v>
      </c>
      <c r="C8" s="21" t="s">
        <v>100</v>
      </c>
      <c r="D8" s="21"/>
      <c r="E8" s="23"/>
      <c r="F8" s="23" t="str">
        <f>IF(ISBLANK(D8),"",IF(NOT(ISNUMBER(D8)),"קלט לא תקין",IF(D8&lt;0,"קלט לא תקין",IF(ISBLANK(E8),"",IF(OR(E8="כלול",E8="לא רלוונטי"),0,IF(NOT(ISNUMBER(E8)),"קלט לא תקין",IF(E8&lt;0,"קלט לא תקין",ROUND(D8*E8,2))))))))</f>
        <v/>
      </c>
      <c r="G8" s="4" t="s">
        <v>110</v>
      </c>
      <c r="H8" s="4" t="s">
        <v>72</v>
      </c>
    </row>
    <row r="9" ht="64.19999999999999" customHeight="1" spans="1:8" x14ac:dyDescent="0.25">
      <c r="A9" s="21" t="s">
        <v>111</v>
      </c>
      <c r="B9" s="22" t="s">
        <v>112</v>
      </c>
      <c r="C9" s="21" t="s">
        <v>82</v>
      </c>
      <c r="D9" s="21"/>
      <c r="E9" s="23"/>
      <c r="F9" s="23" t="str">
        <f>IF(ISBLANK(D9),"",IF(NOT(ISNUMBER(D9)),"קלט לא תקין",IF(D9&lt;0,"קלט לא תקין",IF(ISBLANK(E9),"",IF(OR(E9="כלול",E9="לא רלוונטי"),0,IF(NOT(ISNUMBER(E9)),"קלט לא תקין",IF(E9&lt;0,"קלט לא תקין",ROUND(D9*E9,2))))))))</f>
        <v/>
      </c>
      <c r="G9" s="4" t="s">
        <v>113</v>
      </c>
      <c r="H9" s="4" t="s">
        <v>72</v>
      </c>
    </row>
    <row r="10" ht="64.19999999999999" customHeight="1" spans="1:8" x14ac:dyDescent="0.25">
      <c r="A10" s="21" t="s">
        <v>114</v>
      </c>
      <c r="B10" s="22" t="s">
        <v>115</v>
      </c>
      <c r="C10" s="21" t="s">
        <v>82</v>
      </c>
      <c r="D10" s="21"/>
      <c r="E10" s="23"/>
      <c r="F10" s="23" t="str">
        <f>IF(ISBLANK(D10),"",IF(NOT(ISNUMBER(D10)),"קלט לא תקין",IF(D10&lt;0,"קלט לא תקין",IF(ISBLANK(E10),"",IF(OR(E10="כלול",E10="לא רלוונטי"),0,IF(NOT(ISNUMBER(E10)),"קלט לא תקין",IF(E10&lt;0,"קלט לא תקין",ROUND(D10*E10,2))))))))</f>
        <v/>
      </c>
      <c r="G10" s="4" t="s">
        <v>116</v>
      </c>
      <c r="H10" s="4" t="s">
        <v>72</v>
      </c>
    </row>
    <row r="11" ht="64.19999999999999" customHeight="1" spans="1:8" x14ac:dyDescent="0.25">
      <c r="A11" s="21" t="s">
        <v>117</v>
      </c>
      <c r="B11" s="22" t="s">
        <v>118</v>
      </c>
      <c r="C11" s="21" t="s">
        <v>82</v>
      </c>
      <c r="D11" s="21"/>
      <c r="E11" s="23"/>
      <c r="F11" s="23" t="str">
        <f>IF(ISBLANK(D11),"",IF(NOT(ISNUMBER(D11)),"קלט לא תקין",IF(D11&lt;0,"קלט לא תקין",IF(ISBLANK(E11),"",IF(OR(E11="כלול",E11="לא רלוונטי"),0,IF(NOT(ISNUMBER(E11)),"קלט לא תקין",IF(E11&lt;0,"קלט לא תקין",ROUND(D11*E11,2))))))))</f>
        <v/>
      </c>
      <c r="G11" s="4" t="s">
        <v>119</v>
      </c>
      <c r="H11" s="4" t="s">
        <v>72</v>
      </c>
    </row>
    <row r="12" ht="81" customHeight="1" spans="1:8" x14ac:dyDescent="0.25">
      <c r="A12" s="21"/>
      <c r="B12" s="22"/>
      <c r="C12" s="21"/>
      <c r="D12" s="21"/>
      <c r="E12" s="21"/>
      <c r="F12" s="21"/>
      <c r="G12" s="4"/>
      <c r="H12" s="4" t="s">
        <v>5</v>
      </c>
    </row>
    <row r="13" ht="32" customHeight="1" spans="1:8" x14ac:dyDescent="0.25">
      <c r="A13" s="14"/>
      <c r="B13" s="15" t="s">
        <v>120</v>
      </c>
      <c r="C13" s="16"/>
      <c r="D13" s="16"/>
      <c r="E13" s="16"/>
      <c r="F13" s="25">
        <f>SUM(F4,F5,F6,F7,F8,F9,F10,F11)</f>
        <v>0</v>
      </c>
      <c r="G13" s="4"/>
      <c r="H13" s="4" t="s">
        <v>91</v>
      </c>
    </row>
  </sheetData>
  <mergeCells count="2">
    <mergeCell ref="B1:F1"/>
    <mergeCell ref="B13:E13"/>
  </mergeCells>
  <conditionalFormatting sqref="E4">
    <cfRule type="expression" dxfId="26" priority="1">
      <formula>AND(ISNUMBER(E4),ROUND(E4,2)=INT(ROUND(E4,2)))</formula>
    </cfRule>
    <cfRule type="expression" dxfId="27" priority="2">
      <formula>AND(ISNUMBER(E4),ROUND(E4,2)&lt;&gt;INT(ROUND(E4,2)))</formula>
    </cfRule>
  </conditionalFormatting>
  <conditionalFormatting sqref="F4">
    <cfRule type="expression" dxfId="28" priority="1">
      <formula>AND(ISNUMBER(F4),ROUND(F4,2)=INT(ROUND(F4,2)))</formula>
    </cfRule>
    <cfRule type="expression" dxfId="29" priority="2">
      <formula>AND(ISNUMBER(F4),ROUND(F4,2)&lt;&gt;INT(ROUND(F4,2)))</formula>
    </cfRule>
  </conditionalFormatting>
  <conditionalFormatting sqref="E5">
    <cfRule type="expression" dxfId="30" priority="1">
      <formula>AND(ISNUMBER(E5),ROUND(E5,2)=INT(ROUND(E5,2)))</formula>
    </cfRule>
    <cfRule type="expression" dxfId="31" priority="2">
      <formula>AND(ISNUMBER(E5),ROUND(E5,2)&lt;&gt;INT(ROUND(E5,2)))</formula>
    </cfRule>
  </conditionalFormatting>
  <conditionalFormatting sqref="F5">
    <cfRule type="expression" dxfId="32" priority="1">
      <formula>AND(ISNUMBER(F5),ROUND(F5,2)=INT(ROUND(F5,2)))</formula>
    </cfRule>
    <cfRule type="expression" dxfId="33" priority="2">
      <formula>AND(ISNUMBER(F5),ROUND(F5,2)&lt;&gt;INT(ROUND(F5,2)))</formula>
    </cfRule>
  </conditionalFormatting>
  <conditionalFormatting sqref="E6">
    <cfRule type="expression" dxfId="34" priority="1">
      <formula>AND(ISNUMBER(E6),ROUND(E6,2)=INT(ROUND(E6,2)))</formula>
    </cfRule>
    <cfRule type="expression" dxfId="35" priority="2">
      <formula>AND(ISNUMBER(E6),ROUND(E6,2)&lt;&gt;INT(ROUND(E6,2)))</formula>
    </cfRule>
  </conditionalFormatting>
  <conditionalFormatting sqref="F6">
    <cfRule type="expression" dxfId="36" priority="1">
      <formula>AND(ISNUMBER(F6),ROUND(F6,2)=INT(ROUND(F6,2)))</formula>
    </cfRule>
    <cfRule type="expression" dxfId="37" priority="2">
      <formula>AND(ISNUMBER(F6),ROUND(F6,2)&lt;&gt;INT(ROUND(F6,2)))</formula>
    </cfRule>
  </conditionalFormatting>
  <conditionalFormatting sqref="E7">
    <cfRule type="expression" dxfId="38" priority="1">
      <formula>AND(ISNUMBER(E7),ROUND(E7,2)=INT(ROUND(E7,2)))</formula>
    </cfRule>
    <cfRule type="expression" dxfId="39" priority="2">
      <formula>AND(ISNUMBER(E7),ROUND(E7,2)&lt;&gt;INT(ROUND(E7,2)))</formula>
    </cfRule>
  </conditionalFormatting>
  <conditionalFormatting sqref="F7">
    <cfRule type="expression" dxfId="40" priority="1">
      <formula>AND(ISNUMBER(F7),ROUND(F7,2)=INT(ROUND(F7,2)))</formula>
    </cfRule>
    <cfRule type="expression" dxfId="41" priority="2">
      <formula>AND(ISNUMBER(F7),ROUND(F7,2)&lt;&gt;INT(ROUND(F7,2)))</formula>
    </cfRule>
  </conditionalFormatting>
  <conditionalFormatting sqref="E8">
    <cfRule type="expression" dxfId="42" priority="1">
      <formula>AND(ISNUMBER(E8),ROUND(E8,2)=INT(ROUND(E8,2)))</formula>
    </cfRule>
    <cfRule type="expression" dxfId="43" priority="2">
      <formula>AND(ISNUMBER(E8),ROUND(E8,2)&lt;&gt;INT(ROUND(E8,2)))</formula>
    </cfRule>
  </conditionalFormatting>
  <conditionalFormatting sqref="F8">
    <cfRule type="expression" dxfId="44" priority="1">
      <formula>AND(ISNUMBER(F8),ROUND(F8,2)=INT(ROUND(F8,2)))</formula>
    </cfRule>
    <cfRule type="expression" dxfId="45" priority="2">
      <formula>AND(ISNUMBER(F8),ROUND(F8,2)&lt;&gt;INT(ROUND(F8,2)))</formula>
    </cfRule>
  </conditionalFormatting>
  <conditionalFormatting sqref="E9">
    <cfRule type="expression" dxfId="46" priority="1">
      <formula>AND(ISNUMBER(E9),ROUND(E9,2)=INT(ROUND(E9,2)))</formula>
    </cfRule>
    <cfRule type="expression" dxfId="47" priority="2">
      <formula>AND(ISNUMBER(E9),ROUND(E9,2)&lt;&gt;INT(ROUND(E9,2)))</formula>
    </cfRule>
  </conditionalFormatting>
  <conditionalFormatting sqref="F9">
    <cfRule type="expression" dxfId="48" priority="1">
      <formula>AND(ISNUMBER(F9),ROUND(F9,2)=INT(ROUND(F9,2)))</formula>
    </cfRule>
    <cfRule type="expression" dxfId="49" priority="2">
      <formula>AND(ISNUMBER(F9),ROUND(F9,2)&lt;&gt;INT(ROUND(F9,2)))</formula>
    </cfRule>
  </conditionalFormatting>
  <conditionalFormatting sqref="E10">
    <cfRule type="expression" dxfId="50" priority="1">
      <formula>AND(ISNUMBER(E10),ROUND(E10,2)=INT(ROUND(E10,2)))</formula>
    </cfRule>
    <cfRule type="expression" dxfId="51" priority="2">
      <formula>AND(ISNUMBER(E10),ROUND(E10,2)&lt;&gt;INT(ROUND(E10,2)))</formula>
    </cfRule>
  </conditionalFormatting>
  <conditionalFormatting sqref="F10">
    <cfRule type="expression" dxfId="52" priority="1">
      <formula>AND(ISNUMBER(F10),ROUND(F10,2)=INT(ROUND(F10,2)))</formula>
    </cfRule>
    <cfRule type="expression" dxfId="53" priority="2">
      <formula>AND(ISNUMBER(F10),ROUND(F10,2)&lt;&gt;INT(ROUND(F10,2)))</formula>
    </cfRule>
  </conditionalFormatting>
  <conditionalFormatting sqref="E11">
    <cfRule type="expression" dxfId="54" priority="1">
      <formula>AND(ISNUMBER(E11),ROUND(E11,2)=INT(ROUND(E11,2)))</formula>
    </cfRule>
    <cfRule type="expression" dxfId="55" priority="2">
      <formula>AND(ISNUMBER(E11),ROUND(E11,2)&lt;&gt;INT(ROUND(E11,2)))</formula>
    </cfRule>
  </conditionalFormatting>
  <conditionalFormatting sqref="F11">
    <cfRule type="expression" dxfId="56" priority="1">
      <formula>AND(ISNUMBER(F11),ROUND(F11,2)=INT(ROUND(F11,2)))</formula>
    </cfRule>
    <cfRule type="expression" dxfId="57" priority="2">
      <formula>AND(ISNUMBER(F11),ROUND(F11,2)&lt;&gt;INT(ROUND(F11,2)))</formula>
    </cfRule>
  </conditionalFormatting>
  <conditionalFormatting sqref="F13">
    <cfRule type="expression" dxfId="58" priority="1">
      <formula>AND(ISNUMBER(F13),ROUND(F13,2)=INT(ROUND(F13,2)))</formula>
    </cfRule>
    <cfRule type="expression" dxfId="59" priority="2">
      <formula>AND(ISNUMBER(F13),ROUND(F13,2)&lt;&gt;INT(ROUND(F13,2)))</formula>
    </cfRule>
  </conditionalFormatting>
  <dataValidations count="10">
    <dataValidation type="decimal" operator="greaterThanOrEqual" allowBlank="1" showErrorMessage="1" error="יש להזין מספר לא שלילי" sqref="D10:D11">
      <formula1>0</formula1>
    </dataValidation>
    <dataValidation type="decimal" operator="greaterThanOrEqual" allowBlank="1" showErrorMessage="1" error="יש להזין מספר לא שלילי" sqref="D4:D11">
      <formula1>0</formula1>
    </dataValidation>
    <dataValidation type="custom" allowBlank="1" showErrorMessage="1" error="מספר לא שלילי, כלול או לא רלוונטי בלבד" sqref="E10">
      <formula1>OR(ISBLANK(E10),AND(ISNUMBER(E10),E10&gt;=0),E10="כלול",E10="לא רלוונטי")</formula1>
    </dataValidation>
    <dataValidation type="custom" allowBlank="1" showErrorMessage="1" error="מספר לא שלילי, כלול או לא רלוונטי בלבד" sqref="E11">
      <formula1>OR(ISBLANK(E11),AND(ISNUMBER(E11),E11&gt;=0),E11="כלול",E11="לא רלוונטי")</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 type="custom" allowBlank="1" showErrorMessage="1" error="מספר לא שלילי, כלול או לא רלוונטי בלבד" sqref="E8">
      <formula1>OR(ISBLANK(E8),AND(ISNUMBER(E8),E8&gt;=0),E8="כלול",E8="לא רלוונטי")</formula1>
    </dataValidation>
    <dataValidation type="custom" allowBlank="1" showErrorMessage="1" error="מספר לא שלילי, כלול או לא רלוונטי בלבד" sqref="E9">
      <formula1>OR(ISBLANK(E9),AND(ISNUMBER(E9),E9&gt;=0),E9="כלול",E9="לא רלוונטי")</formula1>
    </dataValidation>
  </dataValidations>
  <pageMargins left="0.25" right="0.25" top="0.75" bottom="0.75" header="0" footer="0.25"/>
  <pageSetup paperSize="9" orientation="portrait" fitToWidth="1" fitToHeight="0" firstPageNumber="4" useFirstPageNumber="1"/>
  <headerFooter>
    <oddFooter>&amp;Cעמוד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5"/>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3</v>
      </c>
      <c r="B1" s="12" t="s">
        <v>12</v>
      </c>
      <c r="C1" s="3"/>
      <c r="D1" s="3"/>
      <c r="E1" s="3"/>
      <c r="F1" s="3"/>
      <c r="G1" s="1" t="s">
        <v>43</v>
      </c>
      <c r="H1" s="1" t="s">
        <v>57</v>
      </c>
    </row>
    <row r="2" ht="32" customHeight="1" spans="1:8" x14ac:dyDescent="0.25">
      <c r="A2" s="19" t="s">
        <v>58</v>
      </c>
      <c r="B2" s="20" t="s">
        <v>59</v>
      </c>
      <c r="C2" s="19" t="s">
        <v>60</v>
      </c>
      <c r="D2" s="19" t="s">
        <v>61</v>
      </c>
      <c r="E2" s="19" t="s">
        <v>62</v>
      </c>
      <c r="F2" s="19" t="s">
        <v>63</v>
      </c>
      <c r="G2" s="1"/>
      <c r="H2" s="1" t="s">
        <v>64</v>
      </c>
    </row>
    <row r="3" ht="81.6" customHeight="1" spans="1:8" x14ac:dyDescent="0.25">
      <c r="A3" s="21"/>
      <c r="B3" s="22" t="s">
        <v>121</v>
      </c>
      <c r="C3" s="21"/>
      <c r="D3" s="21"/>
      <c r="E3" s="21"/>
      <c r="F3" s="21"/>
      <c r="G3" s="4" t="s">
        <v>122</v>
      </c>
      <c r="H3" s="4" t="s">
        <v>67</v>
      </c>
    </row>
    <row r="4" ht="64.19999999999999" customHeight="1" spans="1:8" x14ac:dyDescent="0.25">
      <c r="A4" s="21" t="s">
        <v>123</v>
      </c>
      <c r="B4" s="22" t="s">
        <v>124</v>
      </c>
      <c r="C4" s="21" t="s">
        <v>100</v>
      </c>
      <c r="D4" s="21"/>
      <c r="E4" s="23"/>
      <c r="F4" s="23" t="str">
        <f>IF(ISBLANK(D4),"",IF(NOT(ISNUMBER(D4)),"קלט לא תקין",IF(D4&lt;0,"קלט לא תקין",IF(ISBLANK(E4),"",IF(OR(E4="כלול",E4="לא רלוונטי"),0,IF(NOT(ISNUMBER(E4)),"קלט לא תקין",IF(E4&lt;0,"קלט לא תקין",ROUND(D4*E4,2))))))))</f>
        <v/>
      </c>
      <c r="G4" s="4" t="s">
        <v>125</v>
      </c>
      <c r="H4" s="4" t="s">
        <v>72</v>
      </c>
    </row>
    <row r="5" ht="46.8" customHeight="1" spans="1:8" x14ac:dyDescent="0.25">
      <c r="A5" s="21" t="s">
        <v>126</v>
      </c>
      <c r="B5" s="22" t="s">
        <v>127</v>
      </c>
      <c r="C5" s="21" t="s">
        <v>82</v>
      </c>
      <c r="D5" s="21"/>
      <c r="E5" s="23"/>
      <c r="F5" s="23" t="str">
        <f>IF(ISBLANK(D5),"",IF(NOT(ISNUMBER(D5)),"קלט לא תקין",IF(D5&lt;0,"קלט לא תקין",IF(ISBLANK(E5),"",IF(OR(E5="כלול",E5="לא רלוונטי"),0,IF(NOT(ISNUMBER(E5)),"קלט לא תקין",IF(E5&lt;0,"קלט לא תקין",ROUND(D5*E5,2))))))))</f>
        <v/>
      </c>
      <c r="G5" s="4" t="s">
        <v>128</v>
      </c>
      <c r="H5" s="4" t="s">
        <v>72</v>
      </c>
    </row>
    <row r="6" ht="46.8" customHeight="1" spans="1:8" x14ac:dyDescent="0.25">
      <c r="A6" s="21" t="s">
        <v>129</v>
      </c>
      <c r="B6" s="22" t="s">
        <v>130</v>
      </c>
      <c r="C6" s="21" t="s">
        <v>82</v>
      </c>
      <c r="D6" s="21"/>
      <c r="E6" s="23"/>
      <c r="F6" s="23" t="str">
        <f>IF(ISBLANK(D6),"",IF(NOT(ISNUMBER(D6)),"קלט לא תקין",IF(D6&lt;0,"קלט לא תקין",IF(ISBLANK(E6),"",IF(OR(E6="כלול",E6="לא רלוונטי"),0,IF(NOT(ISNUMBER(E6)),"קלט לא תקין",IF(E6&lt;0,"קלט לא תקין",ROUND(D6*E6,2))))))))</f>
        <v/>
      </c>
      <c r="G6" s="4" t="s">
        <v>131</v>
      </c>
      <c r="H6" s="4" t="s">
        <v>72</v>
      </c>
    </row>
    <row r="7" ht="46.8" customHeight="1" spans="1:8" x14ac:dyDescent="0.25">
      <c r="A7" s="21" t="s">
        <v>132</v>
      </c>
      <c r="B7" s="22" t="s">
        <v>133</v>
      </c>
      <c r="C7" s="21" t="s">
        <v>100</v>
      </c>
      <c r="D7" s="21"/>
      <c r="E7" s="23"/>
      <c r="F7" s="23" t="str">
        <f>IF(ISBLANK(D7),"",IF(NOT(ISNUMBER(D7)),"קלט לא תקין",IF(D7&lt;0,"קלט לא תקין",IF(ISBLANK(E7),"",IF(OR(E7="כלול",E7="לא רלוונטי"),0,IF(NOT(ISNUMBER(E7)),"קלט לא תקין",IF(E7&lt;0,"קלט לא תקין",ROUND(D7*E7,2))))))))</f>
        <v/>
      </c>
      <c r="G7" s="4" t="s">
        <v>134</v>
      </c>
      <c r="H7" s="4" t="s">
        <v>72</v>
      </c>
    </row>
    <row r="8" ht="46.8" customHeight="1" spans="1:8" x14ac:dyDescent="0.25">
      <c r="A8" s="21" t="s">
        <v>135</v>
      </c>
      <c r="B8" s="22" t="s">
        <v>136</v>
      </c>
      <c r="C8" s="21" t="s">
        <v>100</v>
      </c>
      <c r="D8" s="21"/>
      <c r="E8" s="23"/>
      <c r="F8" s="23" t="str">
        <f>IF(ISBLANK(D8),"",IF(NOT(ISNUMBER(D8)),"קלט לא תקין",IF(D8&lt;0,"קלט לא תקין",IF(ISBLANK(E8),"",IF(OR(E8="כלול",E8="לא רלוונטי"),0,IF(NOT(ISNUMBER(E8)),"קלט לא תקין",IF(E8&lt;0,"קלט לא תקין",ROUND(D8*E8,2))))))))</f>
        <v/>
      </c>
      <c r="G8" s="4" t="s">
        <v>137</v>
      </c>
      <c r="H8" s="4" t="s">
        <v>72</v>
      </c>
    </row>
    <row r="9" ht="46.8" customHeight="1" spans="1:8" x14ac:dyDescent="0.25">
      <c r="A9" s="21" t="s">
        <v>138</v>
      </c>
      <c r="B9" s="22" t="s">
        <v>139</v>
      </c>
      <c r="C9" s="21" t="s">
        <v>100</v>
      </c>
      <c r="D9" s="21"/>
      <c r="E9" s="23"/>
      <c r="F9" s="23" t="str">
        <f>IF(ISBLANK(D9),"",IF(NOT(ISNUMBER(D9)),"קלט לא תקין",IF(D9&lt;0,"קלט לא תקין",IF(ISBLANK(E9),"",IF(OR(E9="כלול",E9="לא רלוונטי"),0,IF(NOT(ISNUMBER(E9)),"קלט לא תקין",IF(E9&lt;0,"קלט לא תקין",ROUND(D9*E9,2))))))))</f>
        <v/>
      </c>
      <c r="G9" s="4" t="s">
        <v>140</v>
      </c>
      <c r="H9" s="4" t="s">
        <v>72</v>
      </c>
    </row>
    <row r="10" ht="46.8" customHeight="1" spans="1:8" x14ac:dyDescent="0.25">
      <c r="A10" s="21" t="s">
        <v>141</v>
      </c>
      <c r="B10" s="22" t="s">
        <v>142</v>
      </c>
      <c r="C10" s="21" t="s">
        <v>100</v>
      </c>
      <c r="D10" s="21"/>
      <c r="E10" s="23"/>
      <c r="F10" s="23" t="str">
        <f>IF(ISBLANK(D10),"",IF(NOT(ISNUMBER(D10)),"קלט לא תקין",IF(D10&lt;0,"קלט לא תקין",IF(ISBLANK(E10),"",IF(OR(E10="כלול",E10="לא רלוונטי"),0,IF(NOT(ISNUMBER(E10)),"קלט לא תקין",IF(E10&lt;0,"קלט לא תקין",ROUND(D10*E10,2))))))))</f>
        <v/>
      </c>
      <c r="G10" s="4" t="s">
        <v>143</v>
      </c>
      <c r="H10" s="4" t="s">
        <v>72</v>
      </c>
    </row>
    <row r="11" ht="64.19999999999999" customHeight="1" spans="1:8" x14ac:dyDescent="0.25">
      <c r="A11" s="21" t="s">
        <v>144</v>
      </c>
      <c r="B11" s="22" t="s">
        <v>145</v>
      </c>
      <c r="C11" s="21" t="s">
        <v>100</v>
      </c>
      <c r="D11" s="21"/>
      <c r="E11" s="23"/>
      <c r="F11" s="23" t="str">
        <f>IF(ISBLANK(D11),"",IF(NOT(ISNUMBER(D11)),"קלט לא תקין",IF(D11&lt;0,"קלט לא תקין",IF(ISBLANK(E11),"",IF(OR(E11="כלול",E11="לא רלוונטי"),0,IF(NOT(ISNUMBER(E11)),"קלט לא תקין",IF(E11&lt;0,"קלט לא תקין",ROUND(D11*E11,2))))))))</f>
        <v/>
      </c>
      <c r="G11" s="4" t="s">
        <v>146</v>
      </c>
      <c r="H11" s="4" t="s">
        <v>72</v>
      </c>
    </row>
    <row r="12" ht="46.8" customHeight="1" spans="1:8" x14ac:dyDescent="0.25">
      <c r="A12" s="21" t="s">
        <v>147</v>
      </c>
      <c r="B12" s="22" t="s">
        <v>148</v>
      </c>
      <c r="C12" s="21" t="s">
        <v>96</v>
      </c>
      <c r="D12" s="21"/>
      <c r="E12" s="23"/>
      <c r="F12" s="23" t="str">
        <f>IF(ISBLANK(D12),"",IF(NOT(ISNUMBER(D12)),"קלט לא תקין",IF(D12&lt;0,"קלט לא תקין",IF(ISBLANK(E12),"",IF(OR(E12="כלול",E12="לא רלוונטי"),0,IF(NOT(ISNUMBER(E12)),"קלט לא תקין",IF(E12&lt;0,"קלט לא תקין",ROUND(D12*E12,2))))))))</f>
        <v/>
      </c>
      <c r="G12" s="4" t="s">
        <v>149</v>
      </c>
      <c r="H12" s="4" t="s">
        <v>72</v>
      </c>
    </row>
    <row r="13" ht="46.8" customHeight="1" spans="1:8" x14ac:dyDescent="0.25">
      <c r="A13" s="21" t="s">
        <v>150</v>
      </c>
      <c r="B13" s="22" t="s">
        <v>151</v>
      </c>
      <c r="C13" s="21" t="s">
        <v>96</v>
      </c>
      <c r="D13" s="21"/>
      <c r="E13" s="23"/>
      <c r="F13" s="23" t="str">
        <f>IF(ISBLANK(D13),"",IF(NOT(ISNUMBER(D13)),"קלט לא תקין",IF(D13&lt;0,"קלט לא תקין",IF(ISBLANK(E13),"",IF(OR(E13="כלול",E13="לא רלוונטי"),0,IF(NOT(ISNUMBER(E13)),"קלט לא תקין",IF(E13&lt;0,"קלט לא תקין",ROUND(D13*E13,2))))))))</f>
        <v/>
      </c>
      <c r="G13" s="4" t="s">
        <v>152</v>
      </c>
      <c r="H13" s="4" t="s">
        <v>72</v>
      </c>
    </row>
    <row r="14" ht="39.60000000000002" customHeight="1" spans="1:8" x14ac:dyDescent="0.25">
      <c r="A14" s="21"/>
      <c r="B14" s="22"/>
      <c r="C14" s="21"/>
      <c r="D14" s="21"/>
      <c r="E14" s="21"/>
      <c r="F14" s="21"/>
      <c r="G14" s="4"/>
      <c r="H14" s="4" t="s">
        <v>5</v>
      </c>
    </row>
    <row r="15" ht="32" customHeight="1" spans="1:8" x14ac:dyDescent="0.25">
      <c r="A15" s="14"/>
      <c r="B15" s="15" t="s">
        <v>153</v>
      </c>
      <c r="C15" s="16"/>
      <c r="D15" s="16"/>
      <c r="E15" s="16"/>
      <c r="F15" s="25">
        <f>SUM(F4,F5,F6,F7,F8,F9,F10,F11,F12,F13)</f>
        <v>0</v>
      </c>
      <c r="G15" s="4"/>
      <c r="H15" s="4" t="s">
        <v>91</v>
      </c>
    </row>
  </sheetData>
  <mergeCells count="2">
    <mergeCell ref="B1:F1"/>
    <mergeCell ref="B15:E15"/>
  </mergeCells>
  <conditionalFormatting sqref="E4">
    <cfRule type="expression" dxfId="60" priority="1">
      <formula>AND(ISNUMBER(E4),ROUND(E4,2)=INT(ROUND(E4,2)))</formula>
    </cfRule>
    <cfRule type="expression" dxfId="61" priority="2">
      <formula>AND(ISNUMBER(E4),ROUND(E4,2)&lt;&gt;INT(ROUND(E4,2)))</formula>
    </cfRule>
  </conditionalFormatting>
  <conditionalFormatting sqref="F4">
    <cfRule type="expression" dxfId="62" priority="1">
      <formula>AND(ISNUMBER(F4),ROUND(F4,2)=INT(ROUND(F4,2)))</formula>
    </cfRule>
    <cfRule type="expression" dxfId="63" priority="2">
      <formula>AND(ISNUMBER(F4),ROUND(F4,2)&lt;&gt;INT(ROUND(F4,2)))</formula>
    </cfRule>
  </conditionalFormatting>
  <conditionalFormatting sqref="E5">
    <cfRule type="expression" dxfId="64" priority="1">
      <formula>AND(ISNUMBER(E5),ROUND(E5,2)=INT(ROUND(E5,2)))</formula>
    </cfRule>
    <cfRule type="expression" dxfId="65" priority="2">
      <formula>AND(ISNUMBER(E5),ROUND(E5,2)&lt;&gt;INT(ROUND(E5,2)))</formula>
    </cfRule>
  </conditionalFormatting>
  <conditionalFormatting sqref="F5">
    <cfRule type="expression" dxfId="66" priority="1">
      <formula>AND(ISNUMBER(F5),ROUND(F5,2)=INT(ROUND(F5,2)))</formula>
    </cfRule>
    <cfRule type="expression" dxfId="67" priority="2">
      <formula>AND(ISNUMBER(F5),ROUND(F5,2)&lt;&gt;INT(ROUND(F5,2)))</formula>
    </cfRule>
  </conditionalFormatting>
  <conditionalFormatting sqref="E6">
    <cfRule type="expression" dxfId="68" priority="1">
      <formula>AND(ISNUMBER(E6),ROUND(E6,2)=INT(ROUND(E6,2)))</formula>
    </cfRule>
    <cfRule type="expression" dxfId="69" priority="2">
      <formula>AND(ISNUMBER(E6),ROUND(E6,2)&lt;&gt;INT(ROUND(E6,2)))</formula>
    </cfRule>
  </conditionalFormatting>
  <conditionalFormatting sqref="F6">
    <cfRule type="expression" dxfId="70" priority="1">
      <formula>AND(ISNUMBER(F6),ROUND(F6,2)=INT(ROUND(F6,2)))</formula>
    </cfRule>
    <cfRule type="expression" dxfId="71" priority="2">
      <formula>AND(ISNUMBER(F6),ROUND(F6,2)&lt;&gt;INT(ROUND(F6,2)))</formula>
    </cfRule>
  </conditionalFormatting>
  <conditionalFormatting sqref="E7">
    <cfRule type="expression" dxfId="72" priority="1">
      <formula>AND(ISNUMBER(E7),ROUND(E7,2)=INT(ROUND(E7,2)))</formula>
    </cfRule>
    <cfRule type="expression" dxfId="73" priority="2">
      <formula>AND(ISNUMBER(E7),ROUND(E7,2)&lt;&gt;INT(ROUND(E7,2)))</formula>
    </cfRule>
  </conditionalFormatting>
  <conditionalFormatting sqref="F7">
    <cfRule type="expression" dxfId="74" priority="1">
      <formula>AND(ISNUMBER(F7),ROUND(F7,2)=INT(ROUND(F7,2)))</formula>
    </cfRule>
    <cfRule type="expression" dxfId="75" priority="2">
      <formula>AND(ISNUMBER(F7),ROUND(F7,2)&lt;&gt;INT(ROUND(F7,2)))</formula>
    </cfRule>
  </conditionalFormatting>
  <conditionalFormatting sqref="E8">
    <cfRule type="expression" dxfId="76" priority="1">
      <formula>AND(ISNUMBER(E8),ROUND(E8,2)=INT(ROUND(E8,2)))</formula>
    </cfRule>
    <cfRule type="expression" dxfId="77" priority="2">
      <formula>AND(ISNUMBER(E8),ROUND(E8,2)&lt;&gt;INT(ROUND(E8,2)))</formula>
    </cfRule>
  </conditionalFormatting>
  <conditionalFormatting sqref="F8">
    <cfRule type="expression" dxfId="78" priority="1">
      <formula>AND(ISNUMBER(F8),ROUND(F8,2)=INT(ROUND(F8,2)))</formula>
    </cfRule>
    <cfRule type="expression" dxfId="79" priority="2">
      <formula>AND(ISNUMBER(F8),ROUND(F8,2)&lt;&gt;INT(ROUND(F8,2)))</formula>
    </cfRule>
  </conditionalFormatting>
  <conditionalFormatting sqref="E9">
    <cfRule type="expression" dxfId="80" priority="1">
      <formula>AND(ISNUMBER(E9),ROUND(E9,2)=INT(ROUND(E9,2)))</formula>
    </cfRule>
    <cfRule type="expression" dxfId="81" priority="2">
      <formula>AND(ISNUMBER(E9),ROUND(E9,2)&lt;&gt;INT(ROUND(E9,2)))</formula>
    </cfRule>
  </conditionalFormatting>
  <conditionalFormatting sqref="F9">
    <cfRule type="expression" dxfId="82" priority="1">
      <formula>AND(ISNUMBER(F9),ROUND(F9,2)=INT(ROUND(F9,2)))</formula>
    </cfRule>
    <cfRule type="expression" dxfId="83" priority="2">
      <formula>AND(ISNUMBER(F9),ROUND(F9,2)&lt;&gt;INT(ROUND(F9,2)))</formula>
    </cfRule>
  </conditionalFormatting>
  <conditionalFormatting sqref="E10">
    <cfRule type="expression" dxfId="84" priority="1">
      <formula>AND(ISNUMBER(E10),ROUND(E10,2)=INT(ROUND(E10,2)))</formula>
    </cfRule>
    <cfRule type="expression" dxfId="85" priority="2">
      <formula>AND(ISNUMBER(E10),ROUND(E10,2)&lt;&gt;INT(ROUND(E10,2)))</formula>
    </cfRule>
  </conditionalFormatting>
  <conditionalFormatting sqref="F10">
    <cfRule type="expression" dxfId="86" priority="1">
      <formula>AND(ISNUMBER(F10),ROUND(F10,2)=INT(ROUND(F10,2)))</formula>
    </cfRule>
    <cfRule type="expression" dxfId="87" priority="2">
      <formula>AND(ISNUMBER(F10),ROUND(F10,2)&lt;&gt;INT(ROUND(F10,2)))</formula>
    </cfRule>
  </conditionalFormatting>
  <conditionalFormatting sqref="E11">
    <cfRule type="expression" dxfId="88" priority="1">
      <formula>AND(ISNUMBER(E11),ROUND(E11,2)=INT(ROUND(E11,2)))</formula>
    </cfRule>
    <cfRule type="expression" dxfId="89" priority="2">
      <formula>AND(ISNUMBER(E11),ROUND(E11,2)&lt;&gt;INT(ROUND(E11,2)))</formula>
    </cfRule>
  </conditionalFormatting>
  <conditionalFormatting sqref="F11">
    <cfRule type="expression" dxfId="90" priority="1">
      <formula>AND(ISNUMBER(F11),ROUND(F11,2)=INT(ROUND(F11,2)))</formula>
    </cfRule>
    <cfRule type="expression" dxfId="91" priority="2">
      <formula>AND(ISNUMBER(F11),ROUND(F11,2)&lt;&gt;INT(ROUND(F11,2)))</formula>
    </cfRule>
  </conditionalFormatting>
  <conditionalFormatting sqref="E12">
    <cfRule type="expression" dxfId="92" priority="1">
      <formula>AND(ISNUMBER(E12),ROUND(E12,2)=INT(ROUND(E12,2)))</formula>
    </cfRule>
    <cfRule type="expression" dxfId="93" priority="2">
      <formula>AND(ISNUMBER(E12),ROUND(E12,2)&lt;&gt;INT(ROUND(E12,2)))</formula>
    </cfRule>
  </conditionalFormatting>
  <conditionalFormatting sqref="F12">
    <cfRule type="expression" dxfId="94" priority="1">
      <formula>AND(ISNUMBER(F12),ROUND(F12,2)=INT(ROUND(F12,2)))</formula>
    </cfRule>
    <cfRule type="expression" dxfId="95" priority="2">
      <formula>AND(ISNUMBER(F12),ROUND(F12,2)&lt;&gt;INT(ROUND(F12,2)))</formula>
    </cfRule>
  </conditionalFormatting>
  <conditionalFormatting sqref="E13">
    <cfRule type="expression" dxfId="96" priority="1">
      <formula>AND(ISNUMBER(E13),ROUND(E13,2)=INT(ROUND(E13,2)))</formula>
    </cfRule>
    <cfRule type="expression" dxfId="97" priority="2">
      <formula>AND(ISNUMBER(E13),ROUND(E13,2)&lt;&gt;INT(ROUND(E13,2)))</formula>
    </cfRule>
  </conditionalFormatting>
  <conditionalFormatting sqref="F13">
    <cfRule type="expression" dxfId="98" priority="1">
      <formula>AND(ISNUMBER(F13),ROUND(F13,2)=INT(ROUND(F13,2)))</formula>
    </cfRule>
    <cfRule type="expression" dxfId="99" priority="2">
      <formula>AND(ISNUMBER(F13),ROUND(F13,2)&lt;&gt;INT(ROUND(F13,2)))</formula>
    </cfRule>
  </conditionalFormatting>
  <conditionalFormatting sqref="F15">
    <cfRule type="expression" dxfId="100" priority="1">
      <formula>AND(ISNUMBER(F15),ROUND(F15,2)=INT(ROUND(F15,2)))</formula>
    </cfRule>
    <cfRule type="expression" dxfId="101" priority="2">
      <formula>AND(ISNUMBER(F15),ROUND(F15,2)&lt;&gt;INT(ROUND(F15,2)))</formula>
    </cfRule>
  </conditionalFormatting>
  <dataValidations count="12">
    <dataValidation type="decimal" operator="greaterThanOrEqual" allowBlank="1" showErrorMessage="1" error="יש להזין מספר לא שלילי" sqref="D10:D13">
      <formula1>0</formula1>
    </dataValidation>
    <dataValidation type="decimal" operator="greaterThanOrEqual" allowBlank="1" showErrorMessage="1" error="יש להזין מספר לא שלילי" sqref="D4:D13">
      <formula1>0</formula1>
    </dataValidation>
    <dataValidation type="custom" allowBlank="1" showErrorMessage="1" error="מספר לא שלילי, כלול או לא רלוונטי בלבד" sqref="E10">
      <formula1>OR(ISBLANK(E10),AND(ISNUMBER(E10),E10&gt;=0),E10="כלול",E10="לא רלוונטי")</formula1>
    </dataValidation>
    <dataValidation type="custom" allowBlank="1" showErrorMessage="1" error="מספר לא שלילי, כלול או לא רלוונטי בלבד" sqref="E11">
      <formula1>OR(ISBLANK(E11),AND(ISNUMBER(E11),E11&gt;=0),E11="כלול",E11="לא רלוונטי")</formula1>
    </dataValidation>
    <dataValidation type="custom" allowBlank="1" showErrorMessage="1" error="מספר לא שלילי, כלול או לא רלוונטי בלבד" sqref="E12">
      <formula1>OR(ISBLANK(E12),AND(ISNUMBER(E12),E12&gt;=0),E12="כלול",E12="לא רלוונטי")</formula1>
    </dataValidation>
    <dataValidation type="custom" allowBlank="1" showErrorMessage="1" error="מספר לא שלילי, כלול או לא רלוונטי בלבד" sqref="E13">
      <formula1>OR(ISBLANK(E13),AND(ISNUMBER(E13),E13&gt;=0),E13="כלול",E13="לא רלוונטי")</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 type="custom" allowBlank="1" showErrorMessage="1" error="מספר לא שלילי, כלול או לא רלוונטי בלבד" sqref="E8">
      <formula1>OR(ISBLANK(E8),AND(ISNUMBER(E8),E8&gt;=0),E8="כלול",E8="לא רלוונטי")</formula1>
    </dataValidation>
    <dataValidation type="custom" allowBlank="1" showErrorMessage="1" error="מספר לא שלילי, כלול או לא רלוונטי בלבד" sqref="E9">
      <formula1>OR(ISBLANK(E9),AND(ISNUMBER(E9),E9&gt;=0),E9="כלול",E9="לא רלוונטי")</formula1>
    </dataValidation>
  </dataValidations>
  <pageMargins left="0.25" right="0.25" top="0.75" bottom="0.75" header="0" footer="0.25"/>
  <pageSetup paperSize="9" orientation="portrait" fitToWidth="1" fitToHeight="0" firstPageNumber="5" useFirstPageNumber="1"/>
  <headerFooter>
    <oddFooter>&amp;Cעמוד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4</v>
      </c>
      <c r="B1" s="12" t="s">
        <v>13</v>
      </c>
      <c r="C1" s="3"/>
      <c r="D1" s="3"/>
      <c r="E1" s="3"/>
      <c r="F1" s="3"/>
      <c r="G1" s="1" t="s">
        <v>45</v>
      </c>
      <c r="H1" s="1" t="s">
        <v>57</v>
      </c>
    </row>
    <row r="2" ht="32" customHeight="1" spans="1:8" x14ac:dyDescent="0.25">
      <c r="A2" s="19" t="s">
        <v>58</v>
      </c>
      <c r="B2" s="20" t="s">
        <v>59</v>
      </c>
      <c r="C2" s="19" t="s">
        <v>60</v>
      </c>
      <c r="D2" s="19" t="s">
        <v>61</v>
      </c>
      <c r="E2" s="19" t="s">
        <v>62</v>
      </c>
      <c r="F2" s="19" t="s">
        <v>63</v>
      </c>
      <c r="G2" s="1"/>
      <c r="H2" s="1" t="s">
        <v>64</v>
      </c>
    </row>
    <row r="3" ht="81.6" customHeight="1" spans="1:8" x14ac:dyDescent="0.25">
      <c r="A3" s="21"/>
      <c r="B3" s="22" t="s">
        <v>154</v>
      </c>
      <c r="C3" s="21"/>
      <c r="D3" s="21"/>
      <c r="E3" s="21"/>
      <c r="F3" s="21"/>
      <c r="G3" s="4" t="s">
        <v>155</v>
      </c>
      <c r="H3" s="4" t="s">
        <v>67</v>
      </c>
    </row>
    <row r="4" ht="64.19999999999999" customHeight="1" spans="1:8" x14ac:dyDescent="0.25">
      <c r="A4" s="21" t="s">
        <v>156</v>
      </c>
      <c r="B4" s="22" t="s">
        <v>157</v>
      </c>
      <c r="C4" s="21" t="s">
        <v>70</v>
      </c>
      <c r="D4" s="21"/>
      <c r="E4" s="23"/>
      <c r="F4" s="23" t="str">
        <f>IF(ISBLANK(D4),"",IF(NOT(ISNUMBER(D4)),"קלט לא תקין",IF(D4&lt;0,"קלט לא תקין",IF(ISBLANK(E4),"",IF(OR(E4="כלול",E4="לא רלוונטי"),0,IF(NOT(ISNUMBER(E4)),"קלט לא תקין",IF(E4&lt;0,"קלט לא תקין",ROUND(D4*E4,2))))))))</f>
        <v/>
      </c>
      <c r="G4" s="4" t="s">
        <v>158</v>
      </c>
      <c r="H4" s="4" t="s">
        <v>72</v>
      </c>
    </row>
    <row r="5" ht="400" customHeight="1" spans="1:8" x14ac:dyDescent="0.25">
      <c r="A5" s="21"/>
      <c r="B5" s="22"/>
      <c r="C5" s="21"/>
      <c r="D5" s="21"/>
      <c r="E5" s="21"/>
      <c r="F5" s="21"/>
      <c r="G5" s="4"/>
      <c r="H5" s="4" t="s">
        <v>5</v>
      </c>
    </row>
    <row r="6" ht="78.20000000000005" customHeight="1" spans="1:8" x14ac:dyDescent="0.25">
      <c r="A6" s="21"/>
      <c r="B6" s="22"/>
      <c r="C6" s="21"/>
      <c r="D6" s="21"/>
      <c r="E6" s="21"/>
      <c r="F6" s="21"/>
      <c r="G6" s="4"/>
      <c r="H6" s="4" t="s">
        <v>5</v>
      </c>
    </row>
    <row r="7" ht="32" customHeight="1" spans="1:8" x14ac:dyDescent="0.25">
      <c r="A7" s="14"/>
      <c r="B7" s="15" t="s">
        <v>159</v>
      </c>
      <c r="C7" s="16"/>
      <c r="D7" s="16"/>
      <c r="E7" s="16"/>
      <c r="F7" s="25">
        <f>SUM(F4)</f>
        <v>0</v>
      </c>
      <c r="G7" s="4"/>
      <c r="H7" s="4" t="s">
        <v>91</v>
      </c>
    </row>
  </sheetData>
  <mergeCells count="2">
    <mergeCell ref="B1:F1"/>
    <mergeCell ref="B7:E7"/>
  </mergeCells>
  <conditionalFormatting sqref="E4">
    <cfRule type="expression" dxfId="102" priority="1">
      <formula>AND(ISNUMBER(E4),ROUND(E4,2)=INT(ROUND(E4,2)))</formula>
    </cfRule>
    <cfRule type="expression" dxfId="103" priority="2">
      <formula>AND(ISNUMBER(E4),ROUND(E4,2)&lt;&gt;INT(ROUND(E4,2)))</formula>
    </cfRule>
  </conditionalFormatting>
  <conditionalFormatting sqref="F4">
    <cfRule type="expression" dxfId="104" priority="1">
      <formula>AND(ISNUMBER(F4),ROUND(F4,2)=INT(ROUND(F4,2)))</formula>
    </cfRule>
    <cfRule type="expression" dxfId="105" priority="2">
      <formula>AND(ISNUMBER(F4),ROUND(F4,2)&lt;&gt;INT(ROUND(F4,2)))</formula>
    </cfRule>
  </conditionalFormatting>
  <conditionalFormatting sqref="F7">
    <cfRule type="expression" dxfId="106" priority="1">
      <formula>AND(ISNUMBER(F7),ROUND(F7,2)=INT(ROUND(F7,2)))</formula>
    </cfRule>
    <cfRule type="expression" dxfId="107" priority="2">
      <formula>AND(ISNUMBER(F7),ROUND(F7,2)&lt;&gt;INT(ROUND(F7,2)))</formula>
    </cfRule>
  </conditionalFormatting>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25"/>
  <pageSetup paperSize="9" orientation="portrait" fitToWidth="1" fitToHeight="0" firstPageNumber="6" useFirstPageNumber="1"/>
  <headerFooter>
    <oddFooter>&amp;Cעמוד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5</v>
      </c>
      <c r="B1" s="12" t="s">
        <v>14</v>
      </c>
      <c r="C1" s="3"/>
      <c r="D1" s="3"/>
      <c r="E1" s="3"/>
      <c r="F1" s="3"/>
      <c r="G1" s="1" t="s">
        <v>47</v>
      </c>
      <c r="H1" s="1" t="s">
        <v>57</v>
      </c>
    </row>
    <row r="2" ht="32" customHeight="1" spans="1:8" x14ac:dyDescent="0.25">
      <c r="A2" s="19" t="s">
        <v>58</v>
      </c>
      <c r="B2" s="20" t="s">
        <v>59</v>
      </c>
      <c r="C2" s="19" t="s">
        <v>60</v>
      </c>
      <c r="D2" s="19" t="s">
        <v>61</v>
      </c>
      <c r="E2" s="19" t="s">
        <v>62</v>
      </c>
      <c r="F2" s="19" t="s">
        <v>63</v>
      </c>
      <c r="G2" s="1"/>
      <c r="H2" s="1" t="s">
        <v>64</v>
      </c>
    </row>
    <row r="3" ht="64.19999999999999" customHeight="1" spans="1:8" x14ac:dyDescent="0.25">
      <c r="A3" s="21"/>
      <c r="B3" s="22" t="s">
        <v>160</v>
      </c>
      <c r="C3" s="21"/>
      <c r="D3" s="21"/>
      <c r="E3" s="21"/>
      <c r="F3" s="21"/>
      <c r="G3" s="4" t="s">
        <v>161</v>
      </c>
      <c r="H3" s="4" t="s">
        <v>67</v>
      </c>
    </row>
    <row r="4" ht="64.19999999999999" customHeight="1" spans="1:8" x14ac:dyDescent="0.25">
      <c r="A4" s="21" t="s">
        <v>162</v>
      </c>
      <c r="B4" s="22" t="s">
        <v>163</v>
      </c>
      <c r="C4" s="21" t="s">
        <v>82</v>
      </c>
      <c r="D4" s="21"/>
      <c r="E4" s="23"/>
      <c r="F4" s="23" t="str">
        <f>IF(ISBLANK(D4),"",IF(NOT(ISNUMBER(D4)),"קלט לא תקין",IF(D4&lt;0,"קלט לא תקין",IF(ISBLANK(E4),"",IF(OR(E4="כלול",E4="לא רלוונטי"),0,IF(NOT(ISNUMBER(E4)),"קלט לא תקין",IF(E4&lt;0,"קלט לא תקין",ROUND(D4*E4,2))))))))</f>
        <v/>
      </c>
      <c r="G4" s="4" t="s">
        <v>164</v>
      </c>
      <c r="H4" s="4" t="s">
        <v>72</v>
      </c>
    </row>
    <row r="5" ht="400" customHeight="1" spans="1:8" x14ac:dyDescent="0.25">
      <c r="A5" s="21"/>
      <c r="B5" s="22"/>
      <c r="C5" s="21"/>
      <c r="D5" s="21"/>
      <c r="E5" s="21"/>
      <c r="F5" s="21"/>
      <c r="G5" s="4"/>
      <c r="H5" s="4" t="s">
        <v>5</v>
      </c>
    </row>
    <row r="6" ht="95.60000000000002" customHeight="1" spans="1:8" x14ac:dyDescent="0.25">
      <c r="A6" s="21"/>
      <c r="B6" s="22"/>
      <c r="C6" s="21"/>
      <c r="D6" s="21"/>
      <c r="E6" s="21"/>
      <c r="F6" s="21"/>
      <c r="G6" s="4"/>
      <c r="H6" s="4" t="s">
        <v>5</v>
      </c>
    </row>
    <row r="7" ht="32" customHeight="1" spans="1:8" x14ac:dyDescent="0.25">
      <c r="A7" s="14"/>
      <c r="B7" s="15" t="s">
        <v>165</v>
      </c>
      <c r="C7" s="16"/>
      <c r="D7" s="16"/>
      <c r="E7" s="16"/>
      <c r="F7" s="25">
        <f>SUM(F4)</f>
        <v>0</v>
      </c>
      <c r="G7" s="4"/>
      <c r="H7" s="4" t="s">
        <v>91</v>
      </c>
    </row>
  </sheetData>
  <mergeCells count="2">
    <mergeCell ref="B1:F1"/>
    <mergeCell ref="B7:E7"/>
  </mergeCells>
  <conditionalFormatting sqref="E4">
    <cfRule type="expression" dxfId="108" priority="1">
      <formula>AND(ISNUMBER(E4),ROUND(E4,2)=INT(ROUND(E4,2)))</formula>
    </cfRule>
    <cfRule type="expression" dxfId="109" priority="2">
      <formula>AND(ISNUMBER(E4),ROUND(E4,2)&lt;&gt;INT(ROUND(E4,2)))</formula>
    </cfRule>
  </conditionalFormatting>
  <conditionalFormatting sqref="F4">
    <cfRule type="expression" dxfId="110" priority="1">
      <formula>AND(ISNUMBER(F4),ROUND(F4,2)=INT(ROUND(F4,2)))</formula>
    </cfRule>
    <cfRule type="expression" dxfId="111" priority="2">
      <formula>AND(ISNUMBER(F4),ROUND(F4,2)&lt;&gt;INT(ROUND(F4,2)))</formula>
    </cfRule>
  </conditionalFormatting>
  <conditionalFormatting sqref="F7">
    <cfRule type="expression" dxfId="112" priority="1">
      <formula>AND(ISNUMBER(F7),ROUND(F7,2)=INT(ROUND(F7,2)))</formula>
    </cfRule>
    <cfRule type="expression" dxfId="113" priority="2">
      <formula>AND(ISNUMBER(F7),ROUND(F7,2)&lt;&gt;INT(ROUND(F7,2)))</formula>
    </cfRule>
  </conditionalFormatting>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25"/>
  <pageSetup paperSize="9" orientation="portrait" fitToWidth="1" fitToHeight="0" firstPageNumber="7" useFirstPageNumber="1"/>
  <headerFooter>
    <oddFooter>&amp;Cעמוד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9"/>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6</v>
      </c>
      <c r="B1" s="12" t="s">
        <v>15</v>
      </c>
      <c r="C1" s="3"/>
      <c r="D1" s="3"/>
      <c r="E1" s="3"/>
      <c r="F1" s="3"/>
      <c r="G1" s="1" t="s">
        <v>49</v>
      </c>
      <c r="H1" s="1" t="s">
        <v>57</v>
      </c>
    </row>
    <row r="2" ht="32" customHeight="1" spans="1:8" x14ac:dyDescent="0.25">
      <c r="A2" s="19" t="s">
        <v>58</v>
      </c>
      <c r="B2" s="20" t="s">
        <v>59</v>
      </c>
      <c r="C2" s="19" t="s">
        <v>60</v>
      </c>
      <c r="D2" s="19" t="s">
        <v>61</v>
      </c>
      <c r="E2" s="19" t="s">
        <v>62</v>
      </c>
      <c r="F2" s="19" t="s">
        <v>63</v>
      </c>
      <c r="G2" s="1"/>
      <c r="H2" s="1" t="s">
        <v>64</v>
      </c>
    </row>
    <row r="3" ht="81.6" customHeight="1" spans="1:8" x14ac:dyDescent="0.25">
      <c r="A3" s="21"/>
      <c r="B3" s="22" t="s">
        <v>166</v>
      </c>
      <c r="C3" s="21"/>
      <c r="D3" s="21"/>
      <c r="E3" s="21"/>
      <c r="F3" s="21"/>
      <c r="G3" s="4" t="s">
        <v>167</v>
      </c>
      <c r="H3" s="4" t="s">
        <v>67</v>
      </c>
    </row>
    <row r="4" ht="64.19999999999999" customHeight="1" spans="1:8" x14ac:dyDescent="0.25">
      <c r="A4" s="21" t="s">
        <v>168</v>
      </c>
      <c r="B4" s="22" t="s">
        <v>169</v>
      </c>
      <c r="C4" s="21" t="s">
        <v>70</v>
      </c>
      <c r="D4" s="21"/>
      <c r="E4" s="23"/>
      <c r="F4" s="23" t="str">
        <f>IF(ISBLANK(D4),"",IF(NOT(ISNUMBER(D4)),"קלט לא תקין",IF(D4&lt;0,"קלט לא תקין",IF(ISBLANK(E4),"",IF(OR(E4="כלול",E4="לא רלוונטי"),0,IF(NOT(ISNUMBER(E4)),"קלט לא תקין",IF(E4&lt;0,"קלט לא תקין",ROUND(D4*E4,2))))))))</f>
        <v/>
      </c>
      <c r="G4" s="4" t="s">
        <v>170</v>
      </c>
      <c r="H4" s="4" t="s">
        <v>72</v>
      </c>
    </row>
    <row r="5" ht="64.19999999999999" customHeight="1" spans="1:8" x14ac:dyDescent="0.25">
      <c r="A5" s="21" t="s">
        <v>171</v>
      </c>
      <c r="B5" s="22" t="s">
        <v>172</v>
      </c>
      <c r="C5" s="21" t="s">
        <v>70</v>
      </c>
      <c r="D5" s="21"/>
      <c r="E5" s="23"/>
      <c r="F5" s="23" t="str">
        <f>IF(ISBLANK(D5),"",IF(NOT(ISNUMBER(D5)),"קלט לא תקין",IF(D5&lt;0,"קלט לא תקין",IF(ISBLANK(E5),"",IF(OR(E5="כלול",E5="לא רלוונטי"),0,IF(NOT(ISNUMBER(E5)),"קלט לא תקין",IF(E5&lt;0,"קלט לא תקין",ROUND(D5*E5,2))))))))</f>
        <v/>
      </c>
      <c r="G5" s="4" t="s">
        <v>173</v>
      </c>
      <c r="H5" s="4" t="s">
        <v>72</v>
      </c>
    </row>
    <row r="6" ht="64.19999999999999" customHeight="1" spans="1:8" x14ac:dyDescent="0.25">
      <c r="A6" s="21" t="s">
        <v>174</v>
      </c>
      <c r="B6" s="22" t="s">
        <v>175</v>
      </c>
      <c r="C6" s="21" t="s">
        <v>70</v>
      </c>
      <c r="D6" s="21"/>
      <c r="E6" s="23"/>
      <c r="F6" s="23" t="str">
        <f>IF(ISBLANK(D6),"",IF(NOT(ISNUMBER(D6)),"קלט לא תקין",IF(D6&lt;0,"קלט לא תקין",IF(ISBLANK(E6),"",IF(OR(E6="כלול",E6="לא רלוונטי"),0,IF(NOT(ISNUMBER(E6)),"קלט לא תקין",IF(E6&lt;0,"קלט לא תקין",ROUND(D6*E6,2))))))))</f>
        <v/>
      </c>
      <c r="G6" s="4" t="s">
        <v>176</v>
      </c>
      <c r="H6" s="4" t="s">
        <v>72</v>
      </c>
    </row>
    <row r="7" ht="46.8" customHeight="1" spans="1:8" x14ac:dyDescent="0.25">
      <c r="A7" s="21" t="s">
        <v>177</v>
      </c>
      <c r="B7" s="22" t="s">
        <v>178</v>
      </c>
      <c r="C7" s="21" t="s">
        <v>78</v>
      </c>
      <c r="D7" s="21"/>
      <c r="E7" s="23"/>
      <c r="F7" s="23" t="str">
        <f>IF(ISBLANK(D7),"",IF(NOT(ISNUMBER(D7)),"קלט לא תקין",IF(D7&lt;0,"קלט לא תקין",IF(ISBLANK(E7),"",IF(OR(E7="כלול",E7="לא רלוונטי"),0,IF(NOT(ISNUMBER(E7)),"קלט לא תקין",IF(E7&lt;0,"קלט לא תקין",ROUND(D7*E7,2))))))))</f>
        <v/>
      </c>
      <c r="G7" s="4" t="s">
        <v>179</v>
      </c>
      <c r="H7" s="4" t="s">
        <v>72</v>
      </c>
    </row>
    <row r="8" ht="303.00000000000006" customHeight="1" spans="1:8" x14ac:dyDescent="0.25">
      <c r="A8" s="21"/>
      <c r="B8" s="22"/>
      <c r="C8" s="21"/>
      <c r="D8" s="21"/>
      <c r="E8" s="21"/>
      <c r="F8" s="21"/>
      <c r="G8" s="4"/>
      <c r="H8" s="4" t="s">
        <v>5</v>
      </c>
    </row>
    <row r="9" ht="32" customHeight="1" spans="1:8" x14ac:dyDescent="0.25">
      <c r="A9" s="14"/>
      <c r="B9" s="15" t="s">
        <v>180</v>
      </c>
      <c r="C9" s="16"/>
      <c r="D9" s="16"/>
      <c r="E9" s="16"/>
      <c r="F9" s="25">
        <f>SUM(F4,F5,F6,F7)</f>
        <v>0</v>
      </c>
      <c r="G9" s="4"/>
      <c r="H9" s="4" t="s">
        <v>91</v>
      </c>
    </row>
  </sheetData>
  <mergeCells count="2">
    <mergeCell ref="B1:F1"/>
    <mergeCell ref="B9:E9"/>
  </mergeCells>
  <conditionalFormatting sqref="E4">
    <cfRule type="expression" dxfId="114" priority="1">
      <formula>AND(ISNUMBER(E4),ROUND(E4,2)=INT(ROUND(E4,2)))</formula>
    </cfRule>
    <cfRule type="expression" dxfId="115" priority="2">
      <formula>AND(ISNUMBER(E4),ROUND(E4,2)&lt;&gt;INT(ROUND(E4,2)))</formula>
    </cfRule>
  </conditionalFormatting>
  <conditionalFormatting sqref="F4">
    <cfRule type="expression" dxfId="116" priority="1">
      <formula>AND(ISNUMBER(F4),ROUND(F4,2)=INT(ROUND(F4,2)))</formula>
    </cfRule>
    <cfRule type="expression" dxfId="117" priority="2">
      <formula>AND(ISNUMBER(F4),ROUND(F4,2)&lt;&gt;INT(ROUND(F4,2)))</formula>
    </cfRule>
  </conditionalFormatting>
  <conditionalFormatting sqref="E5">
    <cfRule type="expression" dxfId="118" priority="1">
      <formula>AND(ISNUMBER(E5),ROUND(E5,2)=INT(ROUND(E5,2)))</formula>
    </cfRule>
    <cfRule type="expression" dxfId="119" priority="2">
      <formula>AND(ISNUMBER(E5),ROUND(E5,2)&lt;&gt;INT(ROUND(E5,2)))</formula>
    </cfRule>
  </conditionalFormatting>
  <conditionalFormatting sqref="F5">
    <cfRule type="expression" dxfId="120" priority="1">
      <formula>AND(ISNUMBER(F5),ROUND(F5,2)=INT(ROUND(F5,2)))</formula>
    </cfRule>
    <cfRule type="expression" dxfId="121" priority="2">
      <formula>AND(ISNUMBER(F5),ROUND(F5,2)&lt;&gt;INT(ROUND(F5,2)))</formula>
    </cfRule>
  </conditionalFormatting>
  <conditionalFormatting sqref="E6">
    <cfRule type="expression" dxfId="122" priority="1">
      <formula>AND(ISNUMBER(E6),ROUND(E6,2)=INT(ROUND(E6,2)))</formula>
    </cfRule>
    <cfRule type="expression" dxfId="123" priority="2">
      <formula>AND(ISNUMBER(E6),ROUND(E6,2)&lt;&gt;INT(ROUND(E6,2)))</formula>
    </cfRule>
  </conditionalFormatting>
  <conditionalFormatting sqref="F6">
    <cfRule type="expression" dxfId="124" priority="1">
      <formula>AND(ISNUMBER(F6),ROUND(F6,2)=INT(ROUND(F6,2)))</formula>
    </cfRule>
    <cfRule type="expression" dxfId="125" priority="2">
      <formula>AND(ISNUMBER(F6),ROUND(F6,2)&lt;&gt;INT(ROUND(F6,2)))</formula>
    </cfRule>
  </conditionalFormatting>
  <conditionalFormatting sqref="E7">
    <cfRule type="expression" dxfId="126" priority="1">
      <formula>AND(ISNUMBER(E7),ROUND(E7,2)=INT(ROUND(E7,2)))</formula>
    </cfRule>
    <cfRule type="expression" dxfId="127" priority="2">
      <formula>AND(ISNUMBER(E7),ROUND(E7,2)&lt;&gt;INT(ROUND(E7,2)))</formula>
    </cfRule>
  </conditionalFormatting>
  <conditionalFormatting sqref="F7">
    <cfRule type="expression" dxfId="128" priority="1">
      <formula>AND(ISNUMBER(F7),ROUND(F7,2)=INT(ROUND(F7,2)))</formula>
    </cfRule>
    <cfRule type="expression" dxfId="129" priority="2">
      <formula>AND(ISNUMBER(F7),ROUND(F7,2)&lt;&gt;INT(ROUND(F7,2)))</formula>
    </cfRule>
  </conditionalFormatting>
  <conditionalFormatting sqref="F9">
    <cfRule type="expression" dxfId="130" priority="1">
      <formula>AND(ISNUMBER(F9),ROUND(F9,2)=INT(ROUND(F9,2)))</formula>
    </cfRule>
    <cfRule type="expression" dxfId="131" priority="2">
      <formula>AND(ISNUMBER(F9),ROUND(F9,2)&lt;&gt;INT(ROUND(F9,2)))</formula>
    </cfRule>
  </conditionalFormatting>
  <dataValidations count="5">
    <dataValidation type="decimal" operator="greaterThanOrEqual" allowBlank="1" showErrorMessage="1" error="יש להזין מספר לא שלילי" sqref="D4:D7">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s>
  <pageMargins left="0.25" right="0.25" top="0.75" bottom="0.75" header="0" footer="0.25"/>
  <pageSetup paperSize="9" orientation="portrait" fitToWidth="1" fitToHeight="0" firstPageNumber="8" useFirstPageNumber="1"/>
  <headerFooter>
    <oddFooter>&amp;Cעמוד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9"/>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7</v>
      </c>
      <c r="B1" s="12" t="s">
        <v>16</v>
      </c>
      <c r="C1" s="3"/>
      <c r="D1" s="3"/>
      <c r="E1" s="3"/>
      <c r="F1" s="3"/>
      <c r="G1" s="1" t="s">
        <v>51</v>
      </c>
      <c r="H1" s="1" t="s">
        <v>57</v>
      </c>
    </row>
    <row r="2" ht="32" customHeight="1" spans="1:8" x14ac:dyDescent="0.25">
      <c r="A2" s="19" t="s">
        <v>58</v>
      </c>
      <c r="B2" s="20" t="s">
        <v>59</v>
      </c>
      <c r="C2" s="19" t="s">
        <v>60</v>
      </c>
      <c r="D2" s="19" t="s">
        <v>61</v>
      </c>
      <c r="E2" s="19" t="s">
        <v>62</v>
      </c>
      <c r="F2" s="19" t="s">
        <v>63</v>
      </c>
      <c r="G2" s="1"/>
      <c r="H2" s="1" t="s">
        <v>64</v>
      </c>
    </row>
    <row r="3" ht="64.19999999999999" customHeight="1" spans="1:8" x14ac:dyDescent="0.25">
      <c r="A3" s="21"/>
      <c r="B3" s="22" t="s">
        <v>181</v>
      </c>
      <c r="C3" s="21"/>
      <c r="D3" s="21"/>
      <c r="E3" s="21"/>
      <c r="F3" s="21"/>
      <c r="G3" s="4" t="s">
        <v>182</v>
      </c>
      <c r="H3" s="4" t="s">
        <v>67</v>
      </c>
    </row>
    <row r="4" ht="46.8" customHeight="1" spans="1:8" x14ac:dyDescent="0.25">
      <c r="A4" s="21" t="s">
        <v>183</v>
      </c>
      <c r="B4" s="22" t="s">
        <v>184</v>
      </c>
      <c r="C4" s="21" t="s">
        <v>70</v>
      </c>
      <c r="D4" s="21"/>
      <c r="E4" s="23"/>
      <c r="F4" s="23" t="str">
        <f>IF(ISBLANK(D4),"",IF(NOT(ISNUMBER(D4)),"קלט לא תקין",IF(D4&lt;0,"קלט לא תקין",IF(ISBLANK(E4),"",IF(OR(E4="כלול",E4="לא רלוונטי"),0,IF(NOT(ISNUMBER(E4)),"קלט לא תקין",IF(E4&lt;0,"קלט לא תקין",ROUND(D4*E4,2))))))))</f>
        <v/>
      </c>
      <c r="G4" s="4" t="s">
        <v>185</v>
      </c>
      <c r="H4" s="4" t="s">
        <v>72</v>
      </c>
    </row>
    <row r="5" ht="46.8" customHeight="1" spans="1:8" x14ac:dyDescent="0.25">
      <c r="A5" s="21" t="s">
        <v>186</v>
      </c>
      <c r="B5" s="22" t="s">
        <v>187</v>
      </c>
      <c r="C5" s="21" t="s">
        <v>78</v>
      </c>
      <c r="D5" s="21"/>
      <c r="E5" s="23"/>
      <c r="F5" s="23" t="str">
        <f>IF(ISBLANK(D5),"",IF(NOT(ISNUMBER(D5)),"קלט לא תקין",IF(D5&lt;0,"קלט לא תקין",IF(ISBLANK(E5),"",IF(OR(E5="כלול",E5="לא רלוונטי"),0,IF(NOT(ISNUMBER(E5)),"קלט לא תקין",IF(E5&lt;0,"קלט לא תקין",ROUND(D5*E5,2))))))))</f>
        <v/>
      </c>
      <c r="G5" s="4" t="s">
        <v>188</v>
      </c>
      <c r="H5" s="4" t="s">
        <v>72</v>
      </c>
    </row>
    <row r="6" ht="46.8" customHeight="1" spans="1:8" x14ac:dyDescent="0.25">
      <c r="A6" s="21" t="s">
        <v>189</v>
      </c>
      <c r="B6" s="22" t="s">
        <v>190</v>
      </c>
      <c r="C6" s="21" t="s">
        <v>70</v>
      </c>
      <c r="D6" s="21"/>
      <c r="E6" s="23"/>
      <c r="F6" s="23" t="str">
        <f>IF(ISBLANK(D6),"",IF(NOT(ISNUMBER(D6)),"קלט לא תקין",IF(D6&lt;0,"קלט לא תקין",IF(ISBLANK(E6),"",IF(OR(E6="כלול",E6="לא רלוונטי"),0,IF(NOT(ISNUMBER(E6)),"קלט לא תקין",IF(E6&lt;0,"קלט לא תקין",ROUND(D6*E6,2))))))))</f>
        <v/>
      </c>
      <c r="G6" s="4" t="s">
        <v>191</v>
      </c>
      <c r="H6" s="4" t="s">
        <v>72</v>
      </c>
    </row>
    <row r="7" ht="46.8" customHeight="1" spans="1:8" x14ac:dyDescent="0.25">
      <c r="A7" s="21" t="s">
        <v>192</v>
      </c>
      <c r="B7" s="22" t="s">
        <v>193</v>
      </c>
      <c r="C7" s="21" t="s">
        <v>70</v>
      </c>
      <c r="D7" s="21"/>
      <c r="E7" s="23"/>
      <c r="F7" s="23" t="str">
        <f>IF(ISBLANK(D7),"",IF(NOT(ISNUMBER(D7)),"קלט לא תקין",IF(D7&lt;0,"קלט לא תקין",IF(ISBLANK(E7),"",IF(OR(E7="כלול",E7="לא רלוונטי"),0,IF(NOT(ISNUMBER(E7)),"קלט לא תקין",IF(E7&lt;0,"קלט לא תקין",ROUND(D7*E7,2))))))))</f>
        <v/>
      </c>
      <c r="G7" s="4" t="s">
        <v>194</v>
      </c>
      <c r="H7" s="4" t="s">
        <v>72</v>
      </c>
    </row>
    <row r="8" ht="372.6" customHeight="1" spans="1:8" x14ac:dyDescent="0.25">
      <c r="A8" s="21"/>
      <c r="B8" s="22"/>
      <c r="C8" s="21"/>
      <c r="D8" s="21"/>
      <c r="E8" s="21"/>
      <c r="F8" s="21"/>
      <c r="G8" s="4"/>
      <c r="H8" s="4" t="s">
        <v>5</v>
      </c>
    </row>
    <row r="9" ht="32" customHeight="1" spans="1:8" x14ac:dyDescent="0.25">
      <c r="A9" s="14"/>
      <c r="B9" s="15" t="s">
        <v>195</v>
      </c>
      <c r="C9" s="16"/>
      <c r="D9" s="16"/>
      <c r="E9" s="16"/>
      <c r="F9" s="25">
        <f>SUM(F4,F5,F6,F7)</f>
        <v>0</v>
      </c>
      <c r="G9" s="4"/>
      <c r="H9" s="4" t="s">
        <v>91</v>
      </c>
    </row>
  </sheetData>
  <mergeCells count="2">
    <mergeCell ref="B1:F1"/>
    <mergeCell ref="B9:E9"/>
  </mergeCells>
  <conditionalFormatting sqref="E4">
    <cfRule type="expression" dxfId="132" priority="1">
      <formula>AND(ISNUMBER(E4),ROUND(E4,2)=INT(ROUND(E4,2)))</formula>
    </cfRule>
    <cfRule type="expression" dxfId="133" priority="2">
      <formula>AND(ISNUMBER(E4),ROUND(E4,2)&lt;&gt;INT(ROUND(E4,2)))</formula>
    </cfRule>
  </conditionalFormatting>
  <conditionalFormatting sqref="F4">
    <cfRule type="expression" dxfId="134" priority="1">
      <formula>AND(ISNUMBER(F4),ROUND(F4,2)=INT(ROUND(F4,2)))</formula>
    </cfRule>
    <cfRule type="expression" dxfId="135" priority="2">
      <formula>AND(ISNUMBER(F4),ROUND(F4,2)&lt;&gt;INT(ROUND(F4,2)))</formula>
    </cfRule>
  </conditionalFormatting>
  <conditionalFormatting sqref="E5">
    <cfRule type="expression" dxfId="136" priority="1">
      <formula>AND(ISNUMBER(E5),ROUND(E5,2)=INT(ROUND(E5,2)))</formula>
    </cfRule>
    <cfRule type="expression" dxfId="137" priority="2">
      <formula>AND(ISNUMBER(E5),ROUND(E5,2)&lt;&gt;INT(ROUND(E5,2)))</formula>
    </cfRule>
  </conditionalFormatting>
  <conditionalFormatting sqref="F5">
    <cfRule type="expression" dxfId="138" priority="1">
      <formula>AND(ISNUMBER(F5),ROUND(F5,2)=INT(ROUND(F5,2)))</formula>
    </cfRule>
    <cfRule type="expression" dxfId="139" priority="2">
      <formula>AND(ISNUMBER(F5),ROUND(F5,2)&lt;&gt;INT(ROUND(F5,2)))</formula>
    </cfRule>
  </conditionalFormatting>
  <conditionalFormatting sqref="E6">
    <cfRule type="expression" dxfId="140" priority="1">
      <formula>AND(ISNUMBER(E6),ROUND(E6,2)=INT(ROUND(E6,2)))</formula>
    </cfRule>
    <cfRule type="expression" dxfId="141" priority="2">
      <formula>AND(ISNUMBER(E6),ROUND(E6,2)&lt;&gt;INT(ROUND(E6,2)))</formula>
    </cfRule>
  </conditionalFormatting>
  <conditionalFormatting sqref="F6">
    <cfRule type="expression" dxfId="142" priority="1">
      <formula>AND(ISNUMBER(F6),ROUND(F6,2)=INT(ROUND(F6,2)))</formula>
    </cfRule>
    <cfRule type="expression" dxfId="143" priority="2">
      <formula>AND(ISNUMBER(F6),ROUND(F6,2)&lt;&gt;INT(ROUND(F6,2)))</formula>
    </cfRule>
  </conditionalFormatting>
  <conditionalFormatting sqref="E7">
    <cfRule type="expression" dxfId="144" priority="1">
      <formula>AND(ISNUMBER(E7),ROUND(E7,2)=INT(ROUND(E7,2)))</formula>
    </cfRule>
    <cfRule type="expression" dxfId="145" priority="2">
      <formula>AND(ISNUMBER(E7),ROUND(E7,2)&lt;&gt;INT(ROUND(E7,2)))</formula>
    </cfRule>
  </conditionalFormatting>
  <conditionalFormatting sqref="F7">
    <cfRule type="expression" dxfId="146" priority="1">
      <formula>AND(ISNUMBER(F7),ROUND(F7,2)=INT(ROUND(F7,2)))</formula>
    </cfRule>
    <cfRule type="expression" dxfId="147" priority="2">
      <formula>AND(ISNUMBER(F7),ROUND(F7,2)&lt;&gt;INT(ROUND(F7,2)))</formula>
    </cfRule>
  </conditionalFormatting>
  <conditionalFormatting sqref="F9">
    <cfRule type="expression" dxfId="148" priority="1">
      <formula>AND(ISNUMBER(F9),ROUND(F9,2)=INT(ROUND(F9,2)))</formula>
    </cfRule>
    <cfRule type="expression" dxfId="149" priority="2">
      <formula>AND(ISNUMBER(F9),ROUND(F9,2)&lt;&gt;INT(ROUND(F9,2)))</formula>
    </cfRule>
  </conditionalFormatting>
  <dataValidations count="5">
    <dataValidation type="decimal" operator="greaterThanOrEqual" allowBlank="1" showErrorMessage="1" error="יש להזין מספר לא שלילי" sqref="D4:D7">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s>
  <pageMargins left="0.25" right="0.25" top="0.75" bottom="0.75" header="0" footer="0.25"/>
  <pageSetup paperSize="9" orientation="portrait" fitToWidth="1" fitToHeight="0" firstPageNumber="9" useFirstPageNumber="1"/>
  <headerFooter>
    <oddFooter>&amp;Cעמוד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9"/>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8</v>
      </c>
      <c r="B1" s="12" t="s">
        <v>17</v>
      </c>
      <c r="C1" s="3"/>
      <c r="D1" s="3"/>
      <c r="E1" s="3"/>
      <c r="F1" s="3"/>
      <c r="G1" s="1" t="s">
        <v>53</v>
      </c>
      <c r="H1" s="1" t="s">
        <v>57</v>
      </c>
    </row>
    <row r="2" ht="32" customHeight="1" spans="1:8" x14ac:dyDescent="0.25">
      <c r="A2" s="19" t="s">
        <v>58</v>
      </c>
      <c r="B2" s="20" t="s">
        <v>59</v>
      </c>
      <c r="C2" s="19" t="s">
        <v>60</v>
      </c>
      <c r="D2" s="19" t="s">
        <v>61</v>
      </c>
      <c r="E2" s="19" t="s">
        <v>62</v>
      </c>
      <c r="F2" s="19" t="s">
        <v>63</v>
      </c>
      <c r="G2" s="1"/>
      <c r="H2" s="1" t="s">
        <v>64</v>
      </c>
    </row>
    <row r="3" ht="64.19999999999999" customHeight="1" spans="1:8" x14ac:dyDescent="0.25">
      <c r="A3" s="21"/>
      <c r="B3" s="22" t="s">
        <v>196</v>
      </c>
      <c r="C3" s="21"/>
      <c r="D3" s="21"/>
      <c r="E3" s="21"/>
      <c r="F3" s="21"/>
      <c r="G3" s="4" t="s">
        <v>197</v>
      </c>
      <c r="H3" s="4" t="s">
        <v>67</v>
      </c>
    </row>
    <row r="4" ht="46.8" customHeight="1" spans="1:8" x14ac:dyDescent="0.25">
      <c r="A4" s="21" t="s">
        <v>198</v>
      </c>
      <c r="B4" s="22" t="s">
        <v>199</v>
      </c>
      <c r="C4" s="21" t="s">
        <v>70</v>
      </c>
      <c r="D4" s="21"/>
      <c r="E4" s="23"/>
      <c r="F4" s="23" t="str">
        <f>IF(ISBLANK(D4),"",IF(NOT(ISNUMBER(D4)),"קלט לא תקין",IF(D4&lt;0,"קלט לא תקין",IF(ISBLANK(E4),"",IF(OR(E4="כלול",E4="לא רלוונטי"),0,IF(NOT(ISNUMBER(E4)),"קלט לא תקין",IF(E4&lt;0,"קלט לא תקין",ROUND(D4*E4,2))))))))</f>
        <v/>
      </c>
      <c r="G4" s="4" t="s">
        <v>200</v>
      </c>
      <c r="H4" s="4" t="s">
        <v>72</v>
      </c>
    </row>
    <row r="5" ht="46.8" customHeight="1" spans="1:8" x14ac:dyDescent="0.25">
      <c r="A5" s="21" t="s">
        <v>201</v>
      </c>
      <c r="B5" s="22" t="s">
        <v>202</v>
      </c>
      <c r="C5" s="21" t="s">
        <v>70</v>
      </c>
      <c r="D5" s="21"/>
      <c r="E5" s="23"/>
      <c r="F5" s="23" t="str">
        <f>IF(ISBLANK(D5),"",IF(NOT(ISNUMBER(D5)),"קלט לא תקין",IF(D5&lt;0,"קלט לא תקין",IF(ISBLANK(E5),"",IF(OR(E5="כלול",E5="לא רלוונטי"),0,IF(NOT(ISNUMBER(E5)),"קלט לא תקין",IF(E5&lt;0,"קלט לא תקין",ROUND(D5*E5,2))))))))</f>
        <v/>
      </c>
      <c r="G5" s="4" t="s">
        <v>203</v>
      </c>
      <c r="H5" s="4" t="s">
        <v>72</v>
      </c>
    </row>
    <row r="6" ht="46.8" customHeight="1" spans="1:8" x14ac:dyDescent="0.25">
      <c r="A6" s="21" t="s">
        <v>204</v>
      </c>
      <c r="B6" s="22" t="s">
        <v>205</v>
      </c>
      <c r="C6" s="21" t="s">
        <v>70</v>
      </c>
      <c r="D6" s="21"/>
      <c r="E6" s="23"/>
      <c r="F6" s="23" t="str">
        <f>IF(ISBLANK(D6),"",IF(NOT(ISNUMBER(D6)),"קלט לא תקין",IF(D6&lt;0,"קלט לא תקין",IF(ISBLANK(E6),"",IF(OR(E6="כלול",E6="לא רלוונטי"),0,IF(NOT(ISNUMBER(E6)),"קלט לא תקין",IF(E6&lt;0,"קלט לא תקין",ROUND(D6*E6,2))))))))</f>
        <v/>
      </c>
      <c r="G6" s="4" t="s">
        <v>206</v>
      </c>
      <c r="H6" s="4" t="s">
        <v>72</v>
      </c>
    </row>
    <row r="7" ht="400" customHeight="1" spans="1:8" x14ac:dyDescent="0.25">
      <c r="A7" s="21"/>
      <c r="B7" s="22"/>
      <c r="C7" s="21"/>
      <c r="D7" s="21"/>
      <c r="E7" s="21"/>
      <c r="F7" s="21"/>
      <c r="G7" s="4"/>
      <c r="H7" s="4" t="s">
        <v>5</v>
      </c>
    </row>
    <row r="8" ht="19.400000000000034" customHeight="1" spans="1:8" x14ac:dyDescent="0.25">
      <c r="A8" s="21"/>
      <c r="B8" s="22"/>
      <c r="C8" s="21"/>
      <c r="D8" s="21"/>
      <c r="E8" s="21"/>
      <c r="F8" s="21"/>
      <c r="G8" s="4"/>
      <c r="H8" s="4" t="s">
        <v>5</v>
      </c>
    </row>
    <row r="9" ht="32" customHeight="1" spans="1:8" x14ac:dyDescent="0.25">
      <c r="A9" s="14"/>
      <c r="B9" s="15" t="s">
        <v>207</v>
      </c>
      <c r="C9" s="16"/>
      <c r="D9" s="16"/>
      <c r="E9" s="16"/>
      <c r="F9" s="25">
        <f>SUM(F4,F5,F6)</f>
        <v>0</v>
      </c>
      <c r="G9" s="4"/>
      <c r="H9" s="4" t="s">
        <v>91</v>
      </c>
    </row>
  </sheetData>
  <mergeCells count="2">
    <mergeCell ref="B1:F1"/>
    <mergeCell ref="B9:E9"/>
  </mergeCells>
  <conditionalFormatting sqref="E4">
    <cfRule type="expression" dxfId="150" priority="1">
      <formula>AND(ISNUMBER(E4),ROUND(E4,2)=INT(ROUND(E4,2)))</formula>
    </cfRule>
    <cfRule type="expression" dxfId="151" priority="2">
      <formula>AND(ISNUMBER(E4),ROUND(E4,2)&lt;&gt;INT(ROUND(E4,2)))</formula>
    </cfRule>
  </conditionalFormatting>
  <conditionalFormatting sqref="F4">
    <cfRule type="expression" dxfId="152" priority="1">
      <formula>AND(ISNUMBER(F4),ROUND(F4,2)=INT(ROUND(F4,2)))</formula>
    </cfRule>
    <cfRule type="expression" dxfId="153" priority="2">
      <formula>AND(ISNUMBER(F4),ROUND(F4,2)&lt;&gt;INT(ROUND(F4,2)))</formula>
    </cfRule>
  </conditionalFormatting>
  <conditionalFormatting sqref="E5">
    <cfRule type="expression" dxfId="154" priority="1">
      <formula>AND(ISNUMBER(E5),ROUND(E5,2)=INT(ROUND(E5,2)))</formula>
    </cfRule>
    <cfRule type="expression" dxfId="155" priority="2">
      <formula>AND(ISNUMBER(E5),ROUND(E5,2)&lt;&gt;INT(ROUND(E5,2)))</formula>
    </cfRule>
  </conditionalFormatting>
  <conditionalFormatting sqref="F5">
    <cfRule type="expression" dxfId="156" priority="1">
      <formula>AND(ISNUMBER(F5),ROUND(F5,2)=INT(ROUND(F5,2)))</formula>
    </cfRule>
    <cfRule type="expression" dxfId="157" priority="2">
      <formula>AND(ISNUMBER(F5),ROUND(F5,2)&lt;&gt;INT(ROUND(F5,2)))</formula>
    </cfRule>
  </conditionalFormatting>
  <conditionalFormatting sqref="E6">
    <cfRule type="expression" dxfId="158" priority="1">
      <formula>AND(ISNUMBER(E6),ROUND(E6,2)=INT(ROUND(E6,2)))</formula>
    </cfRule>
    <cfRule type="expression" dxfId="159" priority="2">
      <formula>AND(ISNUMBER(E6),ROUND(E6,2)&lt;&gt;INT(ROUND(E6,2)))</formula>
    </cfRule>
  </conditionalFormatting>
  <conditionalFormatting sqref="F6">
    <cfRule type="expression" dxfId="160" priority="1">
      <formula>AND(ISNUMBER(F6),ROUND(F6,2)=INT(ROUND(F6,2)))</formula>
    </cfRule>
    <cfRule type="expression" dxfId="161" priority="2">
      <formula>AND(ISNUMBER(F6),ROUND(F6,2)&lt;&gt;INT(ROUND(F6,2)))</formula>
    </cfRule>
  </conditionalFormatting>
  <conditionalFormatting sqref="F9">
    <cfRule type="expression" dxfId="162" priority="1">
      <formula>AND(ISNUMBER(F9),ROUND(F9,2)=INT(ROUND(F9,2)))</formula>
    </cfRule>
    <cfRule type="expression" dxfId="163" priority="2">
      <formula>AND(ISNUMBER(F9),ROUND(F9,2)&lt;&gt;INT(ROUND(F9,2)))</formula>
    </cfRule>
  </conditionalFormatting>
  <dataValidations count="4">
    <dataValidation type="decimal" operator="greaterThanOrEqual" allowBlank="1" showErrorMessage="1" error="יש להזין מספר לא שלילי" sqref="D4:D6">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s>
  <pageMargins left="0.25" right="0.25" top="0.75" bottom="0.75" header="0" footer="0.25"/>
  <pageSetup paperSize="9" orientation="portrait" fitToWidth="1" fitToHeight="0" firstPageNumber="10" useFirstPageNumber="1"/>
  <headerFooter>
    <oddFooter>&amp;Cעמוד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1"/>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9</v>
      </c>
      <c r="B1" s="12" t="s">
        <v>18</v>
      </c>
      <c r="C1" s="3"/>
      <c r="D1" s="3"/>
      <c r="E1" s="3"/>
      <c r="F1" s="3"/>
      <c r="G1" s="1" t="s">
        <v>55</v>
      </c>
      <c r="H1" s="1" t="s">
        <v>57</v>
      </c>
    </row>
    <row r="2" ht="32" customHeight="1" spans="1:8" x14ac:dyDescent="0.25">
      <c r="A2" s="19" t="s">
        <v>58</v>
      </c>
      <c r="B2" s="20" t="s">
        <v>59</v>
      </c>
      <c r="C2" s="19" t="s">
        <v>60</v>
      </c>
      <c r="D2" s="19" t="s">
        <v>61</v>
      </c>
      <c r="E2" s="19" t="s">
        <v>62</v>
      </c>
      <c r="F2" s="19" t="s">
        <v>63</v>
      </c>
      <c r="G2" s="1"/>
      <c r="H2" s="1" t="s">
        <v>64</v>
      </c>
    </row>
    <row r="3" ht="81.6" customHeight="1" spans="1:8" x14ac:dyDescent="0.25">
      <c r="A3" s="21"/>
      <c r="B3" s="22" t="s">
        <v>208</v>
      </c>
      <c r="C3" s="21"/>
      <c r="D3" s="21"/>
      <c r="E3" s="21"/>
      <c r="F3" s="21"/>
      <c r="G3" s="4" t="s">
        <v>209</v>
      </c>
      <c r="H3" s="4" t="s">
        <v>67</v>
      </c>
    </row>
    <row r="4" ht="64.19999999999999" customHeight="1" spans="1:8" x14ac:dyDescent="0.25">
      <c r="A4" s="21" t="s">
        <v>210</v>
      </c>
      <c r="B4" s="22" t="s">
        <v>211</v>
      </c>
      <c r="C4" s="21" t="s">
        <v>78</v>
      </c>
      <c r="D4" s="21"/>
      <c r="E4" s="23"/>
      <c r="F4" s="23" t="str">
        <f>IF(ISBLANK(D4),"",IF(NOT(ISNUMBER(D4)),"קלט לא תקין",IF(D4&lt;0,"קלט לא תקין",IF(ISBLANK(E4),"",IF(OR(E4="כלול",E4="לא רלוונטי"),0,IF(NOT(ISNUMBER(E4)),"קלט לא תקין",IF(E4&lt;0,"קלט לא תקין",ROUND(D4*E4,2))))))))</f>
        <v/>
      </c>
      <c r="G4" s="4" t="s">
        <v>212</v>
      </c>
      <c r="H4" s="4" t="s">
        <v>72</v>
      </c>
    </row>
    <row r="5" ht="64.19999999999999" customHeight="1" spans="1:8" x14ac:dyDescent="0.25">
      <c r="A5" s="21" t="s">
        <v>213</v>
      </c>
      <c r="B5" s="22" t="s">
        <v>214</v>
      </c>
      <c r="C5" s="21" t="s">
        <v>78</v>
      </c>
      <c r="D5" s="21"/>
      <c r="E5" s="23"/>
      <c r="F5" s="23" t="str">
        <f>IF(ISBLANK(D5),"",IF(NOT(ISNUMBER(D5)),"קלט לא תקין",IF(D5&lt;0,"קלט לא תקין",IF(ISBLANK(E5),"",IF(OR(E5="כלול",E5="לא רלוונטי"),0,IF(NOT(ISNUMBER(E5)),"קלט לא תקין",IF(E5&lt;0,"קלט לא תקין",ROUND(D5*E5,2))))))))</f>
        <v/>
      </c>
      <c r="G5" s="4" t="s">
        <v>215</v>
      </c>
      <c r="H5" s="4" t="s">
        <v>72</v>
      </c>
    </row>
    <row r="6" ht="64.19999999999999" customHeight="1" spans="1:8" x14ac:dyDescent="0.25">
      <c r="A6" s="21" t="s">
        <v>216</v>
      </c>
      <c r="B6" s="22" t="s">
        <v>217</v>
      </c>
      <c r="C6" s="21" t="s">
        <v>78</v>
      </c>
      <c r="D6" s="21"/>
      <c r="E6" s="23"/>
      <c r="F6" s="23" t="str">
        <f>IF(ISBLANK(D6),"",IF(NOT(ISNUMBER(D6)),"קלט לא תקין",IF(D6&lt;0,"קלט לא תקין",IF(ISBLANK(E6),"",IF(OR(E6="כלול",E6="לא רלוונטי"),0,IF(NOT(ISNUMBER(E6)),"קלט לא תקין",IF(E6&lt;0,"קלט לא תקין",ROUND(D6*E6,2))))))))</f>
        <v/>
      </c>
      <c r="G6" s="4" t="s">
        <v>218</v>
      </c>
      <c r="H6" s="4" t="s">
        <v>72</v>
      </c>
    </row>
    <row r="7" ht="64.19999999999999" customHeight="1" spans="1:8" x14ac:dyDescent="0.25">
      <c r="A7" s="21" t="s">
        <v>219</v>
      </c>
      <c r="B7" s="22" t="s">
        <v>220</v>
      </c>
      <c r="C7" s="21" t="s">
        <v>82</v>
      </c>
      <c r="D7" s="21"/>
      <c r="E7" s="23"/>
      <c r="F7" s="23" t="str">
        <f>IF(ISBLANK(D7),"",IF(NOT(ISNUMBER(D7)),"קלט לא תקין",IF(D7&lt;0,"קלט לא תקין",IF(ISBLANK(E7),"",IF(OR(E7="כלול",E7="לא רלוונטי"),0,IF(NOT(ISNUMBER(E7)),"קלט לא תקין",IF(E7&lt;0,"קלט לא תקין",ROUND(D7*E7,2))))))))</f>
        <v/>
      </c>
      <c r="G7" s="4" t="s">
        <v>221</v>
      </c>
      <c r="H7" s="4" t="s">
        <v>72</v>
      </c>
    </row>
    <row r="8" ht="64.19999999999999" customHeight="1" spans="1:8" x14ac:dyDescent="0.25">
      <c r="A8" s="21" t="s">
        <v>222</v>
      </c>
      <c r="B8" s="22" t="s">
        <v>223</v>
      </c>
      <c r="C8" s="21" t="s">
        <v>70</v>
      </c>
      <c r="D8" s="21"/>
      <c r="E8" s="23"/>
      <c r="F8" s="23" t="str">
        <f>IF(ISBLANK(D8),"",IF(NOT(ISNUMBER(D8)),"קלט לא תקין",IF(D8&lt;0,"קלט לא תקין",IF(ISBLANK(E8),"",IF(OR(E8="כלול",E8="לא רלוונטי"),0,IF(NOT(ISNUMBER(E8)),"קלט לא תקין",IF(E8&lt;0,"קלט לא תקין",ROUND(D8*E8,2))))))))</f>
        <v/>
      </c>
      <c r="G8" s="4" t="s">
        <v>224</v>
      </c>
      <c r="H8" s="4" t="s">
        <v>72</v>
      </c>
    </row>
    <row r="9" ht="64.19999999999999" customHeight="1" spans="1:8" x14ac:dyDescent="0.25">
      <c r="A9" s="21" t="s">
        <v>225</v>
      </c>
      <c r="B9" s="22" t="s">
        <v>226</v>
      </c>
      <c r="C9" s="21" t="s">
        <v>82</v>
      </c>
      <c r="D9" s="21"/>
      <c r="E9" s="23"/>
      <c r="F9" s="23" t="str">
        <f>IF(ISBLANK(D9),"",IF(NOT(ISNUMBER(D9)),"קלט לא תקין",IF(D9&lt;0,"קלט לא תקין",IF(ISBLANK(E9),"",IF(OR(E9="כלול",E9="לא רלוונטי"),0,IF(NOT(ISNUMBER(E9)),"קלט לא תקין",IF(E9&lt;0,"קלט לא תקין",ROUND(D9*E9,2))))))))</f>
        <v/>
      </c>
      <c r="G9" s="4" t="s">
        <v>227</v>
      </c>
      <c r="H9" s="4" t="s">
        <v>72</v>
      </c>
    </row>
    <row r="10" ht="64.19999999999999" customHeight="1" spans="1:8" x14ac:dyDescent="0.25">
      <c r="A10" s="21" t="s">
        <v>228</v>
      </c>
      <c r="B10" s="22" t="s">
        <v>229</v>
      </c>
      <c r="C10" s="21" t="s">
        <v>82</v>
      </c>
      <c r="D10" s="21"/>
      <c r="E10" s="23"/>
      <c r="F10" s="23" t="str">
        <f>IF(ISBLANK(D10),"",IF(NOT(ISNUMBER(D10)),"קלט לא תקין",IF(D10&lt;0,"קלט לא תקין",IF(ISBLANK(E10),"",IF(OR(E10="כלול",E10="לא רלוונטי"),0,IF(NOT(ISNUMBER(E10)),"קלט לא תקין",IF(E10&lt;0,"קלט לא תקין",ROUND(D10*E10,2))))))))</f>
        <v/>
      </c>
      <c r="G10" s="4" t="s">
        <v>230</v>
      </c>
      <c r="H10" s="4" t="s">
        <v>72</v>
      </c>
    </row>
    <row r="11" ht="64.19999999999999" customHeight="1" spans="1:8" x14ac:dyDescent="0.25">
      <c r="A11" s="21" t="s">
        <v>231</v>
      </c>
      <c r="B11" s="22" t="s">
        <v>232</v>
      </c>
      <c r="C11" s="21" t="s">
        <v>82</v>
      </c>
      <c r="D11" s="21"/>
      <c r="E11" s="23"/>
      <c r="F11" s="23" t="str">
        <f>IF(ISBLANK(D11),"",IF(NOT(ISNUMBER(D11)),"קלט לא תקין",IF(D11&lt;0,"קלט לא תקין",IF(ISBLANK(E11),"",IF(OR(E11="כלול",E11="לא רלוונטי"),0,IF(NOT(ISNUMBER(E11)),"קלט לא תקין",IF(E11&lt;0,"קלט לא תקין",ROUND(D11*E11,2))))))))</f>
        <v/>
      </c>
      <c r="G11" s="4" t="s">
        <v>233</v>
      </c>
      <c r="H11" s="4" t="s">
        <v>72</v>
      </c>
    </row>
    <row r="12" ht="60.80000000000018" customHeight="1" spans="1:8" x14ac:dyDescent="0.25">
      <c r="A12" s="26"/>
      <c r="B12" s="27"/>
      <c r="C12" s="26"/>
      <c r="D12" s="26"/>
      <c r="E12" s="26"/>
      <c r="F12" s="26"/>
      <c r="G12" s="4"/>
      <c r="H12" s="4" t="s">
        <v>5</v>
      </c>
    </row>
    <row r="13" ht="32" customHeight="1" spans="1:8" x14ac:dyDescent="0.25">
      <c r="A13" s="28">
        <v>9</v>
      </c>
      <c r="B13" s="12" t="s">
        <v>234</v>
      </c>
      <c r="C13" s="3"/>
      <c r="D13" s="3"/>
      <c r="E13" s="3"/>
      <c r="F13" s="3"/>
      <c r="G13" s="4"/>
      <c r="H13" s="4" t="s">
        <v>235</v>
      </c>
    </row>
    <row r="14" ht="32" customHeight="1" spans="1:8" x14ac:dyDescent="0.25">
      <c r="A14" s="19" t="s">
        <v>58</v>
      </c>
      <c r="B14" s="20" t="s">
        <v>59</v>
      </c>
      <c r="C14" s="19" t="s">
        <v>60</v>
      </c>
      <c r="D14" s="19" t="s">
        <v>61</v>
      </c>
      <c r="E14" s="19" t="s">
        <v>62</v>
      </c>
      <c r="F14" s="19" t="s">
        <v>63</v>
      </c>
      <c r="G14" s="4"/>
      <c r="H14" s="4" t="s">
        <v>64</v>
      </c>
    </row>
    <row r="15" ht="64.19999999999999" customHeight="1" spans="1:8" x14ac:dyDescent="0.25">
      <c r="A15" s="21"/>
      <c r="B15" s="22" t="s">
        <v>236</v>
      </c>
      <c r="C15" s="21"/>
      <c r="D15" s="21"/>
      <c r="E15" s="21"/>
      <c r="F15" s="21"/>
      <c r="G15" s="4" t="s">
        <v>237</v>
      </c>
      <c r="H15" s="4" t="s">
        <v>67</v>
      </c>
    </row>
    <row r="16" ht="46.8" customHeight="1" spans="1:8" x14ac:dyDescent="0.25">
      <c r="A16" s="21" t="s">
        <v>238</v>
      </c>
      <c r="B16" s="22" t="s">
        <v>239</v>
      </c>
      <c r="C16" s="21" t="s">
        <v>82</v>
      </c>
      <c r="D16" s="21"/>
      <c r="E16" s="23"/>
      <c r="F16" s="23" t="str">
        <f>IF(ISBLANK(D16),"",IF(NOT(ISNUMBER(D16)),"קלט לא תקין",IF(D16&lt;0,"קלט לא תקין",IF(ISBLANK(E16),"",IF(OR(E16="כלול",E16="לא רלוונטי"),0,IF(NOT(ISNUMBER(E16)),"קלט לא תקין",IF(E16&lt;0,"קלט לא תקין",ROUND(D16*E16,2))))))))</f>
        <v/>
      </c>
      <c r="G16" s="4" t="s">
        <v>240</v>
      </c>
      <c r="H16" s="4" t="s">
        <v>72</v>
      </c>
    </row>
    <row r="17" ht="46.8" customHeight="1" spans="1:8" x14ac:dyDescent="0.25">
      <c r="A17" s="21" t="s">
        <v>241</v>
      </c>
      <c r="B17" s="22" t="s">
        <v>242</v>
      </c>
      <c r="C17" s="21" t="s">
        <v>82</v>
      </c>
      <c r="D17" s="21"/>
      <c r="E17" s="23"/>
      <c r="F17" s="23" t="str">
        <f>IF(ISBLANK(D17),"",IF(NOT(ISNUMBER(D17)),"קלט לא תקין",IF(D17&lt;0,"קלט לא תקין",IF(ISBLANK(E17),"",IF(OR(E17="כלול",E17="לא רלוונטי"),0,IF(NOT(ISNUMBER(E17)),"קלט לא תקין",IF(E17&lt;0,"קלט לא תקין",ROUND(D17*E17,2))))))))</f>
        <v/>
      </c>
      <c r="G17" s="4" t="s">
        <v>243</v>
      </c>
      <c r="H17" s="4" t="s">
        <v>72</v>
      </c>
    </row>
    <row r="18" ht="46.8" customHeight="1" spans="1:8" x14ac:dyDescent="0.25">
      <c r="A18" s="21" t="s">
        <v>244</v>
      </c>
      <c r="B18" s="22" t="s">
        <v>245</v>
      </c>
      <c r="C18" s="21" t="s">
        <v>82</v>
      </c>
      <c r="D18" s="21"/>
      <c r="E18" s="23"/>
      <c r="F18" s="23" t="str">
        <f>IF(ISBLANK(D18),"",IF(NOT(ISNUMBER(D18)),"קלט לא תקין",IF(D18&lt;0,"קלט לא תקין",IF(ISBLANK(E18),"",IF(OR(E18="כלול",E18="לא רלוונטי"),0,IF(NOT(ISNUMBER(E18)),"קלט לא תקין",IF(E18&lt;0,"קלט לא תקין",ROUND(D18*E18,2))))))))</f>
        <v/>
      </c>
      <c r="G18" s="4" t="s">
        <v>246</v>
      </c>
      <c r="H18" s="4" t="s">
        <v>72</v>
      </c>
    </row>
    <row r="19" ht="400" customHeight="1" spans="1:8" x14ac:dyDescent="0.25">
      <c r="A19" s="21"/>
      <c r="B19" s="22"/>
      <c r="C19" s="21"/>
      <c r="D19" s="21"/>
      <c r="E19" s="21"/>
      <c r="F19" s="21"/>
      <c r="G19" s="4"/>
      <c r="H19" s="4" t="s">
        <v>5</v>
      </c>
    </row>
    <row r="20" ht="19.400000000000034" customHeight="1" spans="1:8" x14ac:dyDescent="0.25">
      <c r="A20" s="21"/>
      <c r="B20" s="22"/>
      <c r="C20" s="21"/>
      <c r="D20" s="21"/>
      <c r="E20" s="21"/>
      <c r="F20" s="21"/>
      <c r="G20" s="4"/>
      <c r="H20" s="4" t="s">
        <v>5</v>
      </c>
    </row>
    <row r="21" ht="32" customHeight="1" spans="1:8" x14ac:dyDescent="0.25">
      <c r="A21" s="14"/>
      <c r="B21" s="15" t="s">
        <v>247</v>
      </c>
      <c r="C21" s="16"/>
      <c r="D21" s="16"/>
      <c r="E21" s="16"/>
      <c r="F21" s="25">
        <f>SUM(F4,F5,F6,F7,F8,F9,F10,F11,F16,F17,F18)</f>
        <v>0</v>
      </c>
      <c r="G21" s="4"/>
      <c r="H21" s="4" t="s">
        <v>91</v>
      </c>
    </row>
  </sheetData>
  <mergeCells count="3">
    <mergeCell ref="B1:F1"/>
    <mergeCell ref="B13:F13"/>
    <mergeCell ref="B21:E21"/>
  </mergeCells>
  <conditionalFormatting sqref="E4">
    <cfRule type="expression" dxfId="164" priority="1">
      <formula>AND(ISNUMBER(E4),ROUND(E4,2)=INT(ROUND(E4,2)))</formula>
    </cfRule>
    <cfRule type="expression" dxfId="165" priority="2">
      <formula>AND(ISNUMBER(E4),ROUND(E4,2)&lt;&gt;INT(ROUND(E4,2)))</formula>
    </cfRule>
  </conditionalFormatting>
  <conditionalFormatting sqref="F4">
    <cfRule type="expression" dxfId="166" priority="1">
      <formula>AND(ISNUMBER(F4),ROUND(F4,2)=INT(ROUND(F4,2)))</formula>
    </cfRule>
    <cfRule type="expression" dxfId="167" priority="2">
      <formula>AND(ISNUMBER(F4),ROUND(F4,2)&lt;&gt;INT(ROUND(F4,2)))</formula>
    </cfRule>
  </conditionalFormatting>
  <conditionalFormatting sqref="E5">
    <cfRule type="expression" dxfId="168" priority="1">
      <formula>AND(ISNUMBER(E5),ROUND(E5,2)=INT(ROUND(E5,2)))</formula>
    </cfRule>
    <cfRule type="expression" dxfId="169" priority="2">
      <formula>AND(ISNUMBER(E5),ROUND(E5,2)&lt;&gt;INT(ROUND(E5,2)))</formula>
    </cfRule>
  </conditionalFormatting>
  <conditionalFormatting sqref="F5">
    <cfRule type="expression" dxfId="170" priority="1">
      <formula>AND(ISNUMBER(F5),ROUND(F5,2)=INT(ROUND(F5,2)))</formula>
    </cfRule>
    <cfRule type="expression" dxfId="171" priority="2">
      <formula>AND(ISNUMBER(F5),ROUND(F5,2)&lt;&gt;INT(ROUND(F5,2)))</formula>
    </cfRule>
  </conditionalFormatting>
  <conditionalFormatting sqref="E6">
    <cfRule type="expression" dxfId="172" priority="1">
      <formula>AND(ISNUMBER(E6),ROUND(E6,2)=INT(ROUND(E6,2)))</formula>
    </cfRule>
    <cfRule type="expression" dxfId="173" priority="2">
      <formula>AND(ISNUMBER(E6),ROUND(E6,2)&lt;&gt;INT(ROUND(E6,2)))</formula>
    </cfRule>
  </conditionalFormatting>
  <conditionalFormatting sqref="F6">
    <cfRule type="expression" dxfId="174" priority="1">
      <formula>AND(ISNUMBER(F6),ROUND(F6,2)=INT(ROUND(F6,2)))</formula>
    </cfRule>
    <cfRule type="expression" dxfId="175" priority="2">
      <formula>AND(ISNUMBER(F6),ROUND(F6,2)&lt;&gt;INT(ROUND(F6,2)))</formula>
    </cfRule>
  </conditionalFormatting>
  <conditionalFormatting sqref="E7">
    <cfRule type="expression" dxfId="176" priority="1">
      <formula>AND(ISNUMBER(E7),ROUND(E7,2)=INT(ROUND(E7,2)))</formula>
    </cfRule>
    <cfRule type="expression" dxfId="177" priority="2">
      <formula>AND(ISNUMBER(E7),ROUND(E7,2)&lt;&gt;INT(ROUND(E7,2)))</formula>
    </cfRule>
  </conditionalFormatting>
  <conditionalFormatting sqref="F7">
    <cfRule type="expression" dxfId="178" priority="1">
      <formula>AND(ISNUMBER(F7),ROUND(F7,2)=INT(ROUND(F7,2)))</formula>
    </cfRule>
    <cfRule type="expression" dxfId="179" priority="2">
      <formula>AND(ISNUMBER(F7),ROUND(F7,2)&lt;&gt;INT(ROUND(F7,2)))</formula>
    </cfRule>
  </conditionalFormatting>
  <conditionalFormatting sqref="E8">
    <cfRule type="expression" dxfId="180" priority="1">
      <formula>AND(ISNUMBER(E8),ROUND(E8,2)=INT(ROUND(E8,2)))</formula>
    </cfRule>
    <cfRule type="expression" dxfId="181" priority="2">
      <formula>AND(ISNUMBER(E8),ROUND(E8,2)&lt;&gt;INT(ROUND(E8,2)))</formula>
    </cfRule>
  </conditionalFormatting>
  <conditionalFormatting sqref="F8">
    <cfRule type="expression" dxfId="182" priority="1">
      <formula>AND(ISNUMBER(F8),ROUND(F8,2)=INT(ROUND(F8,2)))</formula>
    </cfRule>
    <cfRule type="expression" dxfId="183" priority="2">
      <formula>AND(ISNUMBER(F8),ROUND(F8,2)&lt;&gt;INT(ROUND(F8,2)))</formula>
    </cfRule>
  </conditionalFormatting>
  <conditionalFormatting sqref="E9">
    <cfRule type="expression" dxfId="184" priority="1">
      <formula>AND(ISNUMBER(E9),ROUND(E9,2)=INT(ROUND(E9,2)))</formula>
    </cfRule>
    <cfRule type="expression" dxfId="185" priority="2">
      <formula>AND(ISNUMBER(E9),ROUND(E9,2)&lt;&gt;INT(ROUND(E9,2)))</formula>
    </cfRule>
  </conditionalFormatting>
  <conditionalFormatting sqref="F9">
    <cfRule type="expression" dxfId="186" priority="1">
      <formula>AND(ISNUMBER(F9),ROUND(F9,2)=INT(ROUND(F9,2)))</formula>
    </cfRule>
    <cfRule type="expression" dxfId="187" priority="2">
      <formula>AND(ISNUMBER(F9),ROUND(F9,2)&lt;&gt;INT(ROUND(F9,2)))</formula>
    </cfRule>
  </conditionalFormatting>
  <conditionalFormatting sqref="E10">
    <cfRule type="expression" dxfId="188" priority="1">
      <formula>AND(ISNUMBER(E10),ROUND(E10,2)=INT(ROUND(E10,2)))</formula>
    </cfRule>
    <cfRule type="expression" dxfId="189" priority="2">
      <formula>AND(ISNUMBER(E10),ROUND(E10,2)&lt;&gt;INT(ROUND(E10,2)))</formula>
    </cfRule>
  </conditionalFormatting>
  <conditionalFormatting sqref="F10">
    <cfRule type="expression" dxfId="190" priority="1">
      <formula>AND(ISNUMBER(F10),ROUND(F10,2)=INT(ROUND(F10,2)))</formula>
    </cfRule>
    <cfRule type="expression" dxfId="191" priority="2">
      <formula>AND(ISNUMBER(F10),ROUND(F10,2)&lt;&gt;INT(ROUND(F10,2)))</formula>
    </cfRule>
  </conditionalFormatting>
  <conditionalFormatting sqref="E11">
    <cfRule type="expression" dxfId="192" priority="1">
      <formula>AND(ISNUMBER(E11),ROUND(E11,2)=INT(ROUND(E11,2)))</formula>
    </cfRule>
    <cfRule type="expression" dxfId="193" priority="2">
      <formula>AND(ISNUMBER(E11),ROUND(E11,2)&lt;&gt;INT(ROUND(E11,2)))</formula>
    </cfRule>
  </conditionalFormatting>
  <conditionalFormatting sqref="F11">
    <cfRule type="expression" dxfId="194" priority="1">
      <formula>AND(ISNUMBER(F11),ROUND(F11,2)=INT(ROUND(F11,2)))</formula>
    </cfRule>
    <cfRule type="expression" dxfId="195" priority="2">
      <formula>AND(ISNUMBER(F11),ROUND(F11,2)&lt;&gt;INT(ROUND(F11,2)))</formula>
    </cfRule>
  </conditionalFormatting>
  <conditionalFormatting sqref="E16">
    <cfRule type="expression" dxfId="196" priority="1">
      <formula>AND(ISNUMBER(E16),ROUND(E16,2)=INT(ROUND(E16,2)))</formula>
    </cfRule>
    <cfRule type="expression" dxfId="197" priority="2">
      <formula>AND(ISNUMBER(E16),ROUND(E16,2)&lt;&gt;INT(ROUND(E16,2)))</formula>
    </cfRule>
  </conditionalFormatting>
  <conditionalFormatting sqref="F16">
    <cfRule type="expression" dxfId="198" priority="1">
      <formula>AND(ISNUMBER(F16),ROUND(F16,2)=INT(ROUND(F16,2)))</formula>
    </cfRule>
    <cfRule type="expression" dxfId="199" priority="2">
      <formula>AND(ISNUMBER(F16),ROUND(F16,2)&lt;&gt;INT(ROUND(F16,2)))</formula>
    </cfRule>
  </conditionalFormatting>
  <conditionalFormatting sqref="E17">
    <cfRule type="expression" dxfId="200" priority="1">
      <formula>AND(ISNUMBER(E17),ROUND(E17,2)=INT(ROUND(E17,2)))</formula>
    </cfRule>
    <cfRule type="expression" dxfId="201" priority="2">
      <formula>AND(ISNUMBER(E17),ROUND(E17,2)&lt;&gt;INT(ROUND(E17,2)))</formula>
    </cfRule>
  </conditionalFormatting>
  <conditionalFormatting sqref="F17">
    <cfRule type="expression" dxfId="202" priority="1">
      <formula>AND(ISNUMBER(F17),ROUND(F17,2)=INT(ROUND(F17,2)))</formula>
    </cfRule>
    <cfRule type="expression" dxfId="203" priority="2">
      <formula>AND(ISNUMBER(F17),ROUND(F17,2)&lt;&gt;INT(ROUND(F17,2)))</formula>
    </cfRule>
  </conditionalFormatting>
  <conditionalFormatting sqref="E18">
    <cfRule type="expression" dxfId="204" priority="1">
      <formula>AND(ISNUMBER(E18),ROUND(E18,2)=INT(ROUND(E18,2)))</formula>
    </cfRule>
    <cfRule type="expression" dxfId="205" priority="2">
      <formula>AND(ISNUMBER(E18),ROUND(E18,2)&lt;&gt;INT(ROUND(E18,2)))</formula>
    </cfRule>
  </conditionalFormatting>
  <conditionalFormatting sqref="F18">
    <cfRule type="expression" dxfId="206" priority="1">
      <formula>AND(ISNUMBER(F18),ROUND(F18,2)=INT(ROUND(F18,2)))</formula>
    </cfRule>
    <cfRule type="expression" dxfId="207" priority="2">
      <formula>AND(ISNUMBER(F18),ROUND(F18,2)&lt;&gt;INT(ROUND(F18,2)))</formula>
    </cfRule>
  </conditionalFormatting>
  <conditionalFormatting sqref="F21">
    <cfRule type="expression" dxfId="208" priority="1">
      <formula>AND(ISNUMBER(F21),ROUND(F21,2)=INT(ROUND(F21,2)))</formula>
    </cfRule>
    <cfRule type="expression" dxfId="209" priority="2">
      <formula>AND(ISNUMBER(F21),ROUND(F21,2)&lt;&gt;INT(ROUND(F21,2)))</formula>
    </cfRule>
  </conditionalFormatting>
  <dataValidations count="14">
    <dataValidation type="decimal" operator="greaterThanOrEqual" allowBlank="1" showErrorMessage="1" error="יש להזין מספר לא שלילי" sqref="D10:D11">
      <formula1>0</formula1>
    </dataValidation>
    <dataValidation type="decimal" operator="greaterThanOrEqual" allowBlank="1" showErrorMessage="1" error="יש להזין מספר לא שלילי" sqref="D16:D18">
      <formula1>0</formula1>
    </dataValidation>
    <dataValidation type="decimal" operator="greaterThanOrEqual" allowBlank="1" showErrorMessage="1" error="יש להזין מספר לא שלילי" sqref="D4:D11">
      <formula1>0</formula1>
    </dataValidation>
    <dataValidation type="custom" allowBlank="1" showErrorMessage="1" error="מספר לא שלילי, כלול או לא רלוונטי בלבד" sqref="E10">
      <formula1>OR(ISBLANK(E10),AND(ISNUMBER(E10),E10&gt;=0),E10="כלול",E10="לא רלוונטי")</formula1>
    </dataValidation>
    <dataValidation type="custom" allowBlank="1" showErrorMessage="1" error="מספר לא שלילי, כלול או לא רלוונטי בלבד" sqref="E11">
      <formula1>OR(ISBLANK(E11),AND(ISNUMBER(E11),E11&gt;=0),E11="כלול",E11="לא רלוונטי")</formula1>
    </dataValidation>
    <dataValidation type="custom" allowBlank="1" showErrorMessage="1" error="מספר לא שלילי, כלול או לא רלוונטי בלבד" sqref="E16">
      <formula1>OR(ISBLANK(E16),AND(ISNUMBER(E16),E16&gt;=0),E16="כלול",E16="לא רלוונטי")</formula1>
    </dataValidation>
    <dataValidation type="custom" allowBlank="1" showErrorMessage="1" error="מספר לא שלילי, כלול או לא רלוונטי בלבד" sqref="E17">
      <formula1>OR(ISBLANK(E17),AND(ISNUMBER(E17),E17&gt;=0),E17="כלול",E17="לא רלוונטי")</formula1>
    </dataValidation>
    <dataValidation type="custom" allowBlank="1" showErrorMessage="1" error="מספר לא שלילי, כלול או לא רלוונטי בלבד" sqref="E18">
      <formula1>OR(ISBLANK(E18),AND(ISNUMBER(E18),E18&gt;=0),E18="כלול",E18="לא רלוונטי")</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 type="custom" allowBlank="1" showErrorMessage="1" error="מספר לא שלילי, כלול או לא רלוונטי בלבד" sqref="E8">
      <formula1>OR(ISBLANK(E8),AND(ISNUMBER(E8),E8&gt;=0),E8="כלול",E8="לא רלוונטי")</formula1>
    </dataValidation>
    <dataValidation type="custom" allowBlank="1" showErrorMessage="1" error="מספר לא שלילי, כלול או לא רלוונטי בלבד" sqref="E9">
      <formula1>OR(ISBLANK(E9),AND(ISNUMBER(E9),E9&gt;=0),E9="כלול",E9="לא רלוונטי")</formula1>
    </dataValidation>
  </dataValidations>
  <pageMargins left="0.25" right="0.25" top="0.75" bottom="0.75" header="0" footer="0.25"/>
  <pageSetup paperSize="9" orientation="portrait" fitToWidth="1" fitToHeight="0" firstPageNumber="11" useFirstPageNumber="1"/>
  <headerFooter>
    <oddFooter>&amp;Cעמוד &amp;P</oddFooter>
  </headerFooter>
  <rowBreaks count="1" manualBreakCount="1">
    <brk id="12" max="16838"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5"/>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40" customHeight="1" spans="1:6" x14ac:dyDescent="0.25">
      <c r="A1" s="1"/>
      <c r="B1" s="12" t="s">
        <v>248</v>
      </c>
      <c r="C1" s="3"/>
      <c r="D1" s="3"/>
      <c r="E1" s="3"/>
      <c r="F1" s="3"/>
    </row>
    <row r="2" ht="30" customHeight="1" spans="1:6" x14ac:dyDescent="0.25">
      <c r="A2" s="29" t="s">
        <v>7</v>
      </c>
      <c r="B2" s="30" t="s">
        <v>249</v>
      </c>
      <c r="C2" s="31"/>
      <c r="D2" s="31"/>
      <c r="E2" s="29" t="s">
        <v>63</v>
      </c>
      <c r="F2" s="31"/>
    </row>
    <row r="3" ht="24" customHeight="1" spans="1:6" x14ac:dyDescent="0.25">
      <c r="A3" s="32">
        <v>1</v>
      </c>
      <c r="B3" s="33" t="s">
        <v>10</v>
      </c>
      <c r="C3" s="34"/>
      <c r="D3" s="34"/>
      <c r="E3" s="35">
        <f>'בנייה ומחיצות פנים'!F11</f>
        <v>1234567.89</v>
      </c>
      <c r="F3" s="36"/>
    </row>
    <row r="4" ht="24" customHeight="1" spans="1:6" x14ac:dyDescent="0.25">
      <c r="A4" s="32">
        <v>2</v>
      </c>
      <c r="B4" s="33" t="s">
        <v>11</v>
      </c>
      <c r="C4" s="34"/>
      <c r="D4" s="34"/>
      <c r="E4" s="37">
        <f>'אינסטלציה ותברואה'!F13</f>
        <v>0</v>
      </c>
      <c r="F4" s="38"/>
    </row>
    <row r="5" ht="24" customHeight="1" spans="1:6" x14ac:dyDescent="0.25">
      <c r="A5" s="32">
        <v>3</v>
      </c>
      <c r="B5" s="33" t="s">
        <v>12</v>
      </c>
      <c r="C5" s="34"/>
      <c r="D5" s="34"/>
      <c r="E5" s="37">
        <f>'חשמל והכנות תקשורת'!F15</f>
        <v>0</v>
      </c>
      <c r="F5" s="38"/>
    </row>
    <row r="6" ht="24" customHeight="1" spans="1:6" x14ac:dyDescent="0.25">
      <c r="A6" s="32">
        <v>4</v>
      </c>
      <c r="B6" s="33" t="s">
        <v>13</v>
      </c>
      <c r="C6" s="34"/>
      <c r="D6" s="34"/>
      <c r="E6" s="37">
        <f>'איטום'!F7</f>
        <v>0</v>
      </c>
      <c r="F6" s="38"/>
    </row>
    <row r="7" ht="24" customHeight="1" spans="1:6" x14ac:dyDescent="0.25">
      <c r="A7" s="32">
        <v>5</v>
      </c>
      <c r="B7" s="33" t="s">
        <v>14</v>
      </c>
      <c r="C7" s="34"/>
      <c r="D7" s="34"/>
      <c r="E7" s="37">
        <f>'דלתות פנים'!F7</f>
        <v>0</v>
      </c>
      <c r="F7" s="38"/>
    </row>
    <row r="8" ht="24" customHeight="1" spans="1:6" x14ac:dyDescent="0.25">
      <c r="A8" s="32">
        <v>6</v>
      </c>
      <c r="B8" s="33" t="s">
        <v>15</v>
      </c>
      <c r="C8" s="34"/>
      <c r="D8" s="34"/>
      <c r="E8" s="37">
        <f>'ריצוף וחיפוי'!F9</f>
        <v>0</v>
      </c>
      <c r="F8" s="38"/>
    </row>
    <row r="9" ht="24" customHeight="1" spans="1:6" x14ac:dyDescent="0.25">
      <c r="A9" s="32">
        <v>7</v>
      </c>
      <c r="B9" s="33" t="s">
        <v>16</v>
      </c>
      <c r="C9" s="34"/>
      <c r="D9" s="34"/>
      <c r="E9" s="37">
        <f>'תקרות והנמכות'!F9</f>
        <v>0</v>
      </c>
      <c r="F9" s="38"/>
    </row>
    <row r="10" ht="24" customHeight="1" spans="1:6" x14ac:dyDescent="0.25">
      <c r="A10" s="32">
        <v>8</v>
      </c>
      <c r="B10" s="33" t="s">
        <v>17</v>
      </c>
      <c r="C10" s="34"/>
      <c r="D10" s="34"/>
      <c r="E10" s="37">
        <f>'צבע וגמרים דקורטיביים'!F9</f>
        <v>0</v>
      </c>
      <c r="F10" s="38"/>
    </row>
    <row r="11" ht="24" customHeight="1" spans="1:6" x14ac:dyDescent="0.25">
      <c r="A11" s="32">
        <v>9</v>
      </c>
      <c r="B11" s="33" t="s">
        <v>18</v>
      </c>
      <c r="C11" s="34"/>
      <c r="D11" s="34"/>
      <c r="E11" s="37">
        <f>'נגרות ייעודית'!F21</f>
        <v>0</v>
      </c>
      <c r="F11" s="38"/>
    </row>
    <row r="12" ht="24" customHeight="1" spans="1:6" x14ac:dyDescent="0.25">
      <c r="A12" s="4"/>
      <c r="B12" s="39" t="s">
        <v>250</v>
      </c>
      <c r="C12" s="40"/>
      <c r="D12" s="40"/>
      <c r="E12" s="40"/>
      <c r="F12" s="40"/>
    </row>
    <row r="13" ht="32" customHeight="1" spans="1:6" x14ac:dyDescent="0.25">
      <c r="A13" s="4"/>
      <c r="B13" s="41" t="s">
        <v>63</v>
      </c>
      <c r="C13" s="42"/>
      <c r="D13" s="42"/>
      <c r="E13" s="43">
        <f>SUM(E3:E11)</f>
        <v>1234567.89</v>
      </c>
      <c r="F13" s="44"/>
    </row>
    <row r="14" ht="32" customHeight="1" spans="1:6" x14ac:dyDescent="0.25">
      <c r="A14" s="4"/>
      <c r="B14" s="45" t="str">
        <f>IF(ISNUMBER('שער'!F14),"מע"&amp;CHAR(34)&amp;"מ ("&amp;'שער'!F14&amp;"%)","מע"&amp;CHAR(34)&amp;"מ (לא הוגדר)")</f>
        <v>מע״מ (18%)</v>
      </c>
      <c r="C14" s="46"/>
      <c r="D14" s="46"/>
      <c r="E14" s="47">
        <f>IF(ISBLANK('שער'!F14),"",IF(ISNUMBER('שער'!F14),ROUND(E13*'שער'!F14/100,2),"קלט לא תקין"))</f>
        <v>222222.22</v>
      </c>
      <c r="F14" s="48"/>
    </row>
    <row r="15" ht="32" customHeight="1" spans="1:6" x14ac:dyDescent="0.25">
      <c r="A15" s="4"/>
      <c r="B15" s="49" t="s">
        <v>251</v>
      </c>
      <c r="C15" s="50"/>
      <c r="D15" s="50"/>
      <c r="E15" s="51">
        <f>IF(ISNUMBER(E14),SUM(E13,E14),"")</f>
        <v>1456790.11</v>
      </c>
      <c r="F15" s="52"/>
    </row>
  </sheetData>
  <mergeCells count="28">
    <mergeCell ref="B1:F1"/>
    <mergeCell ref="B2:D2"/>
    <mergeCell ref="E2:F2"/>
    <mergeCell ref="B3:D3"/>
    <mergeCell ref="E3:F3"/>
    <mergeCell ref="B4:D4"/>
    <mergeCell ref="E4:F4"/>
    <mergeCell ref="B5:D5"/>
    <mergeCell ref="E5:F5"/>
    <mergeCell ref="B6:D6"/>
    <mergeCell ref="E6:F6"/>
    <mergeCell ref="B7:D7"/>
    <mergeCell ref="E7:F7"/>
    <mergeCell ref="B8:D8"/>
    <mergeCell ref="E8:F8"/>
    <mergeCell ref="B9:D9"/>
    <mergeCell ref="E9:F9"/>
    <mergeCell ref="B10:D10"/>
    <mergeCell ref="E10:F10"/>
    <mergeCell ref="B11:D11"/>
    <mergeCell ref="E11:F11"/>
    <mergeCell ref="B12:F12"/>
    <mergeCell ref="B13:D13"/>
    <mergeCell ref="E13:F13"/>
    <mergeCell ref="B14:D14"/>
    <mergeCell ref="E14:F14"/>
    <mergeCell ref="B15:D15"/>
    <mergeCell ref="E15:F15"/>
  </mergeCells>
  <conditionalFormatting sqref="E3">
    <cfRule type="expression" dxfId="210" priority="1">
      <formula>AND(ISNUMBER(E3),ROUND(E3,2)=INT(ROUND(E3,2)))</formula>
    </cfRule>
    <cfRule type="expression" dxfId="211" priority="2">
      <formula>AND(ISNUMBER(E3),ROUND(E3,2)&lt;&gt;INT(ROUND(E3,2)))</formula>
    </cfRule>
  </conditionalFormatting>
  <conditionalFormatting sqref="E4">
    <cfRule type="expression" dxfId="212" priority="1">
      <formula>AND(ISNUMBER(E4),ROUND(E4,2)=INT(ROUND(E4,2)))</formula>
    </cfRule>
    <cfRule type="expression" dxfId="213" priority="2">
      <formula>AND(ISNUMBER(E4),ROUND(E4,2)&lt;&gt;INT(ROUND(E4,2)))</formula>
    </cfRule>
  </conditionalFormatting>
  <conditionalFormatting sqref="E5">
    <cfRule type="expression" dxfId="214" priority="1">
      <formula>AND(ISNUMBER(E5),ROUND(E5,2)=INT(ROUND(E5,2)))</formula>
    </cfRule>
    <cfRule type="expression" dxfId="215" priority="2">
      <formula>AND(ISNUMBER(E5),ROUND(E5,2)&lt;&gt;INT(ROUND(E5,2)))</formula>
    </cfRule>
  </conditionalFormatting>
  <conditionalFormatting sqref="E6">
    <cfRule type="expression" dxfId="216" priority="1">
      <formula>AND(ISNUMBER(E6),ROUND(E6,2)=INT(ROUND(E6,2)))</formula>
    </cfRule>
    <cfRule type="expression" dxfId="217" priority="2">
      <formula>AND(ISNUMBER(E6),ROUND(E6,2)&lt;&gt;INT(ROUND(E6,2)))</formula>
    </cfRule>
  </conditionalFormatting>
  <conditionalFormatting sqref="E7">
    <cfRule type="expression" dxfId="218" priority="1">
      <formula>AND(ISNUMBER(E7),ROUND(E7,2)=INT(ROUND(E7,2)))</formula>
    </cfRule>
    <cfRule type="expression" dxfId="219" priority="2">
      <formula>AND(ISNUMBER(E7),ROUND(E7,2)&lt;&gt;INT(ROUND(E7,2)))</formula>
    </cfRule>
  </conditionalFormatting>
  <conditionalFormatting sqref="E8">
    <cfRule type="expression" dxfId="220" priority="1">
      <formula>AND(ISNUMBER(E8),ROUND(E8,2)=INT(ROUND(E8,2)))</formula>
    </cfRule>
    <cfRule type="expression" dxfId="221" priority="2">
      <formula>AND(ISNUMBER(E8),ROUND(E8,2)&lt;&gt;INT(ROUND(E8,2)))</formula>
    </cfRule>
  </conditionalFormatting>
  <conditionalFormatting sqref="E9">
    <cfRule type="expression" dxfId="222" priority="1">
      <formula>AND(ISNUMBER(E9),ROUND(E9,2)=INT(ROUND(E9,2)))</formula>
    </cfRule>
    <cfRule type="expression" dxfId="223" priority="2">
      <formula>AND(ISNUMBER(E9),ROUND(E9,2)&lt;&gt;INT(ROUND(E9,2)))</formula>
    </cfRule>
  </conditionalFormatting>
  <conditionalFormatting sqref="E10">
    <cfRule type="expression" dxfId="224" priority="1">
      <formula>AND(ISNUMBER(E10),ROUND(E10,2)=INT(ROUND(E10,2)))</formula>
    </cfRule>
    <cfRule type="expression" dxfId="225" priority="2">
      <formula>AND(ISNUMBER(E10),ROUND(E10,2)&lt;&gt;INT(ROUND(E10,2)))</formula>
    </cfRule>
  </conditionalFormatting>
  <conditionalFormatting sqref="E11">
    <cfRule type="expression" dxfId="226" priority="1">
      <formula>AND(ISNUMBER(E11),ROUND(E11,2)=INT(ROUND(E11,2)))</formula>
    </cfRule>
    <cfRule type="expression" dxfId="227" priority="2">
      <formula>AND(ISNUMBER(E11),ROUND(E11,2)&lt;&gt;INT(ROUND(E11,2)))</formula>
    </cfRule>
  </conditionalFormatting>
  <conditionalFormatting sqref="E13">
    <cfRule type="expression" dxfId="228" priority="1">
      <formula>AND(ISNUMBER(E13),ROUND(E13,2)=INT(ROUND(E13,2)))</formula>
    </cfRule>
    <cfRule type="expression" dxfId="229" priority="2">
      <formula>AND(ISNUMBER(E13),ROUND(E13,2)&lt;&gt;INT(ROUND(E13,2)))</formula>
    </cfRule>
  </conditionalFormatting>
  <conditionalFormatting sqref="E14">
    <cfRule type="expression" dxfId="230" priority="1">
      <formula>AND(ISNUMBER(E14),ROUND(E14,2)=INT(ROUND(E14,2)))</formula>
    </cfRule>
    <cfRule type="expression" dxfId="231" priority="2">
      <formula>AND(ISNUMBER(E14),ROUND(E14,2)&lt;&gt;INT(ROUND(E14,2)))</formula>
    </cfRule>
  </conditionalFormatting>
  <conditionalFormatting sqref="E15">
    <cfRule type="expression" dxfId="232" priority="1">
      <formula>AND(ISNUMBER(E15),ROUND(E15,2)=INT(ROUND(E15,2)))</formula>
    </cfRule>
    <cfRule type="expression" dxfId="233" priority="2">
      <formula>AND(ISNUMBER(E15),ROUND(E15,2)&lt;&gt;INT(ROUND(E15,2)))</formula>
    </cfRule>
  </conditionalFormatting>
  <pageMargins left="0.25" right="0.25" top="0.75" bottom="0.75" header="0" footer="0.25"/>
  <pageSetup paperSize="9" orientation="portrait" fitToWidth="1" fitToHeight="0" firstPageNumber="13" useFirstPageNumber="1"/>
  <headerFooter>
    <oddFooter>&amp;Cעמוד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שער</vt:lpstr>
      <vt:lpstr>מקרא והנחיות</vt:lpstr>
      <vt:lpstr>_BOQ_META</vt:lpstr>
      <vt:lpstr>בנייה ומחיצות פנים</vt:lpstr>
      <vt:lpstr>אינסטלציה ותברואה</vt:lpstr>
      <vt:lpstr>חשמל והכנות תקשורת</vt:lpstr>
      <vt:lpstr>איטום</vt:lpstr>
      <vt:lpstr>דלתות פנים</vt:lpstr>
      <vt:lpstr>ריצוף וחיפוי</vt:lpstr>
      <vt:lpstr>תקרות והנמכות</vt:lpstr>
      <vt:lpstr>צבע וגמרים דקורטיביים</vt:lpstr>
      <vt:lpstr>נגרות ייעודית</vt:lpstr>
      <vt:lpstr>ריכוז עלויות</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2026-10-28T11:56:50Z</dcterms:created>
  <dcterms:modified xsi:type="dcterms:W3CDTF">2026-10-28T11:56:50Z</dcterms:modified>
</cp:coreProperties>
</file>