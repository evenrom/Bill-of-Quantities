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שער" sheetId="1" r:id="rId5"/>
    <sheet state="visible" name="מקרא והנחיות" sheetId="2" r:id="rId6"/>
    <sheet state="hidden" name="_BOQ_META" sheetId="3" r:id="rId7"/>
    <sheet state="hidden" name="פירוק והריסה" sheetId="4" r:id="rId8"/>
    <sheet state="visible" name="בנייה ומחיצות פנים" sheetId="5" r:id="rId9"/>
    <sheet state="visible" name="אינסטלציה ותברואה" sheetId="6" r:id="rId10"/>
    <sheet state="visible" name="חשמל והכנות תקשורת" sheetId="7" r:id="rId11"/>
    <sheet state="hidden" name="הכנות רצפה והגבהות" sheetId="8" r:id="rId12"/>
    <sheet state="visible" name="איטום" sheetId="9" r:id="rId13"/>
    <sheet state="visible" name="דלתות פנים" sheetId="10" r:id="rId14"/>
    <sheet state="visible" name="ריצוף וחיפוי" sheetId="11" r:id="rId15"/>
    <sheet state="visible" name="תקרות והנמכות" sheetId="12" r:id="rId16"/>
    <sheet state="visible" name="צבע וגמרים דקורטיביים" sheetId="13" r:id="rId17"/>
    <sheet state="visible" name="נגרות ייעודית" sheetId="14" r:id="rId18"/>
    <sheet state="hidden" name="מסגרות" sheetId="15" r:id="rId19"/>
    <sheet state="hidden" name="אלומיניום וזיגוג" sheetId="16" r:id="rId20"/>
    <sheet state="hidden" name="משטחים מיוחדים" sheetId="17" r:id="rId21"/>
    <sheet state="hidden" name="אספקות גמר נפרדות" sheetId="18" r:id="rId22"/>
    <sheet state="hidden" name="מיזוג ואוורור" sheetId="19" r:id="rId23"/>
    <sheet state="hidden" name="ציוד מטבח ונירוסטה" sheetId="20" r:id="rId24"/>
    <sheet state="hidden" name="הכנות ומערכת גז" sheetId="21" r:id="rId25"/>
    <sheet state="hidden" name="כיבוי וגילוי" sheetId="22" r:id="rId26"/>
    <sheet state="hidden" name="אביזרי נגישות" sheetId="23" r:id="rId27"/>
    <sheet state="hidden" name="שילוט ומיתוג" sheetId="24" r:id="rId28"/>
    <sheet state="hidden" name="ריהוט וישיבה" sheetId="25" r:id="rId29"/>
    <sheet state="visible" name="ריכוז עלויות" sheetId="26" r:id="rId30"/>
  </sheets>
  <definedNames/>
  <calcPr/>
</workbook>
</file>

<file path=xl/sharedStrings.xml><?xml version="1.0" encoding="utf-8"?>
<sst xmlns="http://schemas.openxmlformats.org/spreadsheetml/2006/main" count="869" uniqueCount="378">
  <si>
    <t>BOQ_WORKBOOK</t>
  </si>
  <si>
    <t>project</t>
  </si>
  <si>
    <t>0aedac9d-1699-41c7-b099-6db872ba5b81</t>
  </si>
  <si>
    <t>3eea9558-5d7e-4629-9c80-92f9d1541330</t>
  </si>
  <si>
    <t>restaurant</t>
  </si>
  <si>
    <t>מקרא ותוכן עניינים</t>
  </si>
  <si>
    <t>["7cc888dd-c715-44f7-b955-812f327a041a","90c06520-ebeb-4cea-b852-45a373e14d74","29e1b097-39a1-4541-b63c-6fe39d6bfef5","0ec7e5c4-1c60-4432-a9b0-69a9a7d078fb","8b9cfaee-378c-456f-9f68-a6fac44cd52b","196edd45-2b20-40db-95bb-04fd2a622d8f","1dcb1745-369e-47c4-9453-fdeb8075f03f","ab852d46-ff7a-4ec2-917b-c839ffefa433","f248c788-8fa3-45d7-9188-33e5e6c31c8f","b9b9537a-cd70-43dc-9fbc-711fc3dee4b6","e633166c-c82d-4477-bbe9-6d25304c1afe","aa8b233c-172a-4837-8e5e-bc57b50350b1","a9a6b80b-7c80-4b52-a824-70a0b5b53704","17f73205-543b-4965-a758-ca1afa855243","7c6b3cb0-bd38-4cae-b381-472b19dd32b2","76640c50-5d7c-4ea1-814f-bc4938a757ab","04bfed2c-9cb7-4500-91b5-6df2cf98291d","241cac43-dcf3-4661-bea7-de380cc5d1bc","ba276230-dc89-43fa-8669-9b96a6f12f6e","2ddfe859-d7de-435c-9fc3-4cb083849e40","fc75893c-3391-4f5e-a2da-388a4b5d4b9a","91e5973c-db6e-451e-9b8c-31fa7da9e7e8"]</t>
  </si>
  <si>
    <t>layout</t>
  </si>
  <si>
    <t>{"font":"Assistant","sideMarginMm":6.35,"verticalMarginMm":19.05}</t>
  </si>
  <si>
    <t>פרק</t>
  </si>
  <si>
    <t>{"title":[{"sheet":"שער","cell":"B4"}],"location":[{"sheet":"שער","cell":"B5"}],"client":[{"sheet":"שער","cell":"B6"}],"date":[{"sheet":"שער","cell":"B8"}],"office":[{"sheet":"שער","cell":"B12"}],"revision":[{"sheet":"שער","cell":"B14"}],"contractor":[{"sheet":"שער","cell":"D14"}],"vat":[{"sheet":"שער","cell":"F14"}],"instructions":[{"sheet":"מקרא והנחיות","cell":"A15"},{"sheet":"מקרא והנחיות","cell":"A16"},{"sheet":"מקרא והנחיות","cell":"A17"},{"sheet":"מקרא והנחיות","cell":"A18"},{"sheet":"מקרא והנחיות","cell":"A19"}]}</t>
  </si>
  <si>
    <t>שם הפרק</t>
  </si>
  <si>
    <t>{"width":2836,"height":771}</t>
  </si>
  <si>
    <t>chapterId</t>
  </si>
  <si>
    <t>sheet</t>
  </si>
  <si>
    <t>עמוד</t>
  </si>
  <si>
    <t>active</t>
  </si>
  <si>
    <t>rowIds</t>
  </si>
  <si>
    <t>7cc888dd-c715-44f7-b955-812f327a041a</t>
  </si>
  <si>
    <t>פירוק והריסה</t>
  </si>
  <si>
    <t>["0c2c63aa-fc72-4397-93cd-5387d5a3400b","38bdbb75-dfd2-4454-af39-060300679465","461804c6-37b7-4dac-afd0-1bd2efb174b7","7e4e137b-8fcb-43ba-9b12-18a6513a7323","56782c49-b6a2-45f5-a740-22b64aa7dae7","50ed40d7-2fe1-4dfc-8c50-e4fe9ac2400e","8c5a6d5b-9555-4ba0-8e77-98d02d32563d","eda3b80b-f69b-410a-b897-9419b6210f2a","f0e9c4ed-700e-4430-94a1-66a7904b6665"]</t>
  </si>
  <si>
    <t>90c06520-ebeb-4cea-b852-45a373e14d74</t>
  </si>
  <si>
    <t>בנייה ומחיצות פנים</t>
  </si>
  <si>
    <t>["64923dff-56fe-4032-b048-6eb8fb1ee4cd","b797630a-1877-484e-a41f-a47dcb3f3490","db97f49c-9546-4793-9ea8-a8597391141a","e3eb6590-5a7a-4fba-9624-5df9b373a6a4","530467a6-daca-4fe4-85eb-4dc5572d3ac6","721f310b-06e1-4a90-a0de-6b7f854a96d1","713de552-ff90-48a2-a235-680554a051b2"]</t>
  </si>
  <si>
    <t>29e1b097-39a1-4541-b63c-6fe39d6bfef5</t>
  </si>
  <si>
    <t>אינסטלציה ותברואה</t>
  </si>
  <si>
    <t>["ac742638-4bf9-486a-9dd9-79ad34951cbc","c270ef2e-22e1-4727-b5d5-050c9152e852","ce228c55-6a65-4bb6-ade0-89a009fae052","c79778f1-2b8c-4b5d-85e5-6619ae2e0ec6","67cd1a68-09f8-40e9-82a6-7bc80176877d","f40613a5-c211-4895-a170-fa226bdcd9fe","c84065f8-98c4-422a-be2d-c010c4cbe4a9","f676964b-533f-40dc-9f65-3269d27c3fb9","33e73d2b-6793-4e35-93db-01b7d7c148f4"]</t>
  </si>
  <si>
    <t>0ec7e5c4-1c60-4432-a9b0-69a9a7d078fb</t>
  </si>
  <si>
    <t>חשמל והכנות תקשורת</t>
  </si>
  <si>
    <t>["7374027a-1673-48ed-931d-34d34c0eb8f9","d8224804-cc57-4fc1-a928-c1c5f6109c5a","bb8e6de5-3101-4601-8d5c-3d4e29d022c2","3f2a7e98-ab2e-42cd-afdf-8742fd757964","9d12a976-3562-45e1-8e69-70ed8420b6cf","6c6c809b-894a-4ec9-8192-038b61693248","36a6e736-ee93-4b43-8808-c8f3420bf915","45c1d35e-e319-45a3-b29b-b48780e1fcee","a9628f62-ba5a-421a-89aa-ddc68a58b73a","7d5049dd-0007-4333-bc2a-6610832f62c9","981b80ef-cac7-4789-8411-30ef09424adf"]</t>
  </si>
  <si>
    <t>פירוט טכני וכתב כמויות</t>
  </si>
  <si>
    <t>8b9cfaee-378c-456f-9f68-a6fac44cd52b</t>
  </si>
  <si>
    <t>הכנות רצפה והגבהות</t>
  </si>
  <si>
    <t>["6289125b-241c-4b26-a5f3-a5c7f04acd5f","8db23237-d935-4bd6-908d-ce37bc84c0b1"]</t>
  </si>
  <si>
    <t>196edd45-2b20-40db-95bb-04fd2a622d8f</t>
  </si>
  <si>
    <t>איטום</t>
  </si>
  <si>
    <t>["de8fc9d4-8a0f-4947-800b-313485b86fc0","778ca044-7131-45a4-bf35-2a0ce6d048db"]</t>
  </si>
  <si>
    <t>1dcb1745-369e-47c4-9453-fdeb8075f03f</t>
  </si>
  <si>
    <t>דלתות פנים</t>
  </si>
  <si>
    <t>["8dafd192-ccc3-4539-ba1c-a355d7e2f84c","a1a756a8-f169-4791-9b6f-7a867d122b01"]</t>
  </si>
  <si>
    <t>ab852d46-ff7a-4ec2-917b-c839ffefa433</t>
  </si>
  <si>
    <t>ריצוף וחיפוי</t>
  </si>
  <si>
    <t>["578f5122-2436-457e-8d87-21ad01d0d5f6","82aa94d1-be99-4a61-8f18-395c4cf8767f","634bc9c2-5074-4259-a457-fe10042f8a36","1c241e50-ec6a-4d2a-a372-2963c1d59191","c9bade76-1952-42f5-a06e-e35d1fc719f5"]</t>
  </si>
  <si>
    <t>f248c788-8fa3-45d7-9188-33e5e6c31c8f</t>
  </si>
  <si>
    <t>תקרות והנמכות</t>
  </si>
  <si>
    <t>["e33df97c-e56d-4fd6-8115-24ed0478f536","4671e132-bee1-4954-a216-069252c10229","252a6f8f-f2ec-4b83-a261-c82ae44d5205","bdb673d8-fc02-4ddd-aa2f-fac76574b72a","6ef2ce5e-5af5-41a1-9f68-39b930d75f93"]</t>
  </si>
  <si>
    <t>b9b9537a-cd70-43dc-9fbc-711fc3dee4b6</t>
  </si>
  <si>
    <t>בדיקת מסלול ראשון</t>
  </si>
  <si>
    <t>צבע וגמרים דקורטיביים</t>
  </si>
  <si>
    <t>["4a4fc8d9-cb26-4bd2-b125-0f20b34dbe4e","69c1bc09-39f8-46fc-be73-cd7d1763ee4a","be2ab50e-2cf5-44de-b1d9-b412cc06f11b","1ad47c84-a045-4e5a-9950-e03ee1ae7437"]</t>
  </si>
  <si>
    <t>e633166c-c82d-4477-bbe9-6d25304c1afe</t>
  </si>
  <si>
    <t>נגרות ייעודית</t>
  </si>
  <si>
    <t>כתובת בדיקה</t>
  </si>
  <si>
    <t>chapter</t>
  </si>
  <si>
    <t>["ffbc5a21-9bb9-4e69-b20a-ae459bf26bf5","cba583e1-42f7-49e6-b5be-1f3e1e50ac82","95f8c37f-6d48-4c27-ab43-9b530634fbe6","964dddd6-77d5-42c3-9a9f-399ca9121a0c","97d51565-8a8b-4a55-820a-1152d2a8e806","78bc6d7c-92e7-4690-8978-7e7b16428afb","47042844-88cd-467c-9dee-50ba0e9b1af8","7e9f00e3-719a-4995-a68e-1ccbae316db0","52f54e25-674e-47cd-9c30-34b0600c50af","f9cf54ca-62f3-4481-a7a2-06d7941296cd","5b91937d-d5a4-450e-82db-e1e200f68edb","5a0076dc-488a-43ef-bd57-28364ac3ab2b","08730476-fd89-44b8-89da-dbecd4055bea"]</t>
  </si>
  <si>
    <t>aa8b233c-172a-4837-8e5e-bc57b50350b1</t>
  </si>
  <si>
    <t>לקוח בדיקה</t>
  </si>
  <si>
    <t>מסגרות</t>
  </si>
  <si>
    <t>["7a7ca4ff-6f1f-44c1-bbcb-1e5884715d4b","04793ad5-6b64-4016-86dd-25634be585e1","1e50aaa8-d2af-4a57-a53e-85bf939abee5","ad33b3e7-84d4-44c1-89b8-a01d3219a77e","b521d8c0-4074-4435-880d-e37f7e292119"]</t>
  </si>
  <si>
    <t>סעיף</t>
  </si>
  <si>
    <t>a9a6b80b-7c80-4b52-a824-70a0b5b53704</t>
  </si>
  <si>
    <t>אלומיניום וזיגוג</t>
  </si>
  <si>
    <t>2026-10-27</t>
  </si>
  <si>
    <t>["356281dd-8594-4c38-ab6b-36ce55d89bd4","21319fee-c8cf-4a90-800f-53f4e77f9269","aed9ea1e-fd69-4867-96e7-fede62f7ee5d","0af02060-769b-4e58-a589-96ce62a46936"]</t>
  </si>
  <si>
    <t>17f73205-543b-4965-a758-ca1afa855243</t>
  </si>
  <si>
    <t>משטחים מיוחדים</t>
  </si>
  <si>
    <t>["481365cb-8ad0-4a6f-8373-1e8e503254bb","bf4de58d-6be1-4ec5-af3a-e884234a2538","48495494-e05c-488f-92dc-5e49e35c21e4","208a9b9f-913b-46bd-86ba-db67a11bc5d6"]</t>
  </si>
  <si>
    <t>תיאור עבודה</t>
  </si>
  <si>
    <t>7c6b3cb0-bd38-4cae-b381-472b19dd32b2</t>
  </si>
  <si>
    <t>אספקות גמר נפרדות</t>
  </si>
  <si>
    <t>["f19af91b-5b82-4070-84b1-a5f53bdd2030","07204b4e-5896-4992-85e5-2ea7e02cfe2b","99e68572-4b90-43ff-91f5-5c2cc72bf08f","9060cdba-cf1d-4049-b349-8c7ed7a6e3b4"]</t>
  </si>
  <si>
    <t>76640c50-5d7c-4ea1-814f-bc4938a757ab</t>
  </si>
  <si>
    <t>יח׳</t>
  </si>
  <si>
    <t>מיזוג ואוורור</t>
  </si>
  <si>
    <t>נחלת יצחק 34 ת"א | טל- 0505241244</t>
  </si>
  <si>
    <t>["1ceeccfd-8829-4c66-bff2-fb93c8df6477","d191a96c-06d8-44b0-bba2-4c011baf8b86"]</t>
  </si>
  <si>
    <t>כמות</t>
  </si>
  <si>
    <t>04bfed2c-9cb7-4500-91b5-6df2cf98291d</t>
  </si>
  <si>
    <t>ציוד מטבח ונירוסטה</t>
  </si>
  <si>
    <t>מחיר יחידה</t>
  </si>
  <si>
    <t>["35eaecd7-557d-4331-b651-a7951ccc1a5b","fbef835f-7766-4228-80f6-72c3d9ce1c18"]</t>
  </si>
  <si>
    <t>סה״כ</t>
  </si>
  <si>
    <t>241cac43-dcf3-4661-bea7-de380cc5d1bc</t>
  </si>
  <si>
    <t>הכנות ומערכת גז</t>
  </si>
  <si>
    <t>columns</t>
  </si>
  <si>
    <t>["d7bbb2cf-22b9-45a2-a41d-7d6bfbaf498f","3916bdf8-ee35-4d01-adb4-173d68ca2f48"]</t>
  </si>
  <si>
    <t>spacer</t>
  </si>
  <si>
    <t>ba276230-dc89-43fa-8669-9b96a6f12f6e</t>
  </si>
  <si>
    <t>כיבוי וגילוי</t>
  </si>
  <si>
    <t>א</t>
  </si>
  <si>
    <t>["b812ed82-a7f0-47e3-99e9-1333634622f7","90787bc3-3323-4843-9635-41a3ce9ffde2","c92cc74f-76f9-4f93-823b-56ed50cd890c"]</t>
  </si>
  <si>
    <t/>
  </si>
  <si>
    <t>2ddfe859-d7de-435c-9fc3-4cb083849e40</t>
  </si>
  <si>
    <t>אביזרי נגישות</t>
  </si>
  <si>
    <t>["8ec9e1b6-dc80-4645-b1ca-9fed5e953472","d2d0a33c-e4ca-4f37-9d04-2b81e25d162a"]</t>
  </si>
  <si>
    <t>מחירי עבודות הפירוק כוללים הגנה על הרכוש הנותר ופינוי הפסולת הנוצרת מהפירוק. פריטים המיועדים לשימוש חוזר יזוהו בפרויקט ויפורקו לשמירה. אין לחייב שוב אותו פינוי בסעיף אחר.</t>
  </si>
  <si>
    <t>fc75893c-3391-4f5e-a2da-388a4b5d4b9a</t>
  </si>
  <si>
    <t>הנחיות והערות כלליות לקבלן</t>
  </si>
  <si>
    <t>שילוט ומיתוג</t>
  </si>
  <si>
    <t>["35ca87e8-1695-47a9-ad9e-f7350f8acb78","757ede71-b50d-44d2-a1a2-ec458ffc97b8"]</t>
  </si>
  <si>
    <t>91e5973c-db6e-451e-9b8c-31fa7da9e7e8</t>
  </si>
  <si>
    <t>ריהוט וישיבה</t>
  </si>
  <si>
    <t>0c2c63aa-fc72-4397-93cd-5387d5a3400b</t>
  </si>
  <si>
    <t>["39ecfa76-390f-48e3-9461-ca8ad34a2d37","2597dba3-c4e9-48fb-89f1-606c8246710b","eee439df-1fc5-426c-993f-7a037bd62043"]</t>
  </si>
  <si>
    <t>1. יש להגיש הצעה לפי הסעיפים והתכולות שבמסמך הפרויקט. יש להעביר לבירור אי־התאמה, גבול תכולה לא ברור או פרט חסר לפני ביצוע העבודה הנוגעת להם.</t>
  </si>
  <si>
    <t>note</t>
  </si>
  <si>
    <t>2. אספקה, התקנה, תשתית וחיבור בידי קבלנים או ספקים שונים יפורטו בנפרד. אין להסיק אחריות רק מהופעת שם ספק או מהסימון קיים.</t>
  </si>
  <si>
    <t>נערך בזמן השמירה</t>
  </si>
  <si>
    <t>מ"ר</t>
  </si>
  <si>
    <t>3. פרטי ביצוע, מידות, גוונים ודגמים יושלמו לפי מסמכי הפרויקט המאושרים. אין להשתמש בערכים זמניים או במידע מפרויקט קודם כנתוני ביצוע.</t>
  </si>
  <si>
    <t>4. לכל רכיב תכולת תמחור אחת. אספקה או עבודה המופיעות בפרק נפרד יוחרגו ממחיר הפריט שבו היו עלולות להיכלל שוב.</t>
  </si>
  <si>
    <t>5. תכניות ופרטים החלים על ההצעה: {רשימת מסמכים ומהדורות לפרויקט}. פרטי הקבלן, חתימה וחותמת יושלמו בעותק ההצעה.</t>
  </si>
  <si>
    <t>38bdbb75-dfd2-4454-af39-060300679465</t>
  </si>
  <si>
    <t>item</t>
  </si>
  <si>
    <t>פירוק תקרה או הנמכה מסוג {סוג} באזור {אזור}, לרבות התשתית המיועדת לפירוק. הטיפול בחלקים: {פינוי או שמירה להרכבה מחדש}.</t>
  </si>
  <si>
    <t>461804c6-37b7-4dac-afd0-1bd2efb174b7</t>
  </si>
  <si>
    <t>פירוק ריצוף ושכבות תשתית באזור {אזור}, עד {גבול ועומק פירוק}, כהכנה לעבודות החדשות המפורטות בפרויקט.</t>
  </si>
  <si>
    <t>7e4e137b-8fcb-43ba-9b12-18a6513a7323</t>
  </si>
  <si>
    <t>פירוק ופינוי ריהוט קבוע, ארונות וציוד המיועדים לפינוי באזור {אזור}; פריטים לשימוש חוזר וגבולות פירוק יפורטו לפני תחילת העבודה.</t>
  </si>
  <si>
    <t>קומפ'</t>
  </si>
  <si>
    <t>56782c49-b6a2-45f5-a740-22b64aa7dae7</t>
  </si>
  <si>
    <t>פירוק מערכת חשמל ואביזריה באזור {אזור}, בגבולות הנקובים בתכנון. מעגלים ואביזרים שנשארים פעילים או מיועדים להרכבה מחדש: {פירוט}.</t>
  </si>
  <si>
    <t>50ed40d7-2fe1-4dfc-8c50-e4fe9ac2400e</t>
  </si>
  <si>
    <t>פירוק צנרת ואביזרי אינסטלציה המיועדים להחלפה באזור {אזור}, בגבולות {תחילה וסיום}; הגנת וחסימת קצוות החיבור לפי התכנון.</t>
  </si>
  <si>
    <t>8c5a6d5b-9555-4ba0-8e77-98d02d32563d</t>
  </si>
  <si>
    <t>פירוק פתח מטיפוס {זיהוי}, לרבות {כנף, משקוף, זיגוג או תריס}, בגבולות {תכולה}; רכיבים לשימור: {פירוט}.</t>
  </si>
  <si>
    <t>יח'</t>
  </si>
  <si>
    <t>eda3b80b-f69b-410a-b897-9419b6210f2a</t>
  </si>
  <si>
    <t>פירוק שילוט קיים מטיפוס {זיהוי}, כולל רכיבי התקנה והזנה המיועדים לפירוק, ושמירה על רכיבים שסומנו להמשך שימוש.</t>
  </si>
  <si>
    <t>f0e9c4ed-700e-4430-94a1-66a7904b6665</t>
  </si>
  <si>
    <t>סיכום חלקי פרק  להעברה</t>
  </si>
  <si>
    <t>מחירי המחיצות כוללים את רכיבי המערכת, התשתית, החיבורים והגמר המוגדרים בסעיף. סוגי לוחות, שכבות, בידוד ועיגון יושלמו לפי הפרויקט. גמר צבע וחיפוי מתומחרים בפרקים המיועדים להם, אלא אם הוגדר אחרת במפורש.</t>
  </si>
  <si>
    <t>מערכת המים והדלוחין תבוצע לפי תכנון הפרויקט. המחירים כוללים צנרת ואביזרי תשתית, חיבורים, הכנות ובדיקות כפי שנקבעו במפרט. אספקת כלים סניטריים וציוד אינה כלולה בסעיפי התקנה בלבד. קיום מערכת באתר אינו מעיד שאינה דורשת התאמה.</t>
  </si>
  <si>
    <t>64923dff-56fe-4032-b048-6eb8fb1ee4cd</t>
  </si>
  <si>
    <t>1.01</t>
  </si>
  <si>
    <t>הקמת מחיצת פנים במערכת בנייה יבשה באזור {אזור}.
גובה: {גובה}; עובי ומבנה המערכת: {מפרט}; לוחות: {סוג ושכבות}; בידוד: {מפרט}; בסיס ועיגון: {פרט}.</t>
  </si>
  <si>
    <t>total</t>
  </si>
  <si>
    <t>b797630a-1877-484e-a41f-a47dcb3f3490</t>
  </si>
  <si>
    <t>ביצוע עיבוי או חיפוי קיר קיים במערכת {סוג}, בגובה {גובה}, באזור {אזור}, לצורך {ייעוד}, לרבות תשתית וחיבורים כמפורט.</t>
  </si>
  <si>
    <t>עבודות החשמל כוללות תשתית, מוליכים, חיבורים ואביזרים רק בתכולה המוגדרת לכל סעיף ולפי תכנון החשמל. הכנת נקודה, התקנת גוף ואספקת גוף הן תכולות שונות. חתכי מוליכים, קטרים, הגנות, הספקים ואופן הבדיקה ייקבעו בתכנון ולא יועתקו מפרויקט קודם.</t>
  </si>
  <si>
    <t>7374027a-1673-48ed-931d-34d34c0eb8f9</t>
  </si>
  <si>
    <t>db97f49c-9546-4793-9ea8-a8597391141a</t>
  </si>
  <si>
    <t>3.01</t>
  </si>
  <si>
    <t>1.02</t>
  </si>
  <si>
    <t>ביצוע נקודת הפעלה וחיבור למעגל תאורה מטיפוס {טיפוס}, באזור {אזור}, לפי תכנון החשמל, כולל {תשתית, חיבור ואביזרי הפעלה}. אספקת והתקנת גופי התאורה אינן נכללות בסעיף זה.</t>
  </si>
  <si>
    <t>הקמת מחיצה נמוכה כתשתית לדלפק או להפרדה באזור {אזור}, בגובה ובחתך {מידות}, במערכת {סוג}, לרבות {תכולה ועיגון}.</t>
  </si>
  <si>
    <t>נק'</t>
  </si>
  <si>
    <t>מ.א.</t>
  </si>
  <si>
    <t>e3eb6590-5a7a-4fba-9624-5df9b373a6a4</t>
  </si>
  <si>
    <t>1.03</t>
  </si>
  <si>
    <t>ac742638-4bf9-486a-9dd9-79ad34951cbc</t>
  </si>
  <si>
    <t>אספקה והתקנת מגן פינה מנירוסטה מטיפוס {טיפוס}, במידות {מידות}, עובי וגמר {מפרט}, על תשתית {סוג} ובאופן חיבור {פרט}.</t>
  </si>
  <si>
    <t>2.01</t>
  </si>
  <si>
    <t>ביצוע או התאמת מערכת מים ודלוחין באזור {אזור}, בין נקודות החיבור {תחילה וסיום}, לרבות {צנרת, אביזרים ומתקנים}, לפי תכנון {הפניה}. חיבור למערכת קיימת יוגדר לפי מצב האתר שנבדק.</t>
  </si>
  <si>
    <t>530467a6-daca-4fe4-85eb-4dc5572d3ac6</t>
  </si>
  <si>
    <t>1.04</t>
  </si>
  <si>
    <t>אספקה והתקנת מגן קצה מנירוסטה מטיפוס {טיפוס}, במידות {מידות}, עובי וגמר {מפרט}, על תשתית {סוג} ובאופן חיבור {פרט}.</t>
  </si>
  <si>
    <t>721f310b-06e1-4a90-a0de-6b7f854a96d1</t>
  </si>
  <si>
    <t>1.05</t>
  </si>
  <si>
    <t>אספקה והתקנת משקוף נירוסטה לפתח {זיהוי וייעוד}, במידות {מידות}, עובי וגמר {מפרט}, לרבות החיבורים והעיגון שנקבעו לפריט.</t>
  </si>
  <si>
    <t>713de552-ff90-48a2-a235-680554a051b2</t>
  </si>
  <si>
    <t>סיכום חלקי פרק 1 להעברה</t>
  </si>
  <si>
    <t>c270ef2e-22e1-4727-b5d5-050c9152e852</t>
  </si>
  <si>
    <t>2.02</t>
  </si>
  <si>
    <t>ביצוע נקודת מים חמים וקרים ודלוחין עבור {כיור או ציוד}, לפי תכנון הפרויקט, לרבות הצנרת ואביזרי החיבור בגבולות {תכולה}. התקנת האביזר ואספקתו: {כלולות או מוחרגות}.</t>
  </si>
  <si>
    <t>d8224804-cc57-4fc1-a928-c1c5f6109c5a</t>
  </si>
  <si>
    <t>3.02</t>
  </si>
  <si>
    <t>ביצוע יציאה נוספת לגוף תאורה המשויך למעגל {זיהוי}, לפי תכנון החשמל; תכולת החיבור: {פירוט}.</t>
  </si>
  <si>
    <t>ce228c55-6a65-4bb6-ade0-89a009fae052</t>
  </si>
  <si>
    <t>2.03</t>
  </si>
  <si>
    <t>ביצוע נקודת מים קרים ודלוחין עבור {כיור או ציוד}, לפי תכנון הפרויקט, לרבות הצנרת ואביזרי החיבור בגבולות {תכולה}.</t>
  </si>
  <si>
    <t>c79778f1-2b8c-4b5d-85e5-6619ae2e0ec6</t>
  </si>
  <si>
    <t>2.04</t>
  </si>
  <si>
    <t>ביצוע נקודת דלוחין עצמאית עבור {ציוד או ייעוד}, לרבות חיבור וסיום לפי תכנון הפרויקט. אין לכלול שוב ניקוז שכבר נכלל בנקודת מים משולבת.</t>
  </si>
  <si>
    <t>bb8e6de5-3101-4601-8d5c-3d4e29d022c2</t>
  </si>
  <si>
    <t>3.03</t>
  </si>
  <si>
    <t>התקנת וחיבור גוף תאורה מטיפוס {טיפוס} על תשתית {קיימת או חדשה}, לרבות אביזרי ההתקנה המוגדרים. אספקת הגוף: {אחריות}.</t>
  </si>
  <si>
    <t>67cd1a68-09f8-40e9-82a6-7bc80176877d</t>
  </si>
  <si>
    <t>2.05</t>
  </si>
  <si>
    <t>ביצוע נקודת ניקוז למיזוג אוויר מטיפוס {טיפוס}, לפי תכנון המיזוג והתברואה; קצה וגבול החיבור לקבלן המיזוג: {פירוט}.</t>
  </si>
  <si>
    <t>3f2a7e98-ab2e-42cd-afdf-8742fd757964</t>
  </si>
  <si>
    <t>3.04</t>
  </si>
  <si>
    <t>f40613a5-c211-4895-a170-fa226bdcd9fe</t>
  </si>
  <si>
    <t>ביצוע נקודת כוח חד־פאזית עבור {ייעוד}, באזור {אזור}, עם האביזר והתשתית לפי תכנון החשמל ובגבולות {תכולה}.</t>
  </si>
  <si>
    <t>2.06</t>
  </si>
  <si>
    <t>התקנת תעלת ניקוז מטיפוס {טיפוס}, במידות {מידות}, על התשתית המוגדרת, וחיבורה למערכת הניקוז. אספקת התעלה, עיגון ואיטום המפגש: {חלוקת אחריות}.</t>
  </si>
  <si>
    <t>c84065f8-98c4-422a-be2d-c010c4cbe4a9</t>
  </si>
  <si>
    <t>9d12a976-3562-45e1-8e69-70ed8420b6cf</t>
  </si>
  <si>
    <t>2.07</t>
  </si>
  <si>
    <t>התקנת מכל הדחה סמוי וכלי סניטרי מטיפוס {טיפוס} על תשתית {בלוק או מערכת אחרת}, לרבות חיבורים ותכולת ההתקנה שנקבעה. אספקת הכלי והמכל: {אחריות}.</t>
  </si>
  <si>
    <t>3.05</t>
  </si>
  <si>
    <t>ביצוע נקודת כוח תלת־פאזית עבור {ציוד}, לפי מפרט ההזנה של מתכנן החשמל ויצרן הציוד. אביזר החיבור וגבול העבודה: {פירוט}.</t>
  </si>
  <si>
    <t>f676964b-533f-40dc-9f65-3269d27c3fb9</t>
  </si>
  <si>
    <t>6c6c809b-894a-4ec9-8192-038b61693248</t>
  </si>
  <si>
    <t>2.08</t>
  </si>
  <si>
    <t>3.06</t>
  </si>
  <si>
    <t>אספקה והתקנת מתקן חימום מים מסוג {סוג}, בקיבול או הספק {נתון}, עם אביזרים וחיבורים כמפורט בתכנון. גבולות עבודות החשמל ועיגון המתקן: {פירוט}.</t>
  </si>
  <si>
    <t>ביצוע נקודת הזנה למיזוג אוויר עבור {יחידה}, בהתאם לתכנון החשמל והמיזוג, לרבות אביזר סיום וגבול חיבור {פירוט}.</t>
  </si>
  <si>
    <t>33e73d2b-6793-4e35-93db-01b7d7c148f4</t>
  </si>
  <si>
    <t>36a6e736-ee93-4b43-8808-c8f3420bf915</t>
  </si>
  <si>
    <t>3.07</t>
  </si>
  <si>
    <t>ביצוע נקודת הזנה למפוח עבור {יחידה וייעוד}, בהתאם לתכנון החשמל והאוורור, לרבות אביזר סיום וגבול חיבור {פירוט}.</t>
  </si>
  <si>
    <t>סיכום חלקי פרק 2 להעברה</t>
  </si>
  <si>
    <t>45c1d35e-e319-45a3-b29b-b48780e1fcee</t>
  </si>
  <si>
    <t>3.08</t>
  </si>
  <si>
    <t>ביצוע תשתית תקשורת מטיפוס {סוג}, בין נקודות {קצוות}, לרבות צנרת, חוט משיכה ואביזרי סיום שנקבעו. כבילה פעילה וציוד קצה: {תכולה ואחריות}.</t>
  </si>
  <si>
    <t>a9628f62-ba5a-421a-89aa-ddc68a58b73a</t>
  </si>
  <si>
    <t>3.09</t>
  </si>
  <si>
    <t>אספקה והתקנת לוח חשמל {זיהוי}, כולל מכלול הרכיבים, הסימון, החיווט והחיבור שנקבעו בתכנון החשמל. גודל החיבור והמפרט יושלמו בפרויקט.</t>
  </si>
  <si>
    <t>7d5049dd-0007-4333-bc2a-6610832f62c9</t>
  </si>
  <si>
    <t>3.10</t>
  </si>
  <si>
    <t>ביצוע מערכת תאורת חירום בתכולת {היקף}, לפי תכנון החשמל והבטיחות המאושרים לפרויקט; אספקה, התקנה וחיבורים: {פירוט}.</t>
  </si>
  <si>
    <t>981b80ef-cac7-4789-8411-30ef09424adf</t>
  </si>
  <si>
    <t>סיכום חלקי פרק 3 להעברה</t>
  </si>
  <si>
    <t>מערכת האיטום תיקבע לפי התשתית, השימוש, החדירות והמפגשים בפרויקט. כל סעיף יפרט את הכנת התשתית, סיומות, טיפול בנקזים ובפתחים ובדיקות נדרשות. אין ברירת מחדל לשיטת איטום, עובי, גובה רולקה או מותג.</t>
  </si>
  <si>
    <t>de8fc9d4-8a0f-4947-800b-313485b86fc0</t>
  </si>
  <si>
    <t>4.01</t>
  </si>
  <si>
    <t>ביצוע איטום באזור רטוב {זיהוי ואזור}, במערכת {מפרט מאושר}, לרבות הכנת תשתית, מפגשי קיר ורצפה, חדירות וסיומות לפי הפרט. בדיקות ותכולת ההכנה: {פירוט}.</t>
  </si>
  <si>
    <t>הכנת רצפה והגבהה יפורטו רק כשנדרשות בפרויקט. יש להגדיר גבול בין הכנת המשטח, איטום וריצוף, בלי לחייב אותה שכבה פעמיים. חומר, עומס ומפלסים ייקבעו בתכנון המאושר.</t>
  </si>
  <si>
    <t>6289125b-241c-4b26-a5f3-a5c7f04acd5f</t>
  </si>
  <si>
    <t>ביצוע שכבת הכנה, מילוי או הגבהה באזור {אזור}, מחומר {מערכת}, בעובי ובמפלס {נתונים}, לרבות {תשתית, גמר והשלמות נכללים}, לפי פרט מאושר.</t>
  </si>
  <si>
    <t>778ca044-7131-45a4-bf35-2a0ce6d048db</t>
  </si>
  <si>
    <t>סיכום חלקי פרק 4 להעברה</t>
  </si>
  <si>
    <t>8db23237-d935-4bd6-908d-ce37bc84c0b1</t>
  </si>
  <si>
    <t>מחיר כל טיפוס דלת כולל כנף, משקוף, הלבשות, פרזול, גמר, הובלה והרכבה לפי תיאור הסעיף. סוגי מילוי, צירים, פתיחה והתאמת נגישות או בטיחות יוגדרו בפרויקט; אין הוראה כללית של פרזול הסותרת טיפוס דלת.</t>
  </si>
  <si>
    <t>8dafd192-ccc3-4539-ba1c-a355d7e2f84c</t>
  </si>
  <si>
    <t>5.01</t>
  </si>
  <si>
    <t>אספקה והתקנת דלת פנים מטיפוס {זיהוי}.
מידות ופתיחה: {מידות וכיוון}; כנף ומילוי: {מפרט}; משקוף והלבשות: {מפרט}; פרזול: {מפרט}; גמר וגוון: {מפרט}; תכנית ופרט: {הפניה}.</t>
  </si>
  <si>
    <t>a1a756a8-f169-4791-9b6f-7a867d122b01</t>
  </si>
  <si>
    <t>סיכום חלקי פרק 5 להעברה</t>
  </si>
  <si>
    <t>מחירי עבודות הריצוף והחיפוי כוללים הכנת תשתית בתכולה שנקבעה, חומרי עזר, חיתוכים, התאמות, פינות ורובה בהתאם למפרט. אספקת האריחים תתומחר בפרק האספקות כשאינו כבוי; פנלים המופיעים בסעיף נפרד אינם כלולים שוב במחיר השטח.</t>
  </si>
  <si>
    <t>578f5122-2436-457e-8d87-21ad01d0d5f6</t>
  </si>
  <si>
    <t>6.01</t>
  </si>
  <si>
    <t>ריצוף אזור {אזור}, באריחי {חומר, דגם ומידה}, על תשתית {סוג}, עם מישקים {רוחב}, רובה {סוג וגוון} וגמר פינות {פירוט}. תכולת אספקת האריחים: {אחריות}.</t>
  </si>
  <si>
    <t>המחירים כוללים תשתית, תלייה, חיבורים, פרופילי גמר ופתחים למערכות לפי מפרט התקרה. יש להגדיר סוג לוח או אריח, גובה, טיפול אקוסטי וחיזוקים. גמר צבע מתומחר בנפרד אם אינו מפורש כחלק מהמוצר.</t>
  </si>
  <si>
    <t>e33df97c-e56d-4fd6-8115-24ed0478f536</t>
  </si>
  <si>
    <t>7.01</t>
  </si>
  <si>
    <t>ביצוע הנמכת תקרה באזור {אזור}, במערכת {סוג ושכבות}, בגובה {גובה}, לרבות התשתית, פתחים וחיזוקים המפורטים בתכנון.</t>
  </si>
  <si>
    <t>82aa94d1-be99-4a61-8f18-395c4cf8767f</t>
  </si>
  <si>
    <t>6.02</t>
  </si>
  <si>
    <t>ריצוף אזור הכנת מזון או שטח רטוב {אזור}, באריחים {סוג, מידה וגמר מאושרים לשימוש}, לרבות טיפול במפגשים ובנקזים לפי הפרט, מישקים ורובה {מפרט}.</t>
  </si>
  <si>
    <t>634bc9c2-5074-4259-a457-fe10042f8a36</t>
  </si>
  <si>
    <t>6.03</t>
  </si>
  <si>
    <t>חיפוי קירות באזור {אזור}, באריחים {חומר, דגם ומידה}, לגובה {גובה}, בדוגמה {דוגמה}, עם מישקים, רובה וגמר פינות {מפרט}. תכולת אספקת האריחים: {אחריות}.</t>
  </si>
  <si>
    <t>4671e132-bee1-4954-a216-069252c10229</t>
  </si>
  <si>
    <t>1c241e50-ec6a-4d2a-a372-2963c1d59191</t>
  </si>
  <si>
    <t>6.04</t>
  </si>
  <si>
    <t>7.02</t>
  </si>
  <si>
    <t>התקנת פנל תואם לריצוף {חומר וגמר}, בגובה {גובה}, לאורך האזור {אזור}, לרבות פינות וסיומות לפי הפרט.</t>
  </si>
  <si>
    <t>ביצוע קרניז מטיפוס {טיפוס}, בחתך ובגובה {מידות}, באזור {אזור}, לרבות הכנה לתאורה או למיזוג לפי הפרט וללא אספקת גוף התאורה.</t>
  </si>
  <si>
    <t>c9bade76-1952-42f5-a06e-e35d1fc719f5</t>
  </si>
  <si>
    <t>252a6f8f-f2ec-4b83-a261-c82ae44d5205</t>
  </si>
  <si>
    <t>7.03</t>
  </si>
  <si>
    <t>אספקה והתקנת תקרה פריקה מטיפוס {טיפוס}, באזור {אזור}, במידות מודול ובגמר {מפרט}, לרבות תשתית, פרופילי סיום ופתחים לפי התכנון.</t>
  </si>
  <si>
    <t>סיכום חלקי פרק 6 להעברה</t>
  </si>
  <si>
    <t>bdb673d8-fc02-4ddd-aa2f-fac76574b72a</t>
  </si>
  <si>
    <t>7.04</t>
  </si>
  <si>
    <t>אספקה והתקנת תקרה אקוסטית מסוג {סוג}, במודול ובגמר {מפרט}, באזור {אזור}, לרבות התשתית והחיבורים המתאימים כמפורט בתכנון.</t>
  </si>
  <si>
    <t>6ef2ce5e-5af5-41a1-9f68-39b930d75f93</t>
  </si>
  <si>
    <t>סיכום חלקי פרק 7 להעברה</t>
  </si>
  <si>
    <t>עבודות הצבע כוללות הכנת תשתית, תיקונים וחומרי יסוד וגמר לפי מערכת מתאימה למשטח ולהוראות המוצר שנבחר. הגוון, הברק והמרקם יושלמו בפרויקט. הוראות דילול ישנות אינן חלק מהתבנית.</t>
  </si>
  <si>
    <t>4a4fc8d9-cb26-4bd2-b125-0f20b34dbe4e</t>
  </si>
  <si>
    <t>8.01</t>
  </si>
  <si>
    <t>הכנת וצביעת קירות באזור {אזור}, לרבות תיקוני תשתית והחלקה בתכולת {פירוט}, במערכת צבע {סוג}, בגוון ובגמר {מפרט}.</t>
  </si>
  <si>
    <t>מחיר כל פריט נגרות כולל את החומרים, החיפויים, הפרזול, הגמר, ההובלה וההרכבה שפורטו בסעיף. רכיבי מתכת, משטחי אבן או חומר מיוחד, זיגוג וציוד שמופיעים בפרק נפרד מוחרגים ממחיר הנגרות. מידות, גוונים ודגמים יושלמו לכל פריט.</t>
  </si>
  <si>
    <t>ffbc5a21-9bb9-4e69-b20a-ae459bf26bf5</t>
  </si>
  <si>
    <t>9.01</t>
  </si>
  <si>
    <t>אספקה והתקנת משטח הגשה ואכילה לדלפק {זיהוי}, מחומר {סוג}, במידות חתך {מידות}, בגמר {גמר}, עם קנט קדמי ואחורי {מפרט}. תשתית מסגרות, דפנות ומשטחים מיוחדים מתומחרים בנפרד ככל שהוגדרו בפרקים שלהם.</t>
  </si>
  <si>
    <t>69c1bc09-39f8-46fc-be73-cd7d1763ee4a</t>
  </si>
  <si>
    <t>8.02</t>
  </si>
  <si>
    <t>הכנת וצביעת תקרות והנמכות באזור {אזור}, לרבות תיקוני תשתית והחלקה בתכולת {פירוט}, במערכת צבע {סוג}, בגוון ובגמר {מפרט}.</t>
  </si>
  <si>
    <t>be2ab50e-2cf5-44de-b1d9-b412cc06f11b</t>
  </si>
  <si>
    <t>8.03</t>
  </si>
  <si>
    <t>ביצוע גמר דקורטיבי מסוג {סוג}, על תשתית {סוג}, באזור {אזור}, בדוגמה, מרקם וגוון {מפרט}, לרבות שכבות הכנה וגמר שנקבעו.</t>
  </si>
  <si>
    <t>1ad47c84-a045-4e5a-9950-e03ee1ae7437</t>
  </si>
  <si>
    <t>סיכום חלקי פרק 8 להעברה</t>
  </si>
  <si>
    <t>cba583e1-42f7-49e6-b5be-1f3e1e50ac82</t>
  </si>
  <si>
    <t>9.02</t>
  </si>
  <si>
    <t>אספקה והתקנת דופן פנימית לדלפק {זיהוי}, מחומר {סוג}, בגובה ובעובי {מידות}, בגמר {גמר}, על תשתית {סוג}, לרבות פתחים והתאמות לציוד לפי הפרט.</t>
  </si>
  <si>
    <t>95f8c37f-6d48-4c27-ab43-9b530634fbe6</t>
  </si>
  <si>
    <t>9.03</t>
  </si>
  <si>
    <t>אספקה והתקנת דופן חיצונית או חיפוי נגרות לדלפק {זיהוי}, בגובה ובחלוקה {מידות}, מחומר ובגמר {מפרט}, על גבי {תשתית}. חיפוי אריחים ורכיבי מיתוג אינם כלולים אם תומחרו בנפרד.</t>
  </si>
  <si>
    <t>964dddd6-77d5-42c3-9a9f-399ca9121a0c</t>
  </si>
  <si>
    <t>9.04</t>
  </si>
  <si>
    <t>אספקה והתקנת שער או דלת כניסה לדלפק מטיפוס {טיפוס}, במידות {מידות}, מחומר ובגמר {מפרט}, לרבות מסגרת, צירים, סגירה וחיבורים כפי שנקבעו בפרט.</t>
  </si>
  <si>
    <t>97d51565-8a8b-4a55-820a-1152d2a8e806</t>
  </si>
  <si>
    <t>9.05</t>
  </si>
  <si>
    <t>אספקה והתקנת יחידת מדפים או בר תצוגה אחורי לדלפק {זיהוי}, במידות {מידות}, מחומרי {מפרט}, בגמר {גמר}, לרבות פרזול ועיגון. מסגרות תמיכה ומראות בפרקים נפרדים אינן כלולות.</t>
  </si>
  <si>
    <t>78bc6d7c-92e7-4690-8978-7e7b16428afb</t>
  </si>
  <si>
    <t>9.06</t>
  </si>
  <si>
    <t>אספקה והתקנת עמדת מלצרים מטיפוס {טיפוס}, במידות {מידות}, הכוללת ארון, חלוקה פנימית, דלתות ומגירות {פירוט}; חומרי פנים וחוץ, גמר ופרזול {מפרט}.</t>
  </si>
  <si>
    <t>47042844-88cd-467c-9dee-50ba0e9b1af8</t>
  </si>
  <si>
    <t>9.07</t>
  </si>
  <si>
    <t>אספקה והתקנת עמדת משלוחים מטיפוס {טיפוס}, במידות {מידות}, מחומרים ובגמר {מפרט}, לרבות חלוקה פנימית, פרזול ופתחים המוגדרים לפריט.</t>
  </si>
  <si>
    <t>7e9f00e3-719a-4995-a68e-1ccbae316db0</t>
  </si>
  <si>
    <t>9.08</t>
  </si>
  <si>
    <t>אספקה והתקנת ארון שירות מטיפוס {טיפוס}, במידות {מידות}, בחלוקה {חלוקה}, מחומרים ובגמר {מפרט}, לרבות פרזול וחיבורים. משטח עליון מתומחר בנפרד בפרק המשטחים.</t>
  </si>
  <si>
    <t>52f54e25-674e-47cd-9c30-34b0600c50af</t>
  </si>
  <si>
    <t>נגרות ייעודית (המשך)</t>
  </si>
  <si>
    <t>heading</t>
  </si>
  <si>
    <t>מפרט משותף לפלטות שולחן: תשתית {חומר}, גמר עליון ותחתון {מפרט}, קנט {מפרט}, הכנות וחיבור לרגל {מפרט}. כל גודל או טיפוס בתמחור שונה יופיע כסעיף עצמאי. המידות אינן ערכי ברירת מחדל.</t>
  </si>
  <si>
    <t>f9cf54ca-62f3-4481-a7a2-06d7941296cd</t>
  </si>
  <si>
    <t>9.09</t>
  </si>
  <si>
    <t>פלטת שולחן מטיפוס {טיפוס א}, במידות {מידות א}, לפי המפרט המשותף, לרבות {תכולת הכנות וחיבור}.</t>
  </si>
  <si>
    <t>5b91937d-d5a4-450e-82db-e1e200f68edb</t>
  </si>
  <si>
    <t>9.10</t>
  </si>
  <si>
    <t>פלטת שולחן מטיפוס {טיפוס ב}, במידות {מידות ב}, לפי המפרט המשותף, לרבות {תכולת הכנות וחיבור}.</t>
  </si>
  <si>
    <t>5a0076dc-488a-43ef-bd57-28364ac3ab2b</t>
  </si>
  <si>
    <t>9.11</t>
  </si>
  <si>
    <t>פלטת שולחן מטיפוס {טיפוס ג}, במידות {מידות ג}, לפי המפרט המשותף, לרבות {תכולת הכנות וחיבור}.</t>
  </si>
  <si>
    <t>08730476-fd89-44b8-89da-dbecd4055bea</t>
  </si>
  <si>
    <t>סיכום חלקי פרק 9 להעברה</t>
  </si>
  <si>
    <t>כל טיפוס פתח או זיגוג יפורט לפי מידות, שימוש, פרופיל, סוג ועובי זכוכית, פרזול וגמר. אין ברירת מחדל לסדרת פרופיל, עובי זכוכית או שיטת עיגון. רכיב מתומחר כאן לא ייכלל שוב במפרט נגרות או מסגרות.</t>
  </si>
  <si>
    <t>356281dd-8594-4c38-ab6b-36ce55d89bd4</t>
  </si>
  <si>
    <t>אספקה והתקנת חלון, דלת או ויטרינה מטיפוס {זיהוי}, במידות {מידות}.
סוג פתיחה וחלוקה: {מפרט}; פרופיל וגמר: {מפרט}; זיגוג: {סוג ועובי}; פרזול, אטימה וסיומות: {מפרט}; פרט: {הפניה}.</t>
  </si>
  <si>
    <t>עבודות המסגרות כוללות חומרי גלם, חיבורים, עיגון, הכנת שטח וגמר לפי מפרט הפריט, הובלה והרכבה. פרופילים, עוביים ופרטי תלייה אינם מועתקים כקבועים. רכיבי נגרות, זכוכית ותאורה בפרקים אחרים מוחרגים מהמחיר.</t>
  </si>
  <si>
    <t>7a7ca4ff-6f1f-44c1-bbcb-1e5884715d4b</t>
  </si>
  <si>
    <t>אספקה והתקנת שלד מסגרות לדלפק {זיהוי}, במערכת פרופילים {מפרט}, בגובה ובחלוקה {מידות}, לרבות עיגון והכנות מוגדרות למעבר תשתיות. גמרי נגרות, אריחים ומשטחים אינם כלולים בסעיף זה.</t>
  </si>
  <si>
    <t>21319fee-c8cf-4a90-800f-53f4e77f9269</t>
  </si>
  <si>
    <t>אספקה והתקנת לוח זיגוג מטיפוס {זיהוי}, במידות {מידות}, בסוג ובעובי {מפרט}, לרבות חיבורים ופרזול שנקבעו לפרט. שלד המסגרת מתומחר בנפרד ככל שהוגדר בפרק המסגרות.</t>
  </si>
  <si>
    <t>מחירי המשטחים כוללים עיבוד, חיתוכים, פתחים, קנטים, הובלה והרכבה רק כפי שהוגדרו בפריט. חומר, דגם, עובי וחתך הם משתני פרויקט. אותו משטח לא ייכלל שוב במחיר הנגרות או הציוד.</t>
  </si>
  <si>
    <t>481365cb-8ad0-4a6f-8373-1e8e503254bb</t>
  </si>
  <si>
    <t>אספקה והתקנת משטח עבודה עבור {פריט}, מחומר ודגם {מפרט}, ברוחב ובעובי {מידות}, לרבות פתחים, קנטים וחיבורים {פירוט}, על תשתית {סוג}.</t>
  </si>
  <si>
    <t>aed9ea1e-fd69-4867-96e7-fede62f7ee5d</t>
  </si>
  <si>
    <t>אספקה והתקנת מראה מטיפוס {זיהוי}, במידות ובצורה {מידות}, בסוג ובעובי {מפרט}, עם גמר קצה וחיבור {פירוט}. מסגרת ותאורה נכללות רק אם צוינו במפורש.</t>
  </si>
  <si>
    <t>0af02060-769b-4e58-a589-96ce62a46936</t>
  </si>
  <si>
    <t>04793ad5-6b64-4016-86dd-25634be585e1</t>
  </si>
  <si>
    <t>אספקה והתקנת יחידת מדפי מתכת או מתקן תצוגה מטיפוס {טיפוס}, במידות {מידות}, מפרופילים ומשטחים {מפרט}, בגמר {גמר}, לרבות תלייה או עיגון המוגדרים לפריט.</t>
  </si>
  <si>
    <t>1e50aaa8-d2af-4a57-a53e-85bf939abee5</t>
  </si>
  <si>
    <t>אספקה והתקנת מסגרת תמיכה לפריט {זיהוי}, במידות {מידות}, מפרופילים ובגמר {מפרט}, לרבות עיגון והכנות כמפורט. הפריט הנתמך מתומחר בנפרד.</t>
  </si>
  <si>
    <t>ad33b3e7-84d4-44c1-89b8-a01d3219a77e</t>
  </si>
  <si>
    <t>אספקה והתקנת מחיצה או מסגרת דקורטיבית באזור {אזור}, במידות ובחלוקה {מפרט}, מפרופילים ובגמר {מפרט}. מילוי נגרות, אריחים או זכוכית מתומחר בפרק המתאים.</t>
  </si>
  <si>
    <t>b521d8c0-4074-4435-880d-e37f7e292119</t>
  </si>
  <si>
    <t>bf4de58d-6be1-4ec5-af3a-e884234a2538</t>
  </si>
  <si>
    <t>אספקה והתקנת קופינג או צוקל לדלפק או למחיצה {זיהוי}, מחומר ודגם {מפרט}, בחתך {מידות}, עם פינות, קנטים וחיבורים {פירוט}.</t>
  </si>
  <si>
    <t>48495494-e05c-488f-92dc-5e49e35c21e4</t>
  </si>
  <si>
    <t>אספקה והתקנת משטח כיור לארון {זיהוי}, במידות {מידות}, מחומר ודגם {מפרט}, עם פתחים, קנטים וחיבור {פירוט}. כיור וברז: {כלולים או מוחרגים במפורש}.</t>
  </si>
  <si>
    <t>208a9b9f-913b-46bd-86ba-db67a11bc5d6</t>
  </si>
  <si>
    <t>תוכן מערכת זו יושלם בפרויקט לפי תכנון היועץ ורשימת הציוד המאושרים. שורות התבנית מגדירות גבולות תכולה ואינן מפרט הנדסי מלא. אין להסיק מהפעלת הפרק שהמערכת נדרשת בכל אתר.</t>
  </si>
  <si>
    <t>1ceeccfd-8829-4c66-bff2-fb93c8df6477</t>
  </si>
  <si>
    <t>ביצוע מערכת מיזוג ואוורור בתכולת {מערכת מוגדרת}, לפי תכנון {הפניה}, לרבות {אספקה, התקנה, חיבור והפעלה}. גבולות מול חשמל, ניקוז ותקרות: {פירוט}.</t>
  </si>
  <si>
    <t>35eaecd7-557d-4331-b651-a7951ccc1a5b</t>
  </si>
  <si>
    <t>אספקה והתקנת פריט ציוד מטבח או נירוסטה {זיהוי}, לפי רשימת ציוד {הפניה}, בתכולת {מפרט}, עם גבולות חיבור למערכות {פירוט}.</t>
  </si>
  <si>
    <t>מערכת הגז נפתחת רק כשנדרשת בתכנון הפרויקט. תשתית, אביזרים, בדיקות וגבולות חיבור ייקבעו במפרט המתכנן והגורם המבצע; אין הנחת סוג צנרת, צובר קיים או מיקום ציוד מהארכיון.</t>
  </si>
  <si>
    <t>d7bbb2cf-22b9-45a2-a41d-7d6bfbaf498f</t>
  </si>
  <si>
    <t>ביצוע נקודת גז עבור {ציוד מזוהה}, לפי תכנון {הפניה}, לרבות התשתית ואביזרי החיבור בתכולת {מפרט}. גבולות אחריות אספקת המערכת, חיבור הציוד ובדיקות: {פירוט}.</t>
  </si>
  <si>
    <t>d191a96c-06d8-44b0-bba2-4c011baf8b86</t>
  </si>
  <si>
    <t>fbef835f-7766-4228-80f6-72c3d9ce1c18</t>
  </si>
  <si>
    <t>3916bdf8-ee35-4d01-adb4-173d68ca2f48</t>
  </si>
  <si>
    <t>פרק אספקות נפתח רק כשהאספקה נפרדת מעבודת ההתקנה. בעת הפעלתו יש להחריג את האספקה ממחירי הפרקים המבצעים. כמויות הרכש ופחת, אם נדרשים, ייקבעו בפרויקט ולא בתבנית.</t>
  </si>
  <si>
    <t>f19af91b-5b82-4070-84b1-a5f53bdd2030</t>
  </si>
  <si>
    <t>אספקת אריחי ריצוף או חיפוי מטיפוס {זיהוי}, מחומר ודגם {מפרט}, במידה ובגמר {מפרט}. הובלה ופריקה: {תכולה}; התקנה מתומחרת בנפרד.</t>
  </si>
  <si>
    <t>07204b4e-5896-4992-85e5-2ea7e02cfe2b</t>
  </si>
  <si>
    <t>אספקת כלי או אביזר סניטרי מטיפוס {זיהוי}, בדגם ובגמר {מפרט}, לרבות {אביזרים נלווים}. התקנה וחיבור מתומחרים בפרק האינסטלציה.</t>
  </si>
  <si>
    <t>99e68572-4b90-43ff-91f5-5c2cc72bf08f</t>
  </si>
  <si>
    <t>אספקת גוף תאורה מטיפוס {זיהוי}, במפרט ובדגם {מפרט}, עם {ספק, דרייבר ואביזרים נלווים לפי הנדרש}. התקנה ונקודת הזנה מתומחרות בפרק החשמל.</t>
  </si>
  <si>
    <t>9060cdba-cf1d-4049-b349-8c7ed7a6e3b4</t>
  </si>
  <si>
    <t>b812ed82-a7f0-47e3-99e9-1333634622f7</t>
  </si>
  <si>
    <t>ביצוע מערכת כיבוי {סוג מערכת מוגדר}, לפי תכנון בטיחות וכיבוי {הפניה}, בגבולות {תכולה ואחריות}, עם הממשקים למערכות האחרות כמפורט.</t>
  </si>
  <si>
    <t>90787bc3-3323-4843-9635-41a3ce9ffde2</t>
  </si>
  <si>
    <t>ביצוע מערכת גילוי או התרעה {סוג מערכת מוגדר}, לפי תכנון {הפניה}, בגבולות {תכולה ואחריות}, עם ההכנות והחיבורים המפורטים.</t>
  </si>
  <si>
    <t>c92cc74f-76f9-4f93-823b-56ed50cd890c</t>
  </si>
  <si>
    <t>אביזרי נגישות יוגדרו לפי תכנון הנגישות בפרויקט. אין להעתיק מידות, מיקום או רשימת אביזרים מתיק אחר. האביזרים אינם כלולים שוב במחיר מכל ההדחה או הנגרות.</t>
  </si>
  <si>
    <t>8ec9e1b6-dc80-4645-b1ca-9fed5e953472</t>
  </si>
  <si>
    <t>אספקה והתקנת ערכת אביזרי נגישות לחדר שירות {זיהוי}, הכוללת {רשימה מאושרת של אביזרים}, בחומרים, במידות ובמיקומים לפי תכנון {הפניה}, לרבות העיגון המוגדר.</t>
  </si>
  <si>
    <t>35ca87e8-1695-47a9-ad9e-f7350f8acb78</t>
  </si>
  <si>
    <t>אספקה והתקנת שילוט או אותיות מטיפוס {זיהוי}, במידות ובחומר {מפרט}, בגמר {גמר}, לרבות {תאורה, ספק, פרזול והתקנה}. תשתית והזנה מתומחרות בנפרד אם צוינו בפרק החשמל.</t>
  </si>
  <si>
    <t>d2d0a33c-e4ca-4f37-9d04-2b81e25d162a</t>
  </si>
  <si>
    <t>757ede71-b50d-44d2-a1a2-ec458ffc97b8</t>
  </si>
  <si>
    <t>39ecfa76-390f-48e3-9461-ca8ad34a2d37</t>
  </si>
  <si>
    <t>אספקה והתקנת ספת ישיבה קבועה מטיפוס {זיהוי}, במידות ובחתך {מידות}, עם שלד, ריפוד וגמר {מפרט}, לרבות עיגון ותכולה {פירוט}.</t>
  </si>
  <si>
    <t>2597dba3-c4e9-48fb-89f1-606c8246710b</t>
  </si>
  <si>
    <t>אספקת פריט ריהוט נייד מטיפוס {זיהוי}, בדגם ובגמר {מפרט}, לרבות {הובלה והרכבה}.</t>
  </si>
  <si>
    <t>eee439df-1fc5-426c-993f-7a037bd62043</t>
  </si>
  <si>
    <t>ריכוז עלויות</t>
  </si>
  <si>
    <t>תיאור</t>
  </si>
  <si>
    <t>סכומים חלקיים — קיימים סעיפים ללא תמחור מלא</t>
  </si>
  <si>
    <t>סה״כ כולל מע״מ</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</si>
</sst>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פרק &quot;0"/>
    <numFmt numFmtId="165" formatCode="&quot;תאריך: &quot;@"/>
    <numFmt numFmtId="166" formatCode="[=0]#,##0&quot;₪&quot;;#,##0.00&quot;₪&quot;"/>
    <numFmt numFmtId="167" formatCode="#,##0.00&quot;₪&quot;"/>
    <numFmt numFmtId="168" formatCode="[=10]#,##0&quot;₪&quot;;#,##0.00&quot;₪&quot;"/>
  </numFmts>
  <fonts count="9">
    <font>
      <sz val="11.0"/>
      <color theme="1"/>
      <name val="Calibri"/>
      <scheme val="minor"/>
    </font>
    <font>
      <color theme="1"/>
      <name val="Calibri"/>
      <scheme val="minor"/>
    </font>
    <font>
      <b/>
      <sz val="12.0"/>
      <color theme="1"/>
      <name val="Assistant"/>
    </font>
    <font>
      <b/>
      <sz val="14.0"/>
      <color theme="1"/>
      <name val="Assistant"/>
    </font>
    <font>
      <sz val="12.0"/>
      <color theme="1"/>
      <name val="Assistant"/>
    </font>
    <font/>
    <font>
      <b/>
      <sz val="36.0"/>
      <color theme="1"/>
      <name val="Assistant"/>
    </font>
    <font>
      <sz val="20.0"/>
      <color theme="1"/>
      <name val="Assistant"/>
    </font>
    <font>
      <i/>
      <sz val="10.0"/>
      <color rgb="FF68756E"/>
      <name val="Assistant"/>
    </font>
  </fonts>
  <fills count="4">
    <fill>
      <patternFill patternType="none"/>
    </fill>
    <fill>
      <patternFill patternType="lightGray"/>
    </fill>
    <fill>
      <patternFill patternType="solid">
        <fgColor rgb="FFF3F6F4"/>
        <bgColor rgb="FFF3F6F4"/>
      </patternFill>
    </fill>
    <fill>
      <patternFill patternType="solid">
        <fgColor rgb="FFE3ECE6"/>
        <bgColor rgb="FFE3ECE6"/>
      </patternFill>
    </fill>
  </fills>
  <borders count="20">
    <border/>
    <border>
      <left style="thin">
        <color rgb="FF505B55"/>
      </left>
      <right style="thin">
        <color rgb="FF505B55"/>
      </right>
      <top style="thin">
        <color rgb="FF505B55"/>
      </top>
      <bottom style="thin">
        <color rgb="FF505B55"/>
      </bottom>
    </border>
    <border>
      <left style="thin">
        <color rgb="FF505B55"/>
      </left>
      <top style="thin">
        <color rgb="FF505B55"/>
      </top>
      <bottom style="thin">
        <color rgb="FF505B55"/>
      </bottom>
    </border>
    <border>
      <top style="thin">
        <color rgb="FF505B55"/>
      </top>
      <bottom style="thin">
        <color rgb="FF505B55"/>
      </bottom>
    </border>
    <border>
      <right style="thin">
        <color rgb="FF505B55"/>
      </right>
      <top style="thin">
        <color rgb="FF505B55"/>
      </top>
      <bottom style="thin">
        <color rgb="FF505B55"/>
      </bottom>
    </border>
    <border>
      <left style="thin">
        <color rgb="FF505B55"/>
      </left>
      <right style="thin">
        <color rgb="FF505B55"/>
      </right>
    </border>
    <border>
      <left style="thin">
        <color rgb="FF505B55"/>
      </left>
      <right style="thin">
        <color rgb="FF505B55"/>
      </right>
      <bottom style="thin">
        <color rgb="FF505B55"/>
      </bottom>
    </border>
    <border>
      <left style="thin">
        <color rgb="FF505B55"/>
      </left>
      <right style="thin">
        <color rgb="FF505B55"/>
      </right>
      <top style="thin">
        <color rgb="FF505B55"/>
      </top>
    </border>
    <border>
      <left style="thin">
        <color rgb="FF505B55"/>
      </left>
      <top style="thin">
        <color rgb="FF505B55"/>
      </top>
    </border>
    <border>
      <top style="thin">
        <color rgb="FF505B55"/>
      </top>
    </border>
    <border>
      <right style="thin">
        <color rgb="FF505B55"/>
      </right>
      <top style="thin">
        <color rgb="FF505B55"/>
      </top>
    </border>
    <border>
      <left style="thin">
        <color rgb="FF505B55"/>
      </left>
      <right style="thin">
        <color rgb="FF505B55"/>
      </right>
      <bottom style="hair">
        <color rgb="FFD7DDD9"/>
      </bottom>
    </border>
    <border>
      <left style="thin">
        <color rgb="FF505B55"/>
      </left>
      <bottom style="hair">
        <color rgb="FFD7DDD9"/>
      </bottom>
    </border>
    <border>
      <bottom style="hair">
        <color rgb="FFD7DDD9"/>
      </bottom>
    </border>
    <border>
      <right style="thin">
        <color rgb="FF505B55"/>
      </right>
      <bottom style="hair">
        <color rgb="FFD7DDD9"/>
      </bottom>
    </border>
    <border>
      <left/>
      <top style="thin">
        <color rgb="FF505B55"/>
      </top>
      <bottom style="thin">
        <color rgb="FF505B55"/>
      </bottom>
    </border>
    <border>
      <right/>
      <top style="thin">
        <color rgb="FF505B55"/>
      </top>
      <bottom style="thin">
        <color rgb="FF505B55"/>
      </bottom>
    </border>
    <border>
      <left/>
      <top/>
      <bottom style="thin">
        <color rgb="FF505B55"/>
      </bottom>
    </border>
    <border>
      <top/>
      <bottom style="thin">
        <color rgb="FF505B55"/>
      </bottom>
    </border>
    <border>
      <right/>
      <top/>
      <bottom style="thin">
        <color rgb="FF505B55"/>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readingOrder="2" shrinkToFit="0" vertical="top" wrapText="1"/>
    </xf>
    <xf borderId="0" fillId="0" fontId="3" numFmtId="0" xfId="0" applyAlignment="1" applyFont="1">
      <alignment horizontal="right" readingOrder="2" shrinkToFit="0" vertical="top" wrapText="1"/>
    </xf>
    <xf borderId="0" fillId="0" fontId="1" numFmtId="0" xfId="0" applyAlignment="1" applyFont="1">
      <alignment readingOrder="0"/>
    </xf>
    <xf borderId="0" fillId="0" fontId="2" numFmtId="0" xfId="0" applyAlignment="1" applyFont="1">
      <alignment horizontal="right" readingOrder="2" shrinkToFit="0" vertical="top" wrapText="1"/>
    </xf>
    <xf borderId="1" fillId="0" fontId="4" numFmtId="0" xfId="0" applyAlignment="1" applyBorder="1" applyFont="1">
      <alignment horizontal="center" readingOrder="2" shrinkToFit="0" vertical="top" wrapText="1"/>
    </xf>
    <xf borderId="2" fillId="0" fontId="4" numFmtId="0" xfId="0" applyAlignment="1" applyBorder="1" applyFont="1">
      <alignment horizontal="right" readingOrder="2" shrinkToFit="0" vertical="top" wrapText="1"/>
    </xf>
    <xf borderId="3" fillId="0" fontId="5" numFmtId="0" xfId="0" applyBorder="1" applyFont="1"/>
    <xf borderId="4" fillId="0" fontId="5" numFmtId="0" xfId="0" applyBorder="1" applyFont="1"/>
    <xf borderId="0" fillId="0" fontId="2" numFmtId="164" xfId="0" applyAlignment="1" applyFont="1" applyNumberFormat="1">
      <alignment horizontal="center" readingOrder="2" shrinkToFit="0" vertical="top" wrapText="1"/>
    </xf>
    <xf borderId="0" fillId="0" fontId="3" numFmtId="0" xfId="0" applyAlignment="1" applyFont="1">
      <alignment horizontal="center" readingOrder="2" shrinkToFit="0" vertical="top" wrapText="1"/>
    </xf>
    <xf borderId="0" fillId="0" fontId="4" numFmtId="0" xfId="0" applyAlignment="1" applyFont="1">
      <alignment horizontal="center" readingOrder="2" shrinkToFit="0" vertical="top" wrapText="1"/>
    </xf>
    <xf borderId="0" fillId="0" fontId="6" numFmtId="0" xfId="0" applyAlignment="1" applyFont="1">
      <alignment horizontal="center" readingOrder="2" shrinkToFit="0" vertical="top" wrapText="1"/>
    </xf>
    <xf borderId="0" fillId="0" fontId="7" numFmtId="0" xfId="0" applyAlignment="1" applyFont="1">
      <alignment horizontal="center" readingOrder="2" shrinkToFit="0" vertical="top" wrapText="1"/>
    </xf>
    <xf borderId="0" fillId="0" fontId="4" numFmtId="165" xfId="0" applyAlignment="1" applyFont="1" applyNumberFormat="1">
      <alignment horizontal="center" readingOrder="2" shrinkToFit="0" vertical="top" wrapText="1"/>
    </xf>
    <xf borderId="1" fillId="0" fontId="2" numFmtId="0" xfId="0" applyAlignment="1" applyBorder="1" applyFont="1">
      <alignment horizontal="center" readingOrder="2" shrinkToFit="0" vertical="top" wrapText="1"/>
    </xf>
    <xf borderId="1" fillId="0" fontId="2" numFmtId="0" xfId="0" applyAlignment="1" applyBorder="1" applyFont="1">
      <alignment horizontal="right" readingOrder="2" shrinkToFit="0" vertical="top" wrapText="1"/>
    </xf>
    <xf borderId="0" fillId="0" fontId="4" numFmtId="0" xfId="0" applyAlignment="1" applyFont="1">
      <alignment horizontal="right" readingOrder="2" shrinkToFit="0" vertical="top" wrapText="1"/>
    </xf>
    <xf borderId="5" fillId="0" fontId="4" numFmtId="0" xfId="0" applyAlignment="1" applyBorder="1" applyFont="1">
      <alignment horizontal="center" readingOrder="2" shrinkToFit="0" vertical="top" wrapText="1"/>
    </xf>
    <xf borderId="5" fillId="0" fontId="4" numFmtId="0" xfId="0" applyAlignment="1" applyBorder="1" applyFont="1">
      <alignment horizontal="right" readingOrder="2" shrinkToFit="0" vertical="top" wrapText="1"/>
    </xf>
    <xf borderId="5" fillId="0" fontId="4" numFmtId="166" xfId="0" applyAlignment="1" applyBorder="1" applyFont="1" applyNumberFormat="1">
      <alignment horizontal="center" readingOrder="2" shrinkToFit="0" vertical="top" wrapText="1"/>
    </xf>
    <xf borderId="5" fillId="0" fontId="4" numFmtId="167" xfId="0" applyAlignment="1" applyBorder="1" applyFont="1" applyNumberFormat="1">
      <alignment horizontal="center" readingOrder="2" shrinkToFit="0" vertical="top" wrapText="1"/>
    </xf>
    <xf borderId="1" fillId="0" fontId="4" numFmtId="166" xfId="0" applyAlignment="1" applyBorder="1" applyFont="1" applyNumberFormat="1">
      <alignment horizontal="center" readingOrder="2" shrinkToFit="0" vertical="top" wrapText="1"/>
    </xf>
    <xf borderId="5" fillId="0" fontId="4" numFmtId="168" xfId="0" applyAlignment="1" applyBorder="1" applyFont="1" applyNumberFormat="1">
      <alignment horizontal="center" readingOrder="2" shrinkToFit="0" vertical="top" wrapText="1"/>
    </xf>
    <xf borderId="1" fillId="0" fontId="4" numFmtId="167" xfId="0" applyAlignment="1" applyBorder="1" applyFont="1" applyNumberFormat="1">
      <alignment horizontal="center" readingOrder="2" shrinkToFit="0" vertical="top" wrapText="1"/>
    </xf>
    <xf borderId="6" fillId="0" fontId="4" numFmtId="0" xfId="0" applyAlignment="1" applyBorder="1" applyFont="1">
      <alignment horizontal="center" readingOrder="2" shrinkToFit="0" vertical="top" wrapText="1"/>
    </xf>
    <xf borderId="6" fillId="0" fontId="4" numFmtId="0" xfId="0" applyAlignment="1" applyBorder="1" applyFont="1">
      <alignment horizontal="right" readingOrder="2" shrinkToFit="0" vertical="top" wrapText="1"/>
    </xf>
    <xf borderId="0" fillId="0" fontId="4" numFmtId="164" xfId="0" applyAlignment="1" applyFont="1" applyNumberFormat="1">
      <alignment horizontal="center" readingOrder="2" shrinkToFit="0" vertical="top" wrapText="1"/>
    </xf>
    <xf borderId="7" fillId="0" fontId="2" numFmtId="0" xfId="0" applyAlignment="1" applyBorder="1" applyFont="1">
      <alignment horizontal="center" readingOrder="2" shrinkToFit="0" vertical="top" wrapText="1"/>
    </xf>
    <xf borderId="8" fillId="0" fontId="2" numFmtId="0" xfId="0" applyAlignment="1" applyBorder="1" applyFont="1">
      <alignment horizontal="right" readingOrder="2" shrinkToFit="0" vertical="top" wrapText="1"/>
    </xf>
    <xf borderId="9" fillId="0" fontId="5" numFmtId="0" xfId="0" applyBorder="1" applyFont="1"/>
    <xf borderId="10" fillId="0" fontId="5" numFmtId="0" xfId="0" applyBorder="1" applyFont="1"/>
    <xf borderId="8" fillId="0" fontId="2" numFmtId="0" xfId="0" applyAlignment="1" applyBorder="1" applyFont="1">
      <alignment horizontal="center" readingOrder="2" shrinkToFit="0" vertical="top" wrapText="1"/>
    </xf>
    <xf borderId="11" fillId="0" fontId="4" numFmtId="0" xfId="0" applyAlignment="1" applyBorder="1" applyFont="1">
      <alignment horizontal="center" readingOrder="2" shrinkToFit="0" vertical="top" wrapText="1"/>
    </xf>
    <xf borderId="12" fillId="0" fontId="4" numFmtId="0" xfId="0" applyAlignment="1" applyBorder="1" applyFont="1">
      <alignment horizontal="right" readingOrder="2" shrinkToFit="0" vertical="top" wrapText="1"/>
    </xf>
    <xf borderId="13" fillId="0" fontId="5" numFmtId="0" xfId="0" applyBorder="1" applyFont="1"/>
    <xf borderId="14" fillId="0" fontId="5" numFmtId="0" xfId="0" applyBorder="1" applyFont="1"/>
    <xf borderId="12" fillId="0" fontId="4" numFmtId="167" xfId="0" applyAlignment="1" applyBorder="1" applyFont="1" applyNumberFormat="1">
      <alignment horizontal="center" readingOrder="2" shrinkToFit="0" vertical="top" wrapText="1"/>
    </xf>
    <xf borderId="12" fillId="0" fontId="4" numFmtId="166" xfId="0" applyAlignment="1" applyBorder="1" applyFont="1" applyNumberFormat="1">
      <alignment horizontal="center" readingOrder="2" shrinkToFit="0" vertical="top" wrapText="1"/>
    </xf>
    <xf borderId="0" fillId="0" fontId="8" numFmtId="0" xfId="0" applyAlignment="1" applyFont="1">
      <alignment horizontal="right" readingOrder="2" shrinkToFit="0" vertical="top" wrapText="1"/>
    </xf>
    <xf borderId="15" fillId="2" fontId="2" numFmtId="0" xfId="0" applyAlignment="1" applyBorder="1" applyFill="1" applyFont="1">
      <alignment horizontal="right" readingOrder="2" shrinkToFit="0" vertical="top" wrapText="1"/>
    </xf>
    <xf borderId="16" fillId="0" fontId="5" numFmtId="0" xfId="0" applyBorder="1" applyFont="1"/>
    <xf borderId="15" fillId="2" fontId="2" numFmtId="167" xfId="0" applyAlignment="1" applyBorder="1" applyFill="1" applyFont="1" applyNumberFormat="1">
      <alignment horizontal="center" readingOrder="2" shrinkToFit="0" vertical="top" wrapText="1"/>
    </xf>
    <xf borderId="17" fillId="2" fontId="2" numFmtId="0" xfId="0" applyAlignment="1" applyBorder="1" applyFill="1" applyFont="1">
      <alignment horizontal="right" readingOrder="2" shrinkToFit="0" vertical="top" wrapText="1"/>
    </xf>
    <xf borderId="18" fillId="0" fontId="5" numFmtId="0" xfId="0" applyBorder="1" applyFont="1"/>
    <xf borderId="19" fillId="0" fontId="5" numFmtId="0" xfId="0" applyBorder="1" applyFont="1"/>
    <xf borderId="17" fillId="2" fontId="2" numFmtId="166" xfId="0" applyAlignment="1" applyBorder="1" applyFill="1" applyFont="1" applyNumberFormat="1">
      <alignment horizontal="center" readingOrder="2" shrinkToFit="0" vertical="top" wrapText="1"/>
    </xf>
    <xf borderId="17" fillId="3" fontId="2" numFmtId="0" xfId="0" applyAlignment="1" applyBorder="1" applyFill="1" applyFont="1">
      <alignment horizontal="right" readingOrder="2" shrinkToFit="0" vertical="top" wrapText="1"/>
    </xf>
    <xf borderId="17" fillId="3" fontId="2" numFmtId="167" xfId="0" applyAlignment="1" applyBorder="1" applyFill="1" applyFont="1" applyNumberFormat="1">
      <alignment horizontal="center" readingOrder="2" shrinkToFit="0" vertical="top" wrapText="1"/>
    </xf>
  </cellXfs>
  <cellStyles count="1">
    <cellStyle xfId="0" name="Normal" builtinId="0"/>
  </cellStyles>
  <dxfs count="2">
    <dxf>
      <font/>
      <numFmt numFmtId="0" formatCode="#,##0&quot;₪&quot;"/>
      <fill>
        <patternFill patternType="none"/>
      </fill>
      <border/>
    </dxf>
    <dxf>
      <font/>
      <numFmt numFmtId="0" formatCode="#,##0.00&quot;₪&quot;"/>
      <fill>
        <patternFill patternType="none"/>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1676400</xdr:colOff>
      <xdr:row>10</xdr:row>
      <xdr:rowOff>104775</xdr:rowOff>
    </xdr:from>
    <xdr:ext cx="3429000" cy="923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rightToLeft="1" workbookViewId="0"/>
  </sheetViews>
  <sheetFormatPr customHeight="1" defaultColWidth="14.43" defaultRowHeight="15.0"/>
  <cols>
    <col customWidth="1" min="1" max="1" width="7.29"/>
    <col customWidth="1" min="2" max="2" width="66.29"/>
    <col customWidth="1" min="3" max="6" width="8.14"/>
    <col customWidth="1" hidden="1" min="7" max="7" width="36.0"/>
    <col customWidth="1" hidden="1" min="8" max="8" width="12.0"/>
    <col customWidth="1" min="9" max="26" width="8.71"/>
  </cols>
  <sheetData>
    <row r="1" ht="45.75" customHeight="1"/>
    <row r="2" ht="36.0" customHeight="1">
      <c r="A2" s="2"/>
      <c r="B2" s="11" t="s">
        <v>30</v>
      </c>
    </row>
    <row r="3" ht="64.5" customHeight="1"/>
    <row r="4" ht="69.75" customHeight="1">
      <c r="A4" s="12"/>
      <c r="B4" s="13" t="s">
        <v>47</v>
      </c>
    </row>
    <row r="5" ht="40.5" customHeight="1">
      <c r="A5" s="12"/>
      <c r="B5" s="14" t="s">
        <v>52</v>
      </c>
    </row>
    <row r="6" ht="31.5" customHeight="1">
      <c r="A6" s="12"/>
      <c r="B6" s="11" t="s">
        <v>56</v>
      </c>
    </row>
    <row r="7" ht="34.5" customHeight="1"/>
    <row r="8" ht="27.75" customHeight="1">
      <c r="A8" s="12"/>
      <c r="B8" s="15" t="s">
        <v>62</v>
      </c>
    </row>
    <row r="9" ht="24.0" customHeight="1"/>
    <row r="10" ht="69.75" customHeight="1"/>
    <row r="11" ht="90.0" customHeight="1"/>
    <row r="12" ht="37.5" customHeight="1">
      <c r="A12" s="12"/>
      <c r="B12" s="12" t="s">
        <v>74</v>
      </c>
    </row>
    <row r="13" ht="144.75" customHeight="1">
      <c r="A13" s="12"/>
      <c r="B13" s="12"/>
      <c r="C13" s="12"/>
      <c r="D13" s="12"/>
      <c r="E13" s="12"/>
      <c r="F13" s="12"/>
      <c r="G13" s="12"/>
      <c r="H13" s="12" t="s">
        <v>86</v>
      </c>
    </row>
    <row r="14" ht="24.0" hidden="1" customHeight="1">
      <c r="A14" s="12"/>
      <c r="B14" s="12" t="s">
        <v>89</v>
      </c>
      <c r="C14" s="12"/>
      <c r="D14" s="12" t="s">
        <v>91</v>
      </c>
      <c r="E14" s="12"/>
      <c r="F14" s="12">
        <v>18.0</v>
      </c>
    </row>
    <row r="15" ht="24.0" customHeight="1"/>
    <row r="16" ht="24.0" customHeight="1"/>
    <row r="17" ht="24.0" customHeight="1"/>
    <row r="18" ht="24.0" customHeight="1"/>
    <row r="19" ht="24.0" customHeight="1"/>
    <row r="20" ht="24.0" customHeight="1"/>
    <row r="21" ht="24.0" customHeight="1"/>
    <row r="22" ht="24.0" customHeight="1"/>
    <row r="23" ht="24.0" customHeight="1"/>
    <row r="24" ht="24.0" customHeight="1"/>
    <row r="25" ht="24.0" customHeight="1"/>
    <row r="26" ht="24.0" customHeight="1"/>
    <row r="27" ht="24.0" customHeight="1"/>
    <row r="28" ht="24.0" customHeight="1"/>
    <row r="29" ht="24.0" customHeight="1"/>
    <row r="30" ht="24.0" customHeight="1"/>
    <row r="31" ht="24.0" customHeight="1"/>
    <row r="32" ht="24.0" customHeight="1"/>
    <row r="33" ht="24.0" customHeight="1"/>
    <row r="34" ht="24.0" customHeight="1"/>
    <row r="35" ht="24.0" customHeight="1"/>
    <row r="36" ht="24.0" customHeight="1"/>
    <row r="37" ht="24.0" customHeight="1"/>
    <row r="38" ht="24.0" customHeight="1"/>
    <row r="39" ht="24.0" customHeight="1"/>
    <row r="40" ht="24.0" customHeight="1"/>
    <row r="41" ht="24.0" customHeight="1"/>
    <row r="42" ht="24.0" customHeight="1"/>
    <row r="43" ht="24.0" customHeight="1"/>
    <row r="44" ht="24.0" customHeight="1"/>
    <row r="45" ht="24.0" customHeight="1"/>
    <row r="46" ht="24.0" customHeight="1"/>
    <row r="47" ht="24.0" customHeight="1"/>
    <row r="48" ht="24.0" customHeight="1"/>
    <row r="49" ht="24.0" customHeight="1"/>
    <row r="50" ht="24.0" customHeight="1"/>
    <row r="51" ht="24.0" customHeight="1"/>
    <row r="52" ht="24.0" customHeight="1"/>
    <row r="53" ht="24.0" customHeight="1"/>
    <row r="54" ht="24.0" customHeight="1"/>
    <row r="55" ht="24.0" customHeight="1"/>
    <row r="56" ht="24.0" customHeight="1"/>
    <row r="57" ht="24.0" customHeight="1"/>
    <row r="58" ht="24.0" customHeight="1"/>
    <row r="59" ht="24.0" customHeight="1"/>
    <row r="60" ht="24.0" customHeight="1"/>
    <row r="61" ht="24.0" customHeight="1"/>
    <row r="62" ht="24.0" customHeight="1"/>
    <row r="63" ht="24.0" customHeight="1"/>
    <row r="64" ht="24.0" customHeight="1"/>
    <row r="65" ht="24.0" customHeight="1"/>
    <row r="66" ht="24.0" customHeight="1"/>
    <row r="67" ht="24.0" customHeight="1"/>
    <row r="68" ht="24.0" customHeight="1"/>
    <row r="69" ht="24.0" customHeight="1"/>
    <row r="70" ht="24.0" customHeight="1"/>
    <row r="71" ht="24.0" customHeight="1"/>
    <row r="72" ht="24.0" customHeight="1"/>
    <row r="73" ht="24.0" customHeight="1"/>
    <row r="74" ht="24.0" customHeight="1"/>
    <row r="75" ht="24.0" customHeight="1"/>
    <row r="76" ht="24.0" customHeight="1"/>
    <row r="77" ht="24.0" customHeight="1"/>
    <row r="78" ht="24.0" customHeight="1"/>
    <row r="79" ht="24.0" customHeight="1"/>
    <row r="80" ht="24.0" customHeight="1"/>
    <row r="81" ht="24.0" customHeight="1"/>
    <row r="82" ht="24.0" customHeight="1"/>
    <row r="83" ht="24.0" customHeight="1"/>
    <row r="84" ht="24.0" customHeight="1"/>
    <row r="85" ht="24.0" customHeight="1"/>
    <row r="86" ht="24.0" customHeight="1"/>
    <row r="87" ht="24.0" customHeight="1"/>
    <row r="88" ht="24.0" customHeight="1"/>
    <row r="89" ht="24.0" customHeight="1"/>
    <row r="90" ht="24.0" customHeight="1"/>
    <row r="91" ht="24.0" customHeight="1"/>
    <row r="92" ht="24.0" customHeight="1"/>
    <row r="93" ht="24.0" customHeight="1"/>
    <row r="94" ht="24.0" customHeight="1"/>
    <row r="95" ht="24.0" customHeight="1"/>
    <row r="96" ht="24.0" customHeight="1"/>
    <row r="97" ht="24.0" customHeight="1"/>
    <row r="98" ht="24.0" customHeight="1"/>
    <row r="99" ht="24.0" customHeight="1"/>
    <row r="100" ht="24.0" customHeight="1"/>
    <row r="101" ht="24.0" customHeight="1"/>
    <row r="102" ht="24.0" customHeight="1"/>
    <row r="103" ht="24.0" customHeight="1"/>
    <row r="104" ht="24.0" customHeight="1"/>
    <row r="105" ht="24.0" customHeight="1"/>
    <row r="106" ht="24.0" customHeight="1"/>
    <row r="107" ht="24.0" customHeight="1"/>
    <row r="108" ht="24.0" customHeight="1"/>
    <row r="109" ht="24.0" customHeight="1"/>
    <row r="110" ht="24.0" customHeight="1"/>
    <row r="111" ht="24.0" customHeight="1"/>
    <row r="112" ht="24.0" customHeight="1"/>
    <row r="113" ht="24.0" customHeight="1"/>
    <row r="114" ht="24.0" customHeight="1"/>
    <row r="115" ht="24.0" customHeight="1"/>
    <row r="116" ht="24.0" customHeight="1"/>
    <row r="117" ht="24.0" customHeight="1"/>
    <row r="118" ht="24.0" customHeight="1"/>
    <row r="119" ht="24.0" customHeight="1"/>
    <row r="120" ht="24.0" customHeight="1"/>
    <row r="121" ht="24.0" customHeight="1"/>
    <row r="122" ht="24.0" customHeight="1"/>
    <row r="123" ht="24.0" customHeight="1"/>
    <row r="124" ht="24.0" customHeight="1"/>
    <row r="125" ht="24.0" customHeight="1"/>
    <row r="126" ht="24.0" customHeight="1"/>
    <row r="127" ht="24.0" customHeight="1"/>
    <row r="128" ht="24.0" customHeight="1"/>
    <row r="129" ht="24.0" customHeight="1"/>
    <row r="130" ht="24.0" customHeight="1"/>
    <row r="131" ht="24.0" customHeight="1"/>
    <row r="132" ht="24.0" customHeight="1"/>
    <row r="133" ht="24.0" customHeight="1"/>
    <row r="134" ht="24.0" customHeight="1"/>
    <row r="135" ht="24.0" customHeight="1"/>
    <row r="136" ht="24.0" customHeight="1"/>
    <row r="137" ht="24.0" customHeight="1"/>
    <row r="138" ht="24.0" customHeight="1"/>
    <row r="139" ht="24.0" customHeight="1"/>
    <row r="140" ht="24.0" customHeight="1"/>
    <row r="141" ht="24.0" customHeight="1"/>
    <row r="142" ht="24.0" customHeight="1"/>
    <row r="143" ht="24.0" customHeight="1"/>
    <row r="144" ht="24.0" customHeight="1"/>
    <row r="145" ht="24.0" customHeight="1"/>
    <row r="146" ht="24.0" customHeight="1"/>
    <row r="147" ht="24.0" customHeight="1"/>
    <row r="148" ht="24.0" customHeight="1"/>
    <row r="149" ht="24.0" customHeight="1"/>
    <row r="150" ht="24.0" customHeight="1"/>
    <row r="151" ht="24.0" customHeight="1"/>
    <row r="152" ht="24.0" customHeight="1"/>
    <row r="153" ht="24.0" customHeight="1"/>
    <row r="154" ht="24.0" customHeight="1"/>
    <row r="155" ht="24.0" customHeight="1"/>
    <row r="156" ht="24.0" customHeight="1"/>
    <row r="157" ht="24.0" customHeight="1"/>
    <row r="158" ht="24.0" customHeight="1"/>
    <row r="159" ht="24.0" customHeight="1"/>
    <row r="160" ht="24.0" customHeight="1"/>
    <row r="161" ht="24.0" customHeight="1"/>
    <row r="162" ht="24.0" customHeight="1"/>
    <row r="163" ht="24.0" customHeight="1"/>
    <row r="164" ht="24.0" customHeight="1"/>
    <row r="165" ht="24.0" customHeight="1"/>
    <row r="166" ht="24.0" customHeight="1"/>
    <row r="167" ht="24.0" customHeight="1"/>
    <row r="168" ht="24.0" customHeight="1"/>
    <row r="169" ht="24.0" customHeight="1"/>
    <row r="170" ht="24.0" customHeight="1"/>
    <row r="171" ht="24.0" customHeight="1"/>
    <row r="172" ht="24.0" customHeight="1"/>
    <row r="173" ht="24.0" customHeight="1"/>
    <row r="174" ht="24.0" customHeight="1"/>
    <row r="175" ht="24.0" customHeight="1"/>
    <row r="176" ht="24.0" customHeight="1"/>
    <row r="177" ht="24.0" customHeight="1"/>
    <row r="178" ht="24.0" customHeight="1"/>
    <row r="179" ht="24.0" customHeight="1"/>
    <row r="180" ht="24.0" customHeight="1"/>
    <row r="181" ht="24.0" customHeight="1"/>
    <row r="182" ht="24.0" customHeight="1"/>
    <row r="183" ht="24.0" customHeight="1"/>
    <row r="184" ht="24.0" customHeight="1"/>
    <row r="185" ht="24.0" customHeight="1"/>
    <row r="186" ht="24.0" customHeight="1"/>
    <row r="187" ht="24.0" customHeight="1"/>
    <row r="188" ht="24.0" customHeight="1"/>
    <row r="189" ht="24.0" customHeight="1"/>
    <row r="190" ht="24.0" customHeight="1"/>
    <row r="191" ht="24.0" customHeight="1"/>
    <row r="192" ht="24.0" customHeight="1"/>
    <row r="193" ht="24.0" customHeight="1"/>
    <row r="194" ht="24.0" customHeight="1"/>
    <row r="195" ht="24.0" customHeight="1"/>
    <row r="196" ht="24.0" customHeight="1"/>
    <row r="197" ht="24.0" customHeight="1"/>
    <row r="198" ht="24.0" customHeight="1"/>
    <row r="199" ht="24.0" customHeight="1"/>
    <row r="200" ht="24.0" customHeight="1"/>
    <row r="201" ht="24.0" customHeight="1"/>
    <row r="202" ht="24.0" customHeight="1"/>
    <row r="203" ht="24.0" customHeight="1"/>
    <row r="204" ht="24.0" customHeight="1"/>
    <row r="205" ht="24.0" customHeight="1"/>
    <row r="206" ht="24.0" customHeight="1"/>
    <row r="207" ht="24.0" customHeight="1"/>
    <row r="208" ht="24.0" customHeight="1"/>
    <row r="209" ht="24.0" customHeight="1"/>
    <row r="210" ht="24.0" customHeight="1"/>
    <row r="211" ht="24.0" customHeight="1"/>
    <row r="212" ht="24.0" customHeight="1"/>
    <row r="213" ht="24.0" customHeight="1"/>
    <row r="214" ht="24.0" customHeight="1"/>
    <row r="215" ht="24.0" customHeight="1"/>
    <row r="216" ht="24.0" customHeight="1"/>
    <row r="217" ht="24.0" customHeight="1"/>
    <row r="218" ht="24.0" customHeight="1"/>
    <row r="219" ht="24.0" customHeight="1"/>
    <row r="220" ht="24.0" customHeight="1"/>
    <row r="221" ht="24.0" customHeight="1"/>
    <row r="222" ht="24.0" customHeight="1"/>
    <row r="223" ht="24.0" customHeight="1"/>
    <row r="224" ht="24.0" customHeight="1"/>
    <row r="225" ht="24.0" customHeight="1"/>
    <row r="226" ht="24.0" customHeight="1"/>
    <row r="227" ht="24.0" customHeight="1"/>
    <row r="228" ht="24.0" customHeight="1"/>
    <row r="229" ht="24.0" customHeight="1"/>
    <row r="230" ht="24.0" customHeight="1"/>
    <row r="231" ht="24.0" customHeight="1"/>
    <row r="232" ht="24.0" customHeight="1"/>
    <row r="233" ht="24.0" customHeight="1"/>
    <row r="234" ht="24.0" customHeight="1"/>
    <row r="235" ht="24.0" customHeight="1"/>
    <row r="236" ht="24.0" customHeight="1"/>
    <row r="237" ht="24.0" customHeight="1"/>
    <row r="238" ht="24.0" customHeight="1"/>
    <row r="239" ht="24.0" customHeight="1"/>
    <row r="240" ht="24.0" customHeight="1"/>
    <row r="241" ht="24.0" customHeight="1"/>
    <row r="242" ht="24.0" customHeight="1"/>
    <row r="243" ht="24.0" customHeight="1"/>
    <row r="244" ht="24.0" customHeight="1"/>
    <row r="245" ht="24.0" customHeight="1"/>
    <row r="246" ht="24.0" customHeight="1"/>
    <row r="247" ht="24.0" customHeight="1"/>
    <row r="248" ht="24.0" customHeight="1"/>
    <row r="249" ht="24.0" customHeight="1"/>
    <row r="250" ht="24.0" customHeight="1"/>
    <row r="251" ht="24.0" customHeight="1"/>
    <row r="252" ht="24.0" customHeight="1"/>
    <row r="253" ht="24.0" customHeight="1"/>
    <row r="254" ht="24.0" customHeight="1"/>
    <row r="255" ht="24.0" customHeight="1"/>
    <row r="256" ht="24.0" customHeight="1"/>
    <row r="257" ht="24.0" customHeight="1"/>
    <row r="258" ht="24.0" customHeight="1"/>
    <row r="259" ht="24.0" customHeight="1"/>
    <row r="260" ht="24.0" customHeight="1"/>
    <row r="261" ht="24.0" customHeight="1"/>
    <row r="262" ht="24.0" customHeight="1"/>
    <row r="263" ht="24.0" customHeight="1"/>
    <row r="264" ht="24.0" customHeight="1"/>
    <row r="265" ht="24.0" customHeight="1"/>
    <row r="266" ht="24.0" customHeight="1"/>
    <row r="267" ht="24.0" customHeight="1"/>
    <row r="268" ht="24.0" customHeight="1"/>
    <row r="269" ht="24.0" customHeight="1"/>
    <row r="270" ht="24.0" customHeight="1"/>
    <row r="271" ht="24.0" customHeight="1"/>
    <row r="272" ht="24.0" customHeight="1"/>
    <row r="273" ht="24.0" customHeight="1"/>
    <row r="274" ht="24.0" customHeight="1"/>
    <row r="275" ht="24.0" customHeight="1"/>
    <row r="276" ht="24.0" customHeight="1"/>
    <row r="277" ht="24.0" customHeight="1"/>
    <row r="278" ht="24.0" customHeight="1"/>
    <row r="279" ht="24.0" customHeight="1"/>
    <row r="280" ht="24.0" customHeight="1"/>
    <row r="281" ht="24.0" customHeight="1"/>
    <row r="282" ht="24.0" customHeight="1"/>
    <row r="283" ht="24.0" customHeight="1"/>
    <row r="284" ht="24.0" customHeight="1"/>
    <row r="285" ht="24.0" customHeight="1"/>
    <row r="286" ht="24.0" customHeight="1"/>
    <row r="287" ht="24.0" customHeight="1"/>
    <row r="288" ht="24.0" customHeight="1"/>
    <row r="289" ht="24.0" customHeight="1"/>
    <row r="290" ht="24.0" customHeight="1"/>
    <row r="291" ht="24.0" customHeight="1"/>
    <row r="292" ht="24.0" customHeight="1"/>
    <row r="293" ht="24.0" customHeight="1"/>
    <row r="294" ht="24.0" customHeight="1"/>
    <row r="295" ht="24.0" customHeight="1"/>
    <row r="296" ht="24.0" customHeight="1"/>
    <row r="297" ht="24.0" customHeight="1"/>
    <row r="298" ht="24.0" customHeight="1"/>
    <row r="299" ht="24.0" customHeight="1"/>
    <row r="300" ht="24.0" customHeight="1"/>
    <row r="301" ht="24.0" customHeight="1"/>
    <row r="302" ht="24.0" customHeight="1"/>
    <row r="303" ht="24.0" customHeight="1"/>
    <row r="304" ht="24.0" customHeight="1"/>
    <row r="305" ht="24.0" customHeight="1"/>
    <row r="306" ht="24.0" customHeight="1"/>
    <row r="307" ht="24.0" customHeight="1"/>
    <row r="308" ht="24.0" customHeight="1"/>
    <row r="309" ht="24.0" customHeight="1"/>
    <row r="310" ht="24.0" customHeight="1"/>
    <row r="311" ht="24.0" customHeight="1"/>
    <row r="312" ht="24.0" customHeight="1"/>
    <row r="313" ht="24.0" customHeight="1"/>
    <row r="314" ht="24.0" customHeight="1"/>
    <row r="315" ht="24.0" customHeight="1"/>
    <row r="316" ht="24.0" customHeight="1"/>
    <row r="317" ht="24.0" customHeight="1"/>
    <row r="318" ht="24.0" customHeight="1"/>
    <row r="319" ht="24.0" customHeight="1"/>
    <row r="320" ht="24.0" customHeight="1"/>
    <row r="321" ht="24.0" customHeight="1"/>
    <row r="322" ht="24.0" customHeight="1"/>
    <row r="323" ht="24.0" customHeight="1"/>
    <row r="324" ht="24.0" customHeight="1"/>
    <row r="325" ht="24.0" customHeight="1"/>
    <row r="326" ht="24.0" customHeight="1"/>
    <row r="327" ht="24.0" customHeight="1"/>
    <row r="328" ht="24.0" customHeight="1"/>
    <row r="329" ht="24.0" customHeight="1"/>
    <row r="330" ht="24.0" customHeight="1"/>
    <row r="331" ht="24.0" customHeight="1"/>
    <row r="332" ht="24.0" customHeight="1"/>
    <row r="333" ht="24.0" customHeight="1"/>
    <row r="334" ht="24.0" customHeight="1"/>
    <row r="335" ht="24.0" customHeight="1"/>
    <row r="336" ht="24.0" customHeight="1"/>
    <row r="337" ht="24.0" customHeight="1"/>
    <row r="338" ht="24.0" customHeight="1"/>
    <row r="339" ht="24.0" customHeight="1"/>
    <row r="340" ht="24.0" customHeight="1"/>
    <row r="341" ht="24.0" customHeight="1"/>
    <row r="342" ht="24.0" customHeight="1"/>
    <row r="343" ht="24.0" customHeight="1"/>
    <row r="344" ht="24.0" customHeight="1"/>
    <row r="345" ht="24.0" customHeight="1"/>
    <row r="346" ht="24.0" customHeight="1"/>
    <row r="347" ht="24.0" customHeight="1"/>
    <row r="348" ht="24.0" customHeight="1"/>
    <row r="349" ht="24.0" customHeight="1"/>
    <row r="350" ht="24.0" customHeight="1"/>
    <row r="351" ht="24.0" customHeight="1"/>
    <row r="352" ht="24.0" customHeight="1"/>
    <row r="353" ht="24.0" customHeight="1"/>
    <row r="354" ht="24.0" customHeight="1"/>
    <row r="355" ht="24.0" customHeight="1"/>
    <row r="356" ht="24.0" customHeight="1"/>
    <row r="357" ht="24.0" customHeight="1"/>
    <row r="358" ht="24.0" customHeight="1"/>
    <row r="359" ht="24.0" customHeight="1"/>
    <row r="360" ht="24.0" customHeight="1"/>
    <row r="361" ht="24.0" customHeight="1"/>
    <row r="362" ht="24.0" customHeight="1"/>
    <row r="363" ht="24.0" customHeight="1"/>
    <row r="364" ht="24.0" customHeight="1"/>
    <row r="365" ht="24.0" customHeight="1"/>
    <row r="366" ht="24.0" customHeight="1"/>
    <row r="367" ht="24.0" customHeight="1"/>
    <row r="368" ht="24.0" customHeight="1"/>
    <row r="369" ht="24.0" customHeight="1"/>
    <row r="370" ht="24.0" customHeight="1"/>
    <row r="371" ht="24.0" customHeight="1"/>
    <row r="372" ht="24.0" customHeight="1"/>
    <row r="373" ht="24.0" customHeight="1"/>
    <row r="374" ht="24.0" customHeight="1"/>
    <row r="375" ht="24.0" customHeight="1"/>
    <row r="376" ht="24.0" customHeight="1"/>
    <row r="377" ht="24.0" customHeight="1"/>
    <row r="378" ht="24.0" customHeight="1"/>
    <row r="379" ht="24.0" customHeight="1"/>
    <row r="380" ht="24.0" customHeight="1"/>
    <row r="381" ht="24.0" customHeight="1"/>
    <row r="382" ht="24.0" customHeight="1"/>
    <row r="383" ht="24.0" customHeight="1"/>
    <row r="384" ht="24.0" customHeight="1"/>
    <row r="385" ht="24.0" customHeight="1"/>
    <row r="386" ht="24.0" customHeight="1"/>
    <row r="387" ht="24.0" customHeight="1"/>
    <row r="388" ht="24.0" customHeight="1"/>
    <row r="389" ht="24.0" customHeight="1"/>
    <row r="390" ht="24.0" customHeight="1"/>
    <row r="391" ht="24.0" customHeight="1"/>
    <row r="392" ht="24.0" customHeight="1"/>
    <row r="393" ht="24.0" customHeight="1"/>
    <row r="394" ht="24.0" customHeight="1"/>
    <row r="395" ht="24.0" customHeight="1"/>
    <row r="396" ht="24.0" customHeight="1"/>
    <row r="397" ht="24.0" customHeight="1"/>
    <row r="398" ht="24.0" customHeight="1"/>
    <row r="399" ht="24.0" customHeight="1"/>
    <row r="400" ht="24.0" customHeight="1"/>
    <row r="401" ht="24.0" customHeight="1"/>
    <row r="402" ht="24.0" customHeight="1"/>
    <row r="403" ht="24.0" customHeight="1"/>
    <row r="404" ht="24.0" customHeight="1"/>
    <row r="405" ht="24.0" customHeight="1"/>
    <row r="406" ht="24.0" customHeight="1"/>
    <row r="407" ht="24.0" customHeight="1"/>
    <row r="408" ht="24.0" customHeight="1"/>
    <row r="409" ht="24.0" customHeight="1"/>
    <row r="410" ht="24.0" customHeight="1"/>
    <row r="411" ht="24.0" customHeight="1"/>
    <row r="412" ht="24.0" customHeight="1"/>
    <row r="413" ht="24.0" customHeight="1"/>
    <row r="414" ht="24.0" customHeight="1"/>
    <row r="415" ht="24.0" customHeight="1"/>
    <row r="416" ht="24.0" customHeight="1"/>
    <row r="417" ht="24.0" customHeight="1"/>
    <row r="418" ht="24.0" customHeight="1"/>
    <row r="419" ht="24.0" customHeight="1"/>
    <row r="420" ht="24.0" customHeight="1"/>
    <row r="421" ht="24.0" customHeight="1"/>
    <row r="422" ht="24.0" customHeight="1"/>
    <row r="423" ht="24.0" customHeight="1"/>
    <row r="424" ht="24.0" customHeight="1"/>
    <row r="425" ht="24.0" customHeight="1"/>
    <row r="426" ht="24.0" customHeight="1"/>
    <row r="427" ht="24.0" customHeight="1"/>
    <row r="428" ht="24.0" customHeight="1"/>
    <row r="429" ht="24.0" customHeight="1"/>
    <row r="430" ht="24.0" customHeight="1"/>
    <row r="431" ht="24.0" customHeight="1"/>
    <row r="432" ht="24.0" customHeight="1"/>
    <row r="433" ht="24.0" customHeight="1"/>
    <row r="434" ht="24.0" customHeight="1"/>
    <row r="435" ht="24.0" customHeight="1"/>
    <row r="436" ht="24.0" customHeight="1"/>
    <row r="437" ht="24.0" customHeight="1"/>
    <row r="438" ht="24.0" customHeight="1"/>
    <row r="439" ht="24.0" customHeight="1"/>
    <row r="440" ht="24.0" customHeight="1"/>
    <row r="441" ht="24.0" customHeight="1"/>
    <row r="442" ht="24.0" customHeight="1"/>
    <row r="443" ht="24.0" customHeight="1"/>
    <row r="444" ht="24.0" customHeight="1"/>
    <row r="445" ht="24.0" customHeight="1"/>
    <row r="446" ht="24.0" customHeight="1"/>
    <row r="447" ht="24.0" customHeight="1"/>
    <row r="448" ht="24.0" customHeight="1"/>
    <row r="449" ht="24.0" customHeight="1"/>
    <row r="450" ht="24.0" customHeight="1"/>
    <row r="451" ht="24.0" customHeight="1"/>
    <row r="452" ht="24.0" customHeight="1"/>
    <row r="453" ht="24.0" customHeight="1"/>
    <row r="454" ht="24.0" customHeight="1"/>
    <row r="455" ht="24.0" customHeight="1"/>
    <row r="456" ht="24.0" customHeight="1"/>
    <row r="457" ht="24.0" customHeight="1"/>
    <row r="458" ht="24.0" customHeight="1"/>
    <row r="459" ht="24.0" customHeight="1"/>
    <row r="460" ht="24.0" customHeight="1"/>
    <row r="461" ht="24.0" customHeight="1"/>
    <row r="462" ht="24.0" customHeight="1"/>
    <row r="463" ht="24.0" customHeight="1"/>
    <row r="464" ht="24.0" customHeight="1"/>
    <row r="465" ht="24.0" customHeight="1"/>
    <row r="466" ht="24.0" customHeight="1"/>
    <row r="467" ht="24.0" customHeight="1"/>
    <row r="468" ht="24.0" customHeight="1"/>
    <row r="469" ht="24.0" customHeight="1"/>
    <row r="470" ht="24.0" customHeight="1"/>
    <row r="471" ht="24.0" customHeight="1"/>
    <row r="472" ht="24.0" customHeight="1"/>
    <row r="473" ht="24.0" customHeight="1"/>
    <row r="474" ht="24.0" customHeight="1"/>
    <row r="475" ht="24.0" customHeight="1"/>
    <row r="476" ht="24.0" customHeight="1"/>
    <row r="477" ht="24.0" customHeight="1"/>
    <row r="478" ht="24.0" customHeight="1"/>
    <row r="479" ht="24.0" customHeight="1"/>
    <row r="480" ht="24.0" customHeight="1"/>
    <row r="481" ht="24.0" customHeight="1"/>
    <row r="482" ht="24.0" customHeight="1"/>
    <row r="483" ht="24.0" customHeight="1"/>
    <row r="484" ht="24.0" customHeight="1"/>
    <row r="485" ht="24.0" customHeight="1"/>
    <row r="486" ht="24.0" customHeight="1"/>
    <row r="487" ht="24.0" customHeight="1"/>
    <row r="488" ht="24.0" customHeight="1"/>
    <row r="489" ht="24.0" customHeight="1"/>
    <row r="490" ht="24.0" customHeight="1"/>
    <row r="491" ht="24.0" customHeight="1"/>
    <row r="492" ht="24.0" customHeight="1"/>
    <row r="493" ht="24.0" customHeight="1"/>
    <row r="494" ht="24.0" customHeight="1"/>
    <row r="495" ht="24.0" customHeight="1"/>
    <row r="496" ht="24.0" customHeight="1"/>
    <row r="497" ht="24.0" customHeight="1"/>
    <row r="498" ht="24.0" customHeight="1"/>
    <row r="499" ht="24.0" customHeight="1"/>
    <row r="500" ht="24.0" customHeight="1"/>
    <row r="501" ht="24.0" customHeight="1"/>
    <row r="502" ht="24.0" customHeight="1"/>
    <row r="503" ht="24.0" customHeight="1"/>
    <row r="504" ht="24.0" customHeight="1"/>
    <row r="505" ht="24.0" customHeight="1"/>
    <row r="506" ht="24.0" customHeight="1"/>
    <row r="507" ht="24.0" customHeight="1"/>
    <row r="508" ht="24.0" customHeight="1"/>
    <row r="509" ht="24.0" customHeight="1"/>
    <row r="510" ht="24.0" customHeight="1"/>
    <row r="511" ht="24.0" customHeight="1"/>
    <row r="512" ht="24.0" customHeight="1"/>
    <row r="513" ht="24.0" customHeight="1"/>
    <row r="514" ht="24.0" customHeight="1"/>
    <row r="515" ht="24.0" customHeight="1"/>
    <row r="516" ht="24.0" customHeight="1"/>
    <row r="517" ht="24.0" customHeight="1"/>
    <row r="518" ht="24.0" customHeight="1"/>
    <row r="519" ht="24.0" customHeight="1"/>
    <row r="520" ht="24.0" customHeight="1"/>
    <row r="521" ht="24.0" customHeight="1"/>
    <row r="522" ht="24.0" customHeight="1"/>
    <row r="523" ht="24.0" customHeight="1"/>
    <row r="524" ht="24.0" customHeight="1"/>
    <row r="525" ht="24.0" customHeight="1"/>
    <row r="526" ht="24.0" customHeight="1"/>
    <row r="527" ht="24.0" customHeight="1"/>
    <row r="528" ht="24.0" customHeight="1"/>
    <row r="529" ht="24.0" customHeight="1"/>
    <row r="530" ht="24.0" customHeight="1"/>
    <row r="531" ht="24.0" customHeight="1"/>
    <row r="532" ht="24.0" customHeight="1"/>
    <row r="533" ht="24.0" customHeight="1"/>
    <row r="534" ht="24.0" customHeight="1"/>
    <row r="535" ht="24.0" customHeight="1"/>
    <row r="536" ht="24.0" customHeight="1"/>
    <row r="537" ht="24.0" customHeight="1"/>
    <row r="538" ht="24.0" customHeight="1"/>
    <row r="539" ht="24.0" customHeight="1"/>
    <row r="540" ht="24.0" customHeight="1"/>
    <row r="541" ht="24.0" customHeight="1"/>
    <row r="542" ht="24.0" customHeight="1"/>
    <row r="543" ht="24.0" customHeight="1"/>
    <row r="544" ht="24.0" customHeight="1"/>
    <row r="545" ht="24.0" customHeight="1"/>
    <row r="546" ht="24.0" customHeight="1"/>
    <row r="547" ht="24.0" customHeight="1"/>
    <row r="548" ht="24.0" customHeight="1"/>
    <row r="549" ht="24.0" customHeight="1"/>
    <row r="550" ht="24.0" customHeight="1"/>
    <row r="551" ht="24.0" customHeight="1"/>
    <row r="552" ht="24.0" customHeight="1"/>
    <row r="553" ht="24.0" customHeight="1"/>
    <row r="554" ht="24.0" customHeight="1"/>
    <row r="555" ht="24.0" customHeight="1"/>
    <row r="556" ht="24.0" customHeight="1"/>
    <row r="557" ht="24.0" customHeight="1"/>
    <row r="558" ht="24.0" customHeight="1"/>
    <row r="559" ht="24.0" customHeight="1"/>
    <row r="560" ht="24.0" customHeight="1"/>
    <row r="561" ht="24.0" customHeight="1"/>
    <row r="562" ht="24.0" customHeight="1"/>
    <row r="563" ht="24.0" customHeight="1"/>
    <row r="564" ht="24.0" customHeight="1"/>
    <row r="565" ht="24.0" customHeight="1"/>
    <row r="566" ht="24.0" customHeight="1"/>
    <row r="567" ht="24.0" customHeight="1"/>
    <row r="568" ht="24.0" customHeight="1"/>
    <row r="569" ht="24.0" customHeight="1"/>
    <row r="570" ht="24.0" customHeight="1"/>
    <row r="571" ht="24.0" customHeight="1"/>
    <row r="572" ht="24.0" customHeight="1"/>
    <row r="573" ht="24.0" customHeight="1"/>
    <row r="574" ht="24.0" customHeight="1"/>
    <row r="575" ht="24.0" customHeight="1"/>
    <row r="576" ht="24.0" customHeight="1"/>
    <row r="577" ht="24.0" customHeight="1"/>
    <row r="578" ht="24.0" customHeight="1"/>
    <row r="579" ht="24.0" customHeight="1"/>
    <row r="580" ht="24.0" customHeight="1"/>
    <row r="581" ht="24.0" customHeight="1"/>
    <row r="582" ht="24.0" customHeight="1"/>
    <row r="583" ht="24.0" customHeight="1"/>
    <row r="584" ht="24.0" customHeight="1"/>
    <row r="585" ht="24.0" customHeight="1"/>
    <row r="586" ht="24.0" customHeight="1"/>
    <row r="587" ht="24.0" customHeight="1"/>
    <row r="588" ht="24.0" customHeight="1"/>
    <row r="589" ht="24.0" customHeight="1"/>
    <row r="590" ht="24.0" customHeight="1"/>
    <row r="591" ht="24.0" customHeight="1"/>
    <row r="592" ht="24.0" customHeight="1"/>
    <row r="593" ht="24.0" customHeight="1"/>
    <row r="594" ht="24.0" customHeight="1"/>
    <row r="595" ht="24.0" customHeight="1"/>
    <row r="596" ht="24.0" customHeight="1"/>
    <row r="597" ht="24.0" customHeight="1"/>
    <row r="598" ht="24.0" customHeight="1"/>
    <row r="599" ht="24.0" customHeight="1"/>
    <row r="600" ht="24.0" customHeight="1"/>
    <row r="601" ht="24.0" customHeight="1"/>
    <row r="602" ht="24.0" customHeight="1"/>
    <row r="603" ht="24.0" customHeight="1"/>
    <row r="604" ht="24.0" customHeight="1"/>
    <row r="605" ht="24.0" customHeight="1"/>
    <row r="606" ht="24.0" customHeight="1"/>
    <row r="607" ht="24.0" customHeight="1"/>
    <row r="608" ht="24.0" customHeight="1"/>
    <row r="609" ht="24.0" customHeight="1"/>
    <row r="610" ht="24.0" customHeight="1"/>
    <row r="611" ht="24.0" customHeight="1"/>
    <row r="612" ht="24.0" customHeight="1"/>
    <row r="613" ht="24.0" customHeight="1"/>
    <row r="614" ht="24.0" customHeight="1"/>
    <row r="615" ht="24.0" customHeight="1"/>
    <row r="616" ht="24.0" customHeight="1"/>
    <row r="617" ht="24.0" customHeight="1"/>
    <row r="618" ht="24.0" customHeight="1"/>
    <row r="619" ht="24.0" customHeight="1"/>
    <row r="620" ht="24.0" customHeight="1"/>
    <row r="621" ht="24.0" customHeight="1"/>
    <row r="622" ht="24.0" customHeight="1"/>
    <row r="623" ht="24.0" customHeight="1"/>
    <row r="624" ht="24.0" customHeight="1"/>
    <row r="625" ht="24.0" customHeight="1"/>
    <row r="626" ht="24.0" customHeight="1"/>
    <row r="627" ht="24.0" customHeight="1"/>
    <row r="628" ht="24.0" customHeight="1"/>
    <row r="629" ht="24.0" customHeight="1"/>
    <row r="630" ht="24.0" customHeight="1"/>
    <row r="631" ht="24.0" customHeight="1"/>
    <row r="632" ht="24.0" customHeight="1"/>
    <row r="633" ht="24.0" customHeight="1"/>
    <row r="634" ht="24.0" customHeight="1"/>
    <row r="635" ht="24.0" customHeight="1"/>
    <row r="636" ht="24.0" customHeight="1"/>
    <row r="637" ht="24.0" customHeight="1"/>
    <row r="638" ht="24.0" customHeight="1"/>
    <row r="639" ht="24.0" customHeight="1"/>
    <row r="640" ht="24.0" customHeight="1"/>
    <row r="641" ht="24.0" customHeight="1"/>
    <row r="642" ht="24.0" customHeight="1"/>
    <row r="643" ht="24.0" customHeight="1"/>
    <row r="644" ht="24.0" customHeight="1"/>
    <row r="645" ht="24.0" customHeight="1"/>
    <row r="646" ht="24.0" customHeight="1"/>
    <row r="647" ht="24.0" customHeight="1"/>
    <row r="648" ht="24.0" customHeight="1"/>
    <row r="649" ht="24.0" customHeight="1"/>
    <row r="650" ht="24.0" customHeight="1"/>
    <row r="651" ht="24.0" customHeight="1"/>
    <row r="652" ht="24.0" customHeight="1"/>
    <row r="653" ht="24.0" customHeight="1"/>
    <row r="654" ht="24.0" customHeight="1"/>
    <row r="655" ht="24.0" customHeight="1"/>
    <row r="656" ht="24.0" customHeight="1"/>
    <row r="657" ht="24.0" customHeight="1"/>
    <row r="658" ht="24.0" customHeight="1"/>
    <row r="659" ht="24.0" customHeight="1"/>
    <row r="660" ht="24.0" customHeight="1"/>
    <row r="661" ht="24.0" customHeight="1"/>
    <row r="662" ht="24.0" customHeight="1"/>
    <row r="663" ht="24.0" customHeight="1"/>
    <row r="664" ht="24.0" customHeight="1"/>
    <row r="665" ht="24.0" customHeight="1"/>
    <row r="666" ht="24.0" customHeight="1"/>
    <row r="667" ht="24.0" customHeight="1"/>
    <row r="668" ht="24.0" customHeight="1"/>
    <row r="669" ht="24.0" customHeight="1"/>
    <row r="670" ht="24.0" customHeight="1"/>
    <row r="671" ht="24.0" customHeight="1"/>
    <row r="672" ht="24.0" customHeight="1"/>
    <row r="673" ht="24.0" customHeight="1"/>
    <row r="674" ht="24.0" customHeight="1"/>
    <row r="675" ht="24.0" customHeight="1"/>
    <row r="676" ht="24.0" customHeight="1"/>
    <row r="677" ht="24.0" customHeight="1"/>
    <row r="678" ht="24.0" customHeight="1"/>
    <row r="679" ht="24.0" customHeight="1"/>
    <row r="680" ht="24.0" customHeight="1"/>
    <row r="681" ht="24.0" customHeight="1"/>
    <row r="682" ht="24.0" customHeight="1"/>
    <row r="683" ht="24.0" customHeight="1"/>
    <row r="684" ht="24.0" customHeight="1"/>
    <row r="685" ht="24.0" customHeight="1"/>
    <row r="686" ht="24.0" customHeight="1"/>
    <row r="687" ht="24.0" customHeight="1"/>
    <row r="688" ht="24.0" customHeight="1"/>
    <row r="689" ht="24.0" customHeight="1"/>
    <row r="690" ht="24.0" customHeight="1"/>
    <row r="691" ht="24.0" customHeight="1"/>
    <row r="692" ht="24.0" customHeight="1"/>
    <row r="693" ht="24.0" customHeight="1"/>
    <row r="694" ht="24.0" customHeight="1"/>
    <row r="695" ht="24.0" customHeight="1"/>
    <row r="696" ht="24.0" customHeight="1"/>
    <row r="697" ht="24.0" customHeight="1"/>
    <row r="698" ht="24.0" customHeight="1"/>
    <row r="699" ht="24.0" customHeight="1"/>
    <row r="700" ht="24.0" customHeight="1"/>
    <row r="701" ht="24.0" customHeight="1"/>
    <row r="702" ht="24.0" customHeight="1"/>
    <row r="703" ht="24.0" customHeight="1"/>
    <row r="704" ht="24.0" customHeight="1"/>
    <row r="705" ht="24.0" customHeight="1"/>
    <row r="706" ht="24.0" customHeight="1"/>
    <row r="707" ht="24.0" customHeight="1"/>
    <row r="708" ht="24.0" customHeight="1"/>
    <row r="709" ht="24.0" customHeight="1"/>
    <row r="710" ht="24.0" customHeight="1"/>
    <row r="711" ht="24.0" customHeight="1"/>
    <row r="712" ht="24.0" customHeight="1"/>
    <row r="713" ht="24.0" customHeight="1"/>
    <row r="714" ht="24.0" customHeight="1"/>
    <row r="715" ht="24.0" customHeight="1"/>
    <row r="716" ht="24.0" customHeight="1"/>
    <row r="717" ht="24.0" customHeight="1"/>
    <row r="718" ht="24.0" customHeight="1"/>
    <row r="719" ht="24.0" customHeight="1"/>
    <row r="720" ht="24.0" customHeight="1"/>
    <row r="721" ht="24.0" customHeight="1"/>
    <row r="722" ht="24.0" customHeight="1"/>
    <row r="723" ht="24.0" customHeight="1"/>
    <row r="724" ht="24.0" customHeight="1"/>
    <row r="725" ht="24.0" customHeight="1"/>
    <row r="726" ht="24.0" customHeight="1"/>
    <row r="727" ht="24.0" customHeight="1"/>
    <row r="728" ht="24.0" customHeight="1"/>
    <row r="729" ht="24.0" customHeight="1"/>
    <row r="730" ht="24.0" customHeight="1"/>
    <row r="731" ht="24.0" customHeight="1"/>
    <row r="732" ht="24.0" customHeight="1"/>
    <row r="733" ht="24.0" customHeight="1"/>
    <row r="734" ht="24.0" customHeight="1"/>
    <row r="735" ht="24.0" customHeight="1"/>
    <row r="736" ht="24.0" customHeight="1"/>
    <row r="737" ht="24.0" customHeight="1"/>
    <row r="738" ht="24.0" customHeight="1"/>
    <row r="739" ht="24.0" customHeight="1"/>
    <row r="740" ht="24.0" customHeight="1"/>
    <row r="741" ht="24.0" customHeight="1"/>
    <row r="742" ht="24.0" customHeight="1"/>
    <row r="743" ht="24.0" customHeight="1"/>
    <row r="744" ht="24.0" customHeight="1"/>
    <row r="745" ht="24.0" customHeight="1"/>
    <row r="746" ht="24.0" customHeight="1"/>
    <row r="747" ht="24.0" customHeight="1"/>
    <row r="748" ht="24.0" customHeight="1"/>
    <row r="749" ht="24.0" customHeight="1"/>
    <row r="750" ht="24.0" customHeight="1"/>
    <row r="751" ht="24.0" customHeight="1"/>
    <row r="752" ht="24.0" customHeight="1"/>
    <row r="753" ht="24.0" customHeight="1"/>
    <row r="754" ht="24.0" customHeight="1"/>
    <row r="755" ht="24.0" customHeight="1"/>
    <row r="756" ht="24.0" customHeight="1"/>
    <row r="757" ht="24.0" customHeight="1"/>
    <row r="758" ht="24.0" customHeight="1"/>
    <row r="759" ht="24.0" customHeight="1"/>
    <row r="760" ht="24.0" customHeight="1"/>
    <row r="761" ht="24.0" customHeight="1"/>
    <row r="762" ht="24.0" customHeight="1"/>
    <row r="763" ht="24.0" customHeight="1"/>
    <row r="764" ht="24.0" customHeight="1"/>
    <row r="765" ht="24.0" customHeight="1"/>
    <row r="766" ht="24.0" customHeight="1"/>
    <row r="767" ht="24.0" customHeight="1"/>
    <row r="768" ht="24.0" customHeight="1"/>
    <row r="769" ht="24.0" customHeight="1"/>
    <row r="770" ht="24.0" customHeight="1"/>
    <row r="771" ht="24.0" customHeight="1"/>
    <row r="772" ht="24.0" customHeight="1"/>
    <row r="773" ht="24.0" customHeight="1"/>
    <row r="774" ht="24.0" customHeight="1"/>
    <row r="775" ht="24.0" customHeight="1"/>
    <row r="776" ht="24.0" customHeight="1"/>
    <row r="777" ht="24.0" customHeight="1"/>
    <row r="778" ht="24.0" customHeight="1"/>
    <row r="779" ht="24.0" customHeight="1"/>
    <row r="780" ht="24.0" customHeight="1"/>
    <row r="781" ht="24.0" customHeight="1"/>
    <row r="782" ht="24.0" customHeight="1"/>
    <row r="783" ht="24.0" customHeight="1"/>
    <row r="784" ht="24.0" customHeight="1"/>
    <row r="785" ht="24.0" customHeight="1"/>
    <row r="786" ht="24.0" customHeight="1"/>
    <row r="787" ht="24.0" customHeight="1"/>
    <row r="788" ht="24.0" customHeight="1"/>
    <row r="789" ht="24.0" customHeight="1"/>
    <row r="790" ht="24.0" customHeight="1"/>
    <row r="791" ht="24.0" customHeight="1"/>
    <row r="792" ht="24.0" customHeight="1"/>
    <row r="793" ht="24.0" customHeight="1"/>
    <row r="794" ht="24.0" customHeight="1"/>
    <row r="795" ht="24.0" customHeight="1"/>
    <row r="796" ht="24.0" customHeight="1"/>
    <row r="797" ht="24.0" customHeight="1"/>
    <row r="798" ht="24.0" customHeight="1"/>
    <row r="799" ht="24.0" customHeight="1"/>
    <row r="800" ht="24.0" customHeight="1"/>
    <row r="801" ht="24.0" customHeight="1"/>
    <row r="802" ht="24.0" customHeight="1"/>
    <row r="803" ht="24.0" customHeight="1"/>
    <row r="804" ht="24.0" customHeight="1"/>
    <row r="805" ht="24.0" customHeight="1"/>
    <row r="806" ht="24.0" customHeight="1"/>
    <row r="807" ht="24.0" customHeight="1"/>
    <row r="808" ht="24.0" customHeight="1"/>
    <row r="809" ht="24.0" customHeight="1"/>
    <row r="810" ht="24.0" customHeight="1"/>
    <row r="811" ht="24.0" customHeight="1"/>
    <row r="812" ht="24.0" customHeight="1"/>
    <row r="813" ht="24.0" customHeight="1"/>
    <row r="814" ht="24.0" customHeight="1"/>
    <row r="815" ht="24.0" customHeight="1"/>
    <row r="816" ht="24.0" customHeight="1"/>
    <row r="817" ht="24.0" customHeight="1"/>
    <row r="818" ht="24.0" customHeight="1"/>
    <row r="819" ht="24.0" customHeight="1"/>
    <row r="820" ht="24.0" customHeight="1"/>
    <row r="821" ht="24.0" customHeight="1"/>
    <row r="822" ht="24.0" customHeight="1"/>
    <row r="823" ht="24.0" customHeight="1"/>
    <row r="824" ht="24.0" customHeight="1"/>
    <row r="825" ht="24.0" customHeight="1"/>
    <row r="826" ht="24.0" customHeight="1"/>
    <row r="827" ht="24.0" customHeight="1"/>
    <row r="828" ht="24.0" customHeight="1"/>
    <row r="829" ht="24.0" customHeight="1"/>
    <row r="830" ht="24.0" customHeight="1"/>
    <row r="831" ht="24.0" customHeight="1"/>
    <row r="832" ht="24.0" customHeight="1"/>
    <row r="833" ht="24.0" customHeight="1"/>
    <row r="834" ht="24.0" customHeight="1"/>
    <row r="835" ht="24.0" customHeight="1"/>
    <row r="836" ht="24.0" customHeight="1"/>
    <row r="837" ht="24.0" customHeight="1"/>
    <row r="838" ht="24.0" customHeight="1"/>
    <row r="839" ht="24.0" customHeight="1"/>
    <row r="840" ht="24.0" customHeight="1"/>
    <row r="841" ht="24.0" customHeight="1"/>
    <row r="842" ht="24.0" customHeight="1"/>
    <row r="843" ht="24.0" customHeight="1"/>
    <row r="844" ht="24.0" customHeight="1"/>
    <row r="845" ht="24.0" customHeight="1"/>
    <row r="846" ht="24.0" customHeight="1"/>
    <row r="847" ht="24.0" customHeight="1"/>
    <row r="848" ht="24.0" customHeight="1"/>
    <row r="849" ht="24.0" customHeight="1"/>
    <row r="850" ht="24.0" customHeight="1"/>
    <row r="851" ht="24.0" customHeight="1"/>
    <row r="852" ht="24.0" customHeight="1"/>
    <row r="853" ht="24.0" customHeight="1"/>
    <row r="854" ht="24.0" customHeight="1"/>
    <row r="855" ht="24.0" customHeight="1"/>
    <row r="856" ht="24.0" customHeight="1"/>
    <row r="857" ht="24.0" customHeight="1"/>
    <row r="858" ht="24.0" customHeight="1"/>
    <row r="859" ht="24.0" customHeight="1"/>
    <row r="860" ht="24.0" customHeight="1"/>
    <row r="861" ht="24.0" customHeight="1"/>
    <row r="862" ht="24.0" customHeight="1"/>
    <row r="863" ht="24.0" customHeight="1"/>
    <row r="864" ht="24.0" customHeight="1"/>
    <row r="865" ht="24.0" customHeight="1"/>
    <row r="866" ht="24.0" customHeight="1"/>
    <row r="867" ht="24.0" customHeight="1"/>
    <row r="868" ht="24.0" customHeight="1"/>
    <row r="869" ht="24.0" customHeight="1"/>
    <row r="870" ht="24.0" customHeight="1"/>
    <row r="871" ht="24.0" customHeight="1"/>
    <row r="872" ht="24.0" customHeight="1"/>
    <row r="873" ht="24.0" customHeight="1"/>
    <row r="874" ht="24.0" customHeight="1"/>
    <row r="875" ht="24.0" customHeight="1"/>
    <row r="876" ht="24.0" customHeight="1"/>
    <row r="877" ht="24.0" customHeight="1"/>
    <row r="878" ht="24.0" customHeight="1"/>
    <row r="879" ht="24.0" customHeight="1"/>
    <row r="880" ht="24.0" customHeight="1"/>
    <row r="881" ht="24.0" customHeight="1"/>
    <row r="882" ht="24.0" customHeight="1"/>
    <row r="883" ht="24.0" customHeight="1"/>
    <row r="884" ht="24.0" customHeight="1"/>
    <row r="885" ht="24.0" customHeight="1"/>
    <row r="886" ht="24.0" customHeight="1"/>
    <row r="887" ht="24.0" customHeight="1"/>
    <row r="888" ht="24.0" customHeight="1"/>
    <row r="889" ht="24.0" customHeight="1"/>
    <row r="890" ht="24.0" customHeight="1"/>
    <row r="891" ht="24.0" customHeight="1"/>
    <row r="892" ht="24.0" customHeight="1"/>
    <row r="893" ht="24.0" customHeight="1"/>
    <row r="894" ht="24.0" customHeight="1"/>
    <row r="895" ht="24.0" customHeight="1"/>
    <row r="896" ht="24.0" customHeight="1"/>
    <row r="897" ht="24.0" customHeight="1"/>
    <row r="898" ht="24.0" customHeight="1"/>
    <row r="899" ht="24.0" customHeight="1"/>
    <row r="900" ht="24.0" customHeight="1"/>
    <row r="901" ht="24.0" customHeight="1"/>
    <row r="902" ht="24.0" customHeight="1"/>
    <row r="903" ht="24.0" customHeight="1"/>
    <row r="904" ht="24.0" customHeight="1"/>
    <row r="905" ht="24.0" customHeight="1"/>
    <row r="906" ht="24.0" customHeight="1"/>
    <row r="907" ht="24.0" customHeight="1"/>
    <row r="908" ht="24.0" customHeight="1"/>
    <row r="909" ht="24.0" customHeight="1"/>
    <row r="910" ht="24.0" customHeight="1"/>
    <row r="911" ht="24.0" customHeight="1"/>
    <row r="912" ht="24.0" customHeight="1"/>
    <row r="913" ht="24.0" customHeight="1"/>
    <row r="914" ht="24.0" customHeight="1"/>
    <row r="915" ht="24.0" customHeight="1"/>
    <row r="916" ht="24.0" customHeight="1"/>
    <row r="917" ht="24.0" customHeight="1"/>
    <row r="918" ht="24.0" customHeight="1"/>
    <row r="919" ht="24.0" customHeight="1"/>
    <row r="920" ht="24.0" customHeight="1"/>
    <row r="921" ht="24.0" customHeight="1"/>
    <row r="922" ht="24.0" customHeight="1"/>
    <row r="923" ht="24.0" customHeight="1"/>
    <row r="924" ht="24.0" customHeight="1"/>
    <row r="925" ht="24.0" customHeight="1"/>
    <row r="926" ht="24.0" customHeight="1"/>
    <row r="927" ht="24.0" customHeight="1"/>
    <row r="928" ht="24.0" customHeight="1"/>
    <row r="929" ht="24.0" customHeight="1"/>
    <row r="930" ht="24.0" customHeight="1"/>
    <row r="931" ht="24.0" customHeight="1"/>
    <row r="932" ht="24.0" customHeight="1"/>
    <row r="933" ht="24.0" customHeight="1"/>
    <row r="934" ht="24.0" customHeight="1"/>
    <row r="935" ht="24.0" customHeight="1"/>
    <row r="936" ht="24.0" customHeight="1"/>
    <row r="937" ht="24.0" customHeight="1"/>
    <row r="938" ht="24.0" customHeight="1"/>
    <row r="939" ht="24.0" customHeight="1"/>
    <row r="940" ht="24.0" customHeight="1"/>
    <row r="941" ht="24.0" customHeight="1"/>
    <row r="942" ht="24.0" customHeight="1"/>
    <row r="943" ht="24.0" customHeight="1"/>
    <row r="944" ht="24.0" customHeight="1"/>
    <row r="945" ht="24.0" customHeight="1"/>
    <row r="946" ht="24.0" customHeight="1"/>
    <row r="947" ht="24.0" customHeight="1"/>
    <row r="948" ht="24.0" customHeight="1"/>
    <row r="949" ht="24.0" customHeight="1"/>
    <row r="950" ht="24.0" customHeight="1"/>
    <row r="951" ht="24.0" customHeight="1"/>
    <row r="952" ht="24.0" customHeight="1"/>
    <row r="953" ht="24.0" customHeight="1"/>
    <row r="954" ht="24.0" customHeight="1"/>
    <row r="955" ht="24.0" customHeight="1"/>
    <row r="956" ht="24.0" customHeight="1"/>
    <row r="957" ht="24.0" customHeight="1"/>
    <row r="958" ht="24.0" customHeight="1"/>
    <row r="959" ht="24.0" customHeight="1"/>
    <row r="960" ht="24.0" customHeight="1"/>
    <row r="961" ht="24.0" customHeight="1"/>
    <row r="962" ht="24.0" customHeight="1"/>
    <row r="963" ht="24.0" customHeight="1"/>
    <row r="964" ht="24.0" customHeight="1"/>
    <row r="965" ht="24.0" customHeight="1"/>
    <row r="966" ht="24.0" customHeight="1"/>
    <row r="967" ht="24.0" customHeight="1"/>
    <row r="968" ht="24.0" customHeight="1"/>
    <row r="969" ht="24.0" customHeight="1"/>
    <row r="970" ht="24.0" customHeight="1"/>
    <row r="971" ht="24.0" customHeight="1"/>
    <row r="972" ht="24.0" customHeight="1"/>
    <row r="973" ht="24.0" customHeight="1"/>
    <row r="974" ht="24.0" customHeight="1"/>
    <row r="975" ht="24.0" customHeight="1"/>
    <row r="976" ht="24.0" customHeight="1"/>
    <row r="977" ht="24.0" customHeight="1"/>
    <row r="978" ht="24.0" customHeight="1"/>
    <row r="979" ht="24.0" customHeight="1"/>
    <row r="980" ht="24.0" customHeight="1"/>
    <row r="981" ht="24.0" customHeight="1"/>
    <row r="982" ht="24.0" customHeight="1"/>
    <row r="983" ht="24.0" customHeight="1"/>
    <row r="984" ht="24.0" customHeight="1"/>
    <row r="985" ht="24.0" customHeight="1"/>
    <row r="986" ht="24.0" customHeight="1"/>
    <row r="987" ht="24.0" customHeight="1"/>
    <row r="988" ht="24.0" customHeight="1"/>
    <row r="989" ht="24.0" customHeight="1"/>
    <row r="990" ht="24.0" customHeight="1"/>
    <row r="991" ht="24.0" customHeight="1"/>
    <row r="992" ht="24.0" customHeight="1"/>
    <row r="993" ht="24.0" customHeight="1"/>
    <row r="994" ht="24.0" customHeight="1"/>
    <row r="995" ht="24.0" customHeight="1"/>
    <row r="996" ht="24.0" customHeight="1"/>
    <row r="997" ht="24.0" customHeight="1"/>
    <row r="998" ht="24.0" customHeight="1"/>
    <row r="999" ht="24.0" customHeight="1"/>
    <row r="1000" ht="24.0" customHeight="1"/>
  </sheetData>
  <mergeCells count="6">
    <mergeCell ref="B2:F2"/>
    <mergeCell ref="B4:F4"/>
    <mergeCell ref="B5:F5"/>
    <mergeCell ref="B6:F6"/>
    <mergeCell ref="B8:F8"/>
    <mergeCell ref="B12:F12"/>
  </mergeCells>
  <printOptions/>
  <pageMargins bottom="0.75" footer="0.0" header="0.0" left="0.25" right="0.25"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rightToLeft="1" workbookViewId="0"/>
  </sheetViews>
  <sheetFormatPr customHeight="1" defaultColWidth="14.43" defaultRowHeight="15.0"/>
  <cols>
    <col customWidth="1" min="1" max="1" width="7.29"/>
    <col customWidth="1" min="2" max="2" width="66.29"/>
    <col customWidth="1" min="3" max="6" width="8.14"/>
    <col customWidth="1" hidden="1" min="7" max="7" width="36.0"/>
    <col customWidth="1" hidden="1" min="8" max="8" width="12.0"/>
    <col customWidth="1" min="9" max="26" width="8.71"/>
  </cols>
  <sheetData>
    <row r="1" ht="36.0" customHeight="1">
      <c r="A1" s="2"/>
      <c r="B1" s="3" t="s">
        <v>5</v>
      </c>
    </row>
    <row r="2" ht="27.75" customHeight="1">
      <c r="A2" s="2" t="s">
        <v>9</v>
      </c>
      <c r="B2" s="5" t="s">
        <v>11</v>
      </c>
      <c r="F2" s="2" t="s">
        <v>15</v>
      </c>
    </row>
    <row r="3" ht="30.0" customHeight="1">
      <c r="A3" s="6">
        <v>1.0</v>
      </c>
      <c r="B3" s="7" t="s">
        <v>22</v>
      </c>
      <c r="C3" s="8"/>
      <c r="D3" s="8"/>
      <c r="E3" s="9"/>
      <c r="F3" s="6">
        <v>3.0</v>
      </c>
    </row>
    <row r="4" ht="30.0" customHeight="1">
      <c r="A4" s="6">
        <v>2.0</v>
      </c>
      <c r="B4" s="7" t="s">
        <v>25</v>
      </c>
      <c r="C4" s="8"/>
      <c r="D4" s="8"/>
      <c r="E4" s="9"/>
      <c r="F4" s="6">
        <v>4.0</v>
      </c>
    </row>
    <row r="5" ht="30.0" customHeight="1">
      <c r="A5" s="6">
        <v>3.0</v>
      </c>
      <c r="B5" s="7" t="s">
        <v>28</v>
      </c>
      <c r="C5" s="8"/>
      <c r="D5" s="8"/>
      <c r="E5" s="9"/>
      <c r="F5" s="6">
        <v>5.0</v>
      </c>
    </row>
    <row r="6" ht="30.0" customHeight="1">
      <c r="A6" s="6">
        <v>4.0</v>
      </c>
      <c r="B6" s="7" t="s">
        <v>35</v>
      </c>
      <c r="C6" s="8"/>
      <c r="D6" s="8"/>
      <c r="E6" s="9"/>
      <c r="F6" s="6">
        <v>6.0</v>
      </c>
    </row>
    <row r="7" ht="30.0" customHeight="1">
      <c r="A7" s="6">
        <v>5.0</v>
      </c>
      <c r="B7" s="7" t="s">
        <v>38</v>
      </c>
      <c r="C7" s="8"/>
      <c r="D7" s="8"/>
      <c r="E7" s="9"/>
      <c r="F7" s="6">
        <v>7.0</v>
      </c>
    </row>
    <row r="8" ht="30.0" customHeight="1">
      <c r="A8" s="6">
        <v>6.0</v>
      </c>
      <c r="B8" s="7" t="s">
        <v>41</v>
      </c>
      <c r="C8" s="8"/>
      <c r="D8" s="8"/>
      <c r="E8" s="9"/>
      <c r="F8" s="6">
        <v>8.0</v>
      </c>
    </row>
    <row r="9" ht="30.0" customHeight="1">
      <c r="A9" s="6">
        <v>7.0</v>
      </c>
      <c r="B9" s="7" t="s">
        <v>44</v>
      </c>
      <c r="C9" s="8"/>
      <c r="D9" s="8"/>
      <c r="E9" s="9"/>
      <c r="F9" s="6">
        <v>9.0</v>
      </c>
    </row>
    <row r="10" ht="30.0" customHeight="1">
      <c r="A10" s="6">
        <v>8.0</v>
      </c>
      <c r="B10" s="7" t="s">
        <v>48</v>
      </c>
      <c r="C10" s="8"/>
      <c r="D10" s="8"/>
      <c r="E10" s="9"/>
      <c r="F10" s="6">
        <v>10.0</v>
      </c>
    </row>
    <row r="11" ht="30.0" customHeight="1">
      <c r="A11" s="6">
        <v>9.0</v>
      </c>
      <c r="B11" s="7" t="s">
        <v>51</v>
      </c>
      <c r="C11" s="8"/>
      <c r="D11" s="8"/>
      <c r="E11" s="9"/>
      <c r="F11" s="6">
        <v>11.0</v>
      </c>
    </row>
    <row r="12" ht="24.0" customHeight="1">
      <c r="A12" s="12"/>
      <c r="B12" s="18"/>
      <c r="C12" s="12"/>
      <c r="D12" s="12"/>
      <c r="E12" s="12"/>
      <c r="F12" s="12"/>
      <c r="G12" s="12"/>
      <c r="H12" s="12" t="s">
        <v>86</v>
      </c>
    </row>
    <row r="13" ht="24.0" customHeight="1">
      <c r="A13" s="12"/>
      <c r="B13" s="18"/>
      <c r="C13" s="12"/>
      <c r="D13" s="12"/>
      <c r="E13" s="12"/>
      <c r="F13" s="12"/>
      <c r="G13" s="12"/>
      <c r="H13" s="12" t="s">
        <v>86</v>
      </c>
    </row>
    <row r="14" ht="31.5" customHeight="1">
      <c r="A14" s="12"/>
      <c r="B14" s="3" t="s">
        <v>97</v>
      </c>
    </row>
    <row r="15" ht="34.5" customHeight="1">
      <c r="A15" s="18" t="s">
        <v>104</v>
      </c>
    </row>
    <row r="16" ht="34.5" customHeight="1">
      <c r="A16" s="18" t="s">
        <v>106</v>
      </c>
    </row>
    <row r="17" ht="34.5" customHeight="1">
      <c r="A17" s="18" t="s">
        <v>109</v>
      </c>
    </row>
    <row r="18" ht="34.5" customHeight="1">
      <c r="A18" s="18" t="s">
        <v>110</v>
      </c>
    </row>
    <row r="19" ht="34.5" customHeight="1">
      <c r="A19" s="18" t="s">
        <v>111</v>
      </c>
    </row>
    <row r="20" ht="132.0" customHeight="1">
      <c r="A20" s="12"/>
      <c r="B20" s="18"/>
      <c r="C20" s="12"/>
      <c r="D20" s="12"/>
      <c r="E20" s="12"/>
      <c r="F20" s="12"/>
      <c r="G20" s="12"/>
      <c r="H20" s="12" t="s">
        <v>86</v>
      </c>
    </row>
    <row r="21" ht="24.0" customHeight="1"/>
    <row r="22" ht="24.0" customHeight="1"/>
    <row r="23" ht="24.0" customHeight="1"/>
    <row r="24" ht="24.0" customHeight="1"/>
    <row r="25" ht="24.0" customHeight="1"/>
    <row r="26" ht="24.0" customHeight="1"/>
    <row r="27" ht="24.0" customHeight="1"/>
    <row r="28" ht="24.0" customHeight="1"/>
    <row r="29" ht="24.0" customHeight="1"/>
    <row r="30" ht="24.0" customHeight="1"/>
    <row r="31" ht="24.0" customHeight="1"/>
    <row r="32" ht="24.0" customHeight="1"/>
    <row r="33" ht="24.0" customHeight="1"/>
    <row r="34" ht="24.0" customHeight="1"/>
    <row r="35" ht="24.0" customHeight="1"/>
    <row r="36" ht="24.0" customHeight="1"/>
    <row r="37" ht="24.0" customHeight="1"/>
    <row r="38" ht="24.0" customHeight="1"/>
    <row r="39" ht="24.0" customHeight="1"/>
    <row r="40" ht="24.0" customHeight="1"/>
    <row r="41" ht="24.0" customHeight="1"/>
    <row r="42" ht="24.0" customHeight="1"/>
    <row r="43" ht="24.0" customHeight="1"/>
    <row r="44" ht="24.0" customHeight="1"/>
    <row r="45" ht="24.0" customHeight="1"/>
    <row r="46" ht="24.0" customHeight="1"/>
    <row r="47" ht="24.0" customHeight="1"/>
    <row r="48" ht="24.0" customHeight="1"/>
    <row r="49" ht="24.0" customHeight="1"/>
    <row r="50" ht="24.0" customHeight="1"/>
    <row r="51" ht="24.0" customHeight="1"/>
    <row r="52" ht="24.0" customHeight="1"/>
    <row r="53" ht="24.0" customHeight="1"/>
    <row r="54" ht="24.0" customHeight="1"/>
    <row r="55" ht="24.0" customHeight="1"/>
    <row r="56" ht="24.0" customHeight="1"/>
    <row r="57" ht="24.0" customHeight="1"/>
    <row r="58" ht="24.0" customHeight="1"/>
    <row r="59" ht="24.0" customHeight="1"/>
    <row r="60" ht="24.0" customHeight="1"/>
    <row r="61" ht="24.0" customHeight="1"/>
    <row r="62" ht="24.0" customHeight="1"/>
    <row r="63" ht="24.0" customHeight="1"/>
    <row r="64" ht="24.0" customHeight="1"/>
    <row r="65" ht="24.0" customHeight="1"/>
    <row r="66" ht="24.0" customHeight="1"/>
    <row r="67" ht="24.0" customHeight="1"/>
    <row r="68" ht="24.0" customHeight="1"/>
    <row r="69" ht="24.0" customHeight="1"/>
    <row r="70" ht="24.0" customHeight="1"/>
    <row r="71" ht="24.0" customHeight="1"/>
    <row r="72" ht="24.0" customHeight="1"/>
    <row r="73" ht="24.0" customHeight="1"/>
    <row r="74" ht="24.0" customHeight="1"/>
    <row r="75" ht="24.0" customHeight="1"/>
    <row r="76" ht="24.0" customHeight="1"/>
    <row r="77" ht="24.0" customHeight="1"/>
    <row r="78" ht="24.0" customHeight="1"/>
    <row r="79" ht="24.0" customHeight="1"/>
    <row r="80" ht="24.0" customHeight="1"/>
    <row r="81" ht="24.0" customHeight="1"/>
    <row r="82" ht="24.0" customHeight="1"/>
    <row r="83" ht="24.0" customHeight="1"/>
    <row r="84" ht="24.0" customHeight="1"/>
    <row r="85" ht="24.0" customHeight="1"/>
    <row r="86" ht="24.0" customHeight="1"/>
    <row r="87" ht="24.0" customHeight="1"/>
    <row r="88" ht="24.0" customHeight="1"/>
    <row r="89" ht="24.0" customHeight="1"/>
    <row r="90" ht="24.0" customHeight="1"/>
    <row r="91" ht="24.0" customHeight="1"/>
    <row r="92" ht="24.0" customHeight="1"/>
    <row r="93" ht="24.0" customHeight="1"/>
    <row r="94" ht="24.0" customHeight="1"/>
    <row r="95" ht="24.0" customHeight="1"/>
    <row r="96" ht="24.0" customHeight="1"/>
    <row r="97" ht="24.0" customHeight="1"/>
    <row r="98" ht="24.0" customHeight="1"/>
    <row r="99" ht="24.0" customHeight="1"/>
    <row r="100" ht="24.0" customHeight="1"/>
    <row r="101" ht="24.0" customHeight="1"/>
    <row r="102" ht="24.0" customHeight="1"/>
    <row r="103" ht="24.0" customHeight="1"/>
    <row r="104" ht="24.0" customHeight="1"/>
    <row r="105" ht="24.0" customHeight="1"/>
    <row r="106" ht="24.0" customHeight="1"/>
    <row r="107" ht="24.0" customHeight="1"/>
    <row r="108" ht="24.0" customHeight="1"/>
    <row r="109" ht="24.0" customHeight="1"/>
    <row r="110" ht="24.0" customHeight="1"/>
    <row r="111" ht="24.0" customHeight="1"/>
    <row r="112" ht="24.0" customHeight="1"/>
    <row r="113" ht="24.0" customHeight="1"/>
    <row r="114" ht="24.0" customHeight="1"/>
    <row r="115" ht="24.0" customHeight="1"/>
    <row r="116" ht="24.0" customHeight="1"/>
    <row r="117" ht="24.0" customHeight="1"/>
    <row r="118" ht="24.0" customHeight="1"/>
    <row r="119" ht="24.0" customHeight="1"/>
    <row r="120" ht="24.0" customHeight="1"/>
    <row r="121" ht="24.0" customHeight="1"/>
    <row r="122" ht="24.0" customHeight="1"/>
    <row r="123" ht="24.0" customHeight="1"/>
    <row r="124" ht="24.0" customHeight="1"/>
    <row r="125" ht="24.0" customHeight="1"/>
    <row r="126" ht="24.0" customHeight="1"/>
    <row r="127" ht="24.0" customHeight="1"/>
    <row r="128" ht="24.0" customHeight="1"/>
    <row r="129" ht="24.0" customHeight="1"/>
    <row r="130" ht="24.0" customHeight="1"/>
    <row r="131" ht="24.0" customHeight="1"/>
    <row r="132" ht="24.0" customHeight="1"/>
    <row r="133" ht="24.0" customHeight="1"/>
    <row r="134" ht="24.0" customHeight="1"/>
    <row r="135" ht="24.0" customHeight="1"/>
    <row r="136" ht="24.0" customHeight="1"/>
    <row r="137" ht="24.0" customHeight="1"/>
    <row r="138" ht="24.0" customHeight="1"/>
    <row r="139" ht="24.0" customHeight="1"/>
    <row r="140" ht="24.0" customHeight="1"/>
    <row r="141" ht="24.0" customHeight="1"/>
    <row r="142" ht="24.0" customHeight="1"/>
    <row r="143" ht="24.0" customHeight="1"/>
    <row r="144" ht="24.0" customHeight="1"/>
    <row r="145" ht="24.0" customHeight="1"/>
    <row r="146" ht="24.0" customHeight="1"/>
    <row r="147" ht="24.0" customHeight="1"/>
    <row r="148" ht="24.0" customHeight="1"/>
    <row r="149" ht="24.0" customHeight="1"/>
    <row r="150" ht="24.0" customHeight="1"/>
    <row r="151" ht="24.0" customHeight="1"/>
    <row r="152" ht="24.0" customHeight="1"/>
    <row r="153" ht="24.0" customHeight="1"/>
    <row r="154" ht="24.0" customHeight="1"/>
    <row r="155" ht="24.0" customHeight="1"/>
    <row r="156" ht="24.0" customHeight="1"/>
    <row r="157" ht="24.0" customHeight="1"/>
    <row r="158" ht="24.0" customHeight="1"/>
    <row r="159" ht="24.0" customHeight="1"/>
    <row r="160" ht="24.0" customHeight="1"/>
    <row r="161" ht="24.0" customHeight="1"/>
    <row r="162" ht="24.0" customHeight="1"/>
    <row r="163" ht="24.0" customHeight="1"/>
    <row r="164" ht="24.0" customHeight="1"/>
    <row r="165" ht="24.0" customHeight="1"/>
    <row r="166" ht="24.0" customHeight="1"/>
    <row r="167" ht="24.0" customHeight="1"/>
    <row r="168" ht="24.0" customHeight="1"/>
    <row r="169" ht="24.0" customHeight="1"/>
    <row r="170" ht="24.0" customHeight="1"/>
    <row r="171" ht="24.0" customHeight="1"/>
    <row r="172" ht="24.0" customHeight="1"/>
    <row r="173" ht="24.0" customHeight="1"/>
    <row r="174" ht="24.0" customHeight="1"/>
    <row r="175" ht="24.0" customHeight="1"/>
    <row r="176" ht="24.0" customHeight="1"/>
    <row r="177" ht="24.0" customHeight="1"/>
    <row r="178" ht="24.0" customHeight="1"/>
    <row r="179" ht="24.0" customHeight="1"/>
    <row r="180" ht="24.0" customHeight="1"/>
    <row r="181" ht="24.0" customHeight="1"/>
    <row r="182" ht="24.0" customHeight="1"/>
    <row r="183" ht="24.0" customHeight="1"/>
    <row r="184" ht="24.0" customHeight="1"/>
    <row r="185" ht="24.0" customHeight="1"/>
    <row r="186" ht="24.0" customHeight="1"/>
    <row r="187" ht="24.0" customHeight="1"/>
    <row r="188" ht="24.0" customHeight="1"/>
    <row r="189" ht="24.0" customHeight="1"/>
    <row r="190" ht="24.0" customHeight="1"/>
    <row r="191" ht="24.0" customHeight="1"/>
    <row r="192" ht="24.0" customHeight="1"/>
    <row r="193" ht="24.0" customHeight="1"/>
    <row r="194" ht="24.0" customHeight="1"/>
    <row r="195" ht="24.0" customHeight="1"/>
    <row r="196" ht="24.0" customHeight="1"/>
    <row r="197" ht="24.0" customHeight="1"/>
    <row r="198" ht="24.0" customHeight="1"/>
    <row r="199" ht="24.0" customHeight="1"/>
    <row r="200" ht="24.0" customHeight="1"/>
    <row r="201" ht="24.0" customHeight="1"/>
    <row r="202" ht="24.0" customHeight="1"/>
    <row r="203" ht="24.0" customHeight="1"/>
    <row r="204" ht="24.0" customHeight="1"/>
    <row r="205" ht="24.0" customHeight="1"/>
    <row r="206" ht="24.0" customHeight="1"/>
    <row r="207" ht="24.0" customHeight="1"/>
    <row r="208" ht="24.0" customHeight="1"/>
    <row r="209" ht="24.0" customHeight="1"/>
    <row r="210" ht="24.0" customHeight="1"/>
    <row r="211" ht="24.0" customHeight="1"/>
    <row r="212" ht="24.0" customHeight="1"/>
    <row r="213" ht="24.0" customHeight="1"/>
    <row r="214" ht="24.0" customHeight="1"/>
    <row r="215" ht="24.0" customHeight="1"/>
    <row r="216" ht="24.0" customHeight="1"/>
    <row r="217" ht="24.0" customHeight="1"/>
    <row r="218" ht="24.0" customHeight="1"/>
    <row r="219" ht="24.0" customHeight="1"/>
    <row r="220" ht="24.0" customHeight="1"/>
    <row r="221" ht="24.0" customHeight="1"/>
    <row r="222" ht="24.0" customHeight="1"/>
    <row r="223" ht="24.0" customHeight="1"/>
    <row r="224" ht="24.0" customHeight="1"/>
    <row r="225" ht="24.0" customHeight="1"/>
    <row r="226" ht="24.0" customHeight="1"/>
    <row r="227" ht="24.0" customHeight="1"/>
    <row r="228" ht="24.0" customHeight="1"/>
    <row r="229" ht="24.0" customHeight="1"/>
    <row r="230" ht="24.0" customHeight="1"/>
    <row r="231" ht="24.0" customHeight="1"/>
    <row r="232" ht="24.0" customHeight="1"/>
    <row r="233" ht="24.0" customHeight="1"/>
    <row r="234" ht="24.0" customHeight="1"/>
    <row r="235" ht="24.0" customHeight="1"/>
    <row r="236" ht="24.0" customHeight="1"/>
    <row r="237" ht="24.0" customHeight="1"/>
    <row r="238" ht="24.0" customHeight="1"/>
    <row r="239" ht="24.0" customHeight="1"/>
    <row r="240" ht="24.0" customHeight="1"/>
    <row r="241" ht="24.0" customHeight="1"/>
    <row r="242" ht="24.0" customHeight="1"/>
    <row r="243" ht="24.0" customHeight="1"/>
    <row r="244" ht="24.0" customHeight="1"/>
    <row r="245" ht="24.0" customHeight="1"/>
    <row r="246" ht="24.0" customHeight="1"/>
    <row r="247" ht="24.0" customHeight="1"/>
    <row r="248" ht="24.0" customHeight="1"/>
    <row r="249" ht="24.0" customHeight="1"/>
    <row r="250" ht="24.0" customHeight="1"/>
    <row r="251" ht="24.0" customHeight="1"/>
    <row r="252" ht="24.0" customHeight="1"/>
    <row r="253" ht="24.0" customHeight="1"/>
    <row r="254" ht="24.0" customHeight="1"/>
    <row r="255" ht="24.0" customHeight="1"/>
    <row r="256" ht="24.0" customHeight="1"/>
    <row r="257" ht="24.0" customHeight="1"/>
    <row r="258" ht="24.0" customHeight="1"/>
    <row r="259" ht="24.0" customHeight="1"/>
    <row r="260" ht="24.0" customHeight="1"/>
    <row r="261" ht="24.0" customHeight="1"/>
    <row r="262" ht="24.0" customHeight="1"/>
    <row r="263" ht="24.0" customHeight="1"/>
    <row r="264" ht="24.0" customHeight="1"/>
    <row r="265" ht="24.0" customHeight="1"/>
    <row r="266" ht="24.0" customHeight="1"/>
    <row r="267" ht="24.0" customHeight="1"/>
    <row r="268" ht="24.0" customHeight="1"/>
    <row r="269" ht="24.0" customHeight="1"/>
    <row r="270" ht="24.0" customHeight="1"/>
    <row r="271" ht="24.0" customHeight="1"/>
    <row r="272" ht="24.0" customHeight="1"/>
    <row r="273" ht="24.0" customHeight="1"/>
    <row r="274" ht="24.0" customHeight="1"/>
    <row r="275" ht="24.0" customHeight="1"/>
    <row r="276" ht="24.0" customHeight="1"/>
    <row r="277" ht="24.0" customHeight="1"/>
    <row r="278" ht="24.0" customHeight="1"/>
    <row r="279" ht="24.0" customHeight="1"/>
    <row r="280" ht="24.0" customHeight="1"/>
    <row r="281" ht="24.0" customHeight="1"/>
    <row r="282" ht="24.0" customHeight="1"/>
    <row r="283" ht="24.0" customHeight="1"/>
    <row r="284" ht="24.0" customHeight="1"/>
    <row r="285" ht="24.0" customHeight="1"/>
    <row r="286" ht="24.0" customHeight="1"/>
    <row r="287" ht="24.0" customHeight="1"/>
    <row r="288" ht="24.0" customHeight="1"/>
    <row r="289" ht="24.0" customHeight="1"/>
    <row r="290" ht="24.0" customHeight="1"/>
    <row r="291" ht="24.0" customHeight="1"/>
    <row r="292" ht="24.0" customHeight="1"/>
    <row r="293" ht="24.0" customHeight="1"/>
    <row r="294" ht="24.0" customHeight="1"/>
    <row r="295" ht="24.0" customHeight="1"/>
    <row r="296" ht="24.0" customHeight="1"/>
    <row r="297" ht="24.0" customHeight="1"/>
    <row r="298" ht="24.0" customHeight="1"/>
    <row r="299" ht="24.0" customHeight="1"/>
    <row r="300" ht="24.0" customHeight="1"/>
    <row r="301" ht="24.0" customHeight="1"/>
    <row r="302" ht="24.0" customHeight="1"/>
    <row r="303" ht="24.0" customHeight="1"/>
    <row r="304" ht="24.0" customHeight="1"/>
    <row r="305" ht="24.0" customHeight="1"/>
    <row r="306" ht="24.0" customHeight="1"/>
    <row r="307" ht="24.0" customHeight="1"/>
    <row r="308" ht="24.0" customHeight="1"/>
    <row r="309" ht="24.0" customHeight="1"/>
    <row r="310" ht="24.0" customHeight="1"/>
    <row r="311" ht="24.0" customHeight="1"/>
    <row r="312" ht="24.0" customHeight="1"/>
    <row r="313" ht="24.0" customHeight="1"/>
    <row r="314" ht="24.0" customHeight="1"/>
    <row r="315" ht="24.0" customHeight="1"/>
    <row r="316" ht="24.0" customHeight="1"/>
    <row r="317" ht="24.0" customHeight="1"/>
    <row r="318" ht="24.0" customHeight="1"/>
    <row r="319" ht="24.0" customHeight="1"/>
    <row r="320" ht="24.0" customHeight="1"/>
    <row r="321" ht="24.0" customHeight="1"/>
    <row r="322" ht="24.0" customHeight="1"/>
    <row r="323" ht="24.0" customHeight="1"/>
    <row r="324" ht="24.0" customHeight="1"/>
    <row r="325" ht="24.0" customHeight="1"/>
    <row r="326" ht="24.0" customHeight="1"/>
    <row r="327" ht="24.0" customHeight="1"/>
    <row r="328" ht="24.0" customHeight="1"/>
    <row r="329" ht="24.0" customHeight="1"/>
    <row r="330" ht="24.0" customHeight="1"/>
    <row r="331" ht="24.0" customHeight="1"/>
    <row r="332" ht="24.0" customHeight="1"/>
    <row r="333" ht="24.0" customHeight="1"/>
    <row r="334" ht="24.0" customHeight="1"/>
    <row r="335" ht="24.0" customHeight="1"/>
    <row r="336" ht="24.0" customHeight="1"/>
    <row r="337" ht="24.0" customHeight="1"/>
    <row r="338" ht="24.0" customHeight="1"/>
    <row r="339" ht="24.0" customHeight="1"/>
    <row r="340" ht="24.0" customHeight="1"/>
    <row r="341" ht="24.0" customHeight="1"/>
    <row r="342" ht="24.0" customHeight="1"/>
    <row r="343" ht="24.0" customHeight="1"/>
    <row r="344" ht="24.0" customHeight="1"/>
    <row r="345" ht="24.0" customHeight="1"/>
    <row r="346" ht="24.0" customHeight="1"/>
    <row r="347" ht="24.0" customHeight="1"/>
    <row r="348" ht="24.0" customHeight="1"/>
    <row r="349" ht="24.0" customHeight="1"/>
    <row r="350" ht="24.0" customHeight="1"/>
    <row r="351" ht="24.0" customHeight="1"/>
    <row r="352" ht="24.0" customHeight="1"/>
    <row r="353" ht="24.0" customHeight="1"/>
    <row r="354" ht="24.0" customHeight="1"/>
    <row r="355" ht="24.0" customHeight="1"/>
    <row r="356" ht="24.0" customHeight="1"/>
    <row r="357" ht="24.0" customHeight="1"/>
    <row r="358" ht="24.0" customHeight="1"/>
    <row r="359" ht="24.0" customHeight="1"/>
    <row r="360" ht="24.0" customHeight="1"/>
    <row r="361" ht="24.0" customHeight="1"/>
    <row r="362" ht="24.0" customHeight="1"/>
    <row r="363" ht="24.0" customHeight="1"/>
    <row r="364" ht="24.0" customHeight="1"/>
    <row r="365" ht="24.0" customHeight="1"/>
    <row r="366" ht="24.0" customHeight="1"/>
    <row r="367" ht="24.0" customHeight="1"/>
    <row r="368" ht="24.0" customHeight="1"/>
    <row r="369" ht="24.0" customHeight="1"/>
    <row r="370" ht="24.0" customHeight="1"/>
    <row r="371" ht="24.0" customHeight="1"/>
    <row r="372" ht="24.0" customHeight="1"/>
    <row r="373" ht="24.0" customHeight="1"/>
    <row r="374" ht="24.0" customHeight="1"/>
    <row r="375" ht="24.0" customHeight="1"/>
    <row r="376" ht="24.0" customHeight="1"/>
    <row r="377" ht="24.0" customHeight="1"/>
    <row r="378" ht="24.0" customHeight="1"/>
    <row r="379" ht="24.0" customHeight="1"/>
    <row r="380" ht="24.0" customHeight="1"/>
    <row r="381" ht="24.0" customHeight="1"/>
    <row r="382" ht="24.0" customHeight="1"/>
    <row r="383" ht="24.0" customHeight="1"/>
    <row r="384" ht="24.0" customHeight="1"/>
    <row r="385" ht="24.0" customHeight="1"/>
    <row r="386" ht="24.0" customHeight="1"/>
    <row r="387" ht="24.0" customHeight="1"/>
    <row r="388" ht="24.0" customHeight="1"/>
    <row r="389" ht="24.0" customHeight="1"/>
    <row r="390" ht="24.0" customHeight="1"/>
    <row r="391" ht="24.0" customHeight="1"/>
    <row r="392" ht="24.0" customHeight="1"/>
    <row r="393" ht="24.0" customHeight="1"/>
    <row r="394" ht="24.0" customHeight="1"/>
    <row r="395" ht="24.0" customHeight="1"/>
    <row r="396" ht="24.0" customHeight="1"/>
    <row r="397" ht="24.0" customHeight="1"/>
    <row r="398" ht="24.0" customHeight="1"/>
    <row r="399" ht="24.0" customHeight="1"/>
    <row r="400" ht="24.0" customHeight="1"/>
    <row r="401" ht="24.0" customHeight="1"/>
    <row r="402" ht="24.0" customHeight="1"/>
    <row r="403" ht="24.0" customHeight="1"/>
    <row r="404" ht="24.0" customHeight="1"/>
    <row r="405" ht="24.0" customHeight="1"/>
    <row r="406" ht="24.0" customHeight="1"/>
    <row r="407" ht="24.0" customHeight="1"/>
    <row r="408" ht="24.0" customHeight="1"/>
    <row r="409" ht="24.0" customHeight="1"/>
    <row r="410" ht="24.0" customHeight="1"/>
    <row r="411" ht="24.0" customHeight="1"/>
    <row r="412" ht="24.0" customHeight="1"/>
    <row r="413" ht="24.0" customHeight="1"/>
    <row r="414" ht="24.0" customHeight="1"/>
    <row r="415" ht="24.0" customHeight="1"/>
    <row r="416" ht="24.0" customHeight="1"/>
    <row r="417" ht="24.0" customHeight="1"/>
    <row r="418" ht="24.0" customHeight="1"/>
    <row r="419" ht="24.0" customHeight="1"/>
    <row r="420" ht="24.0" customHeight="1"/>
    <row r="421" ht="24.0" customHeight="1"/>
    <row r="422" ht="24.0" customHeight="1"/>
    <row r="423" ht="24.0" customHeight="1"/>
    <row r="424" ht="24.0" customHeight="1"/>
    <row r="425" ht="24.0" customHeight="1"/>
    <row r="426" ht="24.0" customHeight="1"/>
    <row r="427" ht="24.0" customHeight="1"/>
    <row r="428" ht="24.0" customHeight="1"/>
    <row r="429" ht="24.0" customHeight="1"/>
    <row r="430" ht="24.0" customHeight="1"/>
    <row r="431" ht="24.0" customHeight="1"/>
    <row r="432" ht="24.0" customHeight="1"/>
    <row r="433" ht="24.0" customHeight="1"/>
    <row r="434" ht="24.0" customHeight="1"/>
    <row r="435" ht="24.0" customHeight="1"/>
    <row r="436" ht="24.0" customHeight="1"/>
    <row r="437" ht="24.0" customHeight="1"/>
    <row r="438" ht="24.0" customHeight="1"/>
    <row r="439" ht="24.0" customHeight="1"/>
    <row r="440" ht="24.0" customHeight="1"/>
    <row r="441" ht="24.0" customHeight="1"/>
    <row r="442" ht="24.0" customHeight="1"/>
    <row r="443" ht="24.0" customHeight="1"/>
    <row r="444" ht="24.0" customHeight="1"/>
    <row r="445" ht="24.0" customHeight="1"/>
    <row r="446" ht="24.0" customHeight="1"/>
    <row r="447" ht="24.0" customHeight="1"/>
    <row r="448" ht="24.0" customHeight="1"/>
    <row r="449" ht="24.0" customHeight="1"/>
    <row r="450" ht="24.0" customHeight="1"/>
    <row r="451" ht="24.0" customHeight="1"/>
    <row r="452" ht="24.0" customHeight="1"/>
    <row r="453" ht="24.0" customHeight="1"/>
    <row r="454" ht="24.0" customHeight="1"/>
    <row r="455" ht="24.0" customHeight="1"/>
    <row r="456" ht="24.0" customHeight="1"/>
    <row r="457" ht="24.0" customHeight="1"/>
    <row r="458" ht="24.0" customHeight="1"/>
    <row r="459" ht="24.0" customHeight="1"/>
    <row r="460" ht="24.0" customHeight="1"/>
    <row r="461" ht="24.0" customHeight="1"/>
    <row r="462" ht="24.0" customHeight="1"/>
    <row r="463" ht="24.0" customHeight="1"/>
    <row r="464" ht="24.0" customHeight="1"/>
    <row r="465" ht="24.0" customHeight="1"/>
    <row r="466" ht="24.0" customHeight="1"/>
    <row r="467" ht="24.0" customHeight="1"/>
    <row r="468" ht="24.0" customHeight="1"/>
    <row r="469" ht="24.0" customHeight="1"/>
    <row r="470" ht="24.0" customHeight="1"/>
    <row r="471" ht="24.0" customHeight="1"/>
    <row r="472" ht="24.0" customHeight="1"/>
    <row r="473" ht="24.0" customHeight="1"/>
    <row r="474" ht="24.0" customHeight="1"/>
    <row r="475" ht="24.0" customHeight="1"/>
    <row r="476" ht="24.0" customHeight="1"/>
    <row r="477" ht="24.0" customHeight="1"/>
    <row r="478" ht="24.0" customHeight="1"/>
    <row r="479" ht="24.0" customHeight="1"/>
    <row r="480" ht="24.0" customHeight="1"/>
    <row r="481" ht="24.0" customHeight="1"/>
    <row r="482" ht="24.0" customHeight="1"/>
    <row r="483" ht="24.0" customHeight="1"/>
    <row r="484" ht="24.0" customHeight="1"/>
    <row r="485" ht="24.0" customHeight="1"/>
    <row r="486" ht="24.0" customHeight="1"/>
    <row r="487" ht="24.0" customHeight="1"/>
    <row r="488" ht="24.0" customHeight="1"/>
    <row r="489" ht="24.0" customHeight="1"/>
    <row r="490" ht="24.0" customHeight="1"/>
    <row r="491" ht="24.0" customHeight="1"/>
    <row r="492" ht="24.0" customHeight="1"/>
    <row r="493" ht="24.0" customHeight="1"/>
    <row r="494" ht="24.0" customHeight="1"/>
    <row r="495" ht="24.0" customHeight="1"/>
    <row r="496" ht="24.0" customHeight="1"/>
    <row r="497" ht="24.0" customHeight="1"/>
    <row r="498" ht="24.0" customHeight="1"/>
    <row r="499" ht="24.0" customHeight="1"/>
    <row r="500" ht="24.0" customHeight="1"/>
    <row r="501" ht="24.0" customHeight="1"/>
    <row r="502" ht="24.0" customHeight="1"/>
    <row r="503" ht="24.0" customHeight="1"/>
    <row r="504" ht="24.0" customHeight="1"/>
    <row r="505" ht="24.0" customHeight="1"/>
    <row r="506" ht="24.0" customHeight="1"/>
    <row r="507" ht="24.0" customHeight="1"/>
    <row r="508" ht="24.0" customHeight="1"/>
    <row r="509" ht="24.0" customHeight="1"/>
    <row r="510" ht="24.0" customHeight="1"/>
    <row r="511" ht="24.0" customHeight="1"/>
    <row r="512" ht="24.0" customHeight="1"/>
    <row r="513" ht="24.0" customHeight="1"/>
    <row r="514" ht="24.0" customHeight="1"/>
    <row r="515" ht="24.0" customHeight="1"/>
    <row r="516" ht="24.0" customHeight="1"/>
    <row r="517" ht="24.0" customHeight="1"/>
    <row r="518" ht="24.0" customHeight="1"/>
    <row r="519" ht="24.0" customHeight="1"/>
    <row r="520" ht="24.0" customHeight="1"/>
    <row r="521" ht="24.0" customHeight="1"/>
    <row r="522" ht="24.0" customHeight="1"/>
    <row r="523" ht="24.0" customHeight="1"/>
    <row r="524" ht="24.0" customHeight="1"/>
    <row r="525" ht="24.0" customHeight="1"/>
    <row r="526" ht="24.0" customHeight="1"/>
    <row r="527" ht="24.0" customHeight="1"/>
    <row r="528" ht="24.0" customHeight="1"/>
    <row r="529" ht="24.0" customHeight="1"/>
    <row r="530" ht="24.0" customHeight="1"/>
    <row r="531" ht="24.0" customHeight="1"/>
    <row r="532" ht="24.0" customHeight="1"/>
    <row r="533" ht="24.0" customHeight="1"/>
    <row r="534" ht="24.0" customHeight="1"/>
    <row r="535" ht="24.0" customHeight="1"/>
    <row r="536" ht="24.0" customHeight="1"/>
    <row r="537" ht="24.0" customHeight="1"/>
    <row r="538" ht="24.0" customHeight="1"/>
    <row r="539" ht="24.0" customHeight="1"/>
    <row r="540" ht="24.0" customHeight="1"/>
    <row r="541" ht="24.0" customHeight="1"/>
    <row r="542" ht="24.0" customHeight="1"/>
    <row r="543" ht="24.0" customHeight="1"/>
    <row r="544" ht="24.0" customHeight="1"/>
    <row r="545" ht="24.0" customHeight="1"/>
    <row r="546" ht="24.0" customHeight="1"/>
    <row r="547" ht="24.0" customHeight="1"/>
    <row r="548" ht="24.0" customHeight="1"/>
    <row r="549" ht="24.0" customHeight="1"/>
    <row r="550" ht="24.0" customHeight="1"/>
    <row r="551" ht="24.0" customHeight="1"/>
    <row r="552" ht="24.0" customHeight="1"/>
    <row r="553" ht="24.0" customHeight="1"/>
    <row r="554" ht="24.0" customHeight="1"/>
    <row r="555" ht="24.0" customHeight="1"/>
    <row r="556" ht="24.0" customHeight="1"/>
    <row r="557" ht="24.0" customHeight="1"/>
    <row r="558" ht="24.0" customHeight="1"/>
    <row r="559" ht="24.0" customHeight="1"/>
    <row r="560" ht="24.0" customHeight="1"/>
    <row r="561" ht="24.0" customHeight="1"/>
    <row r="562" ht="24.0" customHeight="1"/>
    <row r="563" ht="24.0" customHeight="1"/>
    <row r="564" ht="24.0" customHeight="1"/>
    <row r="565" ht="24.0" customHeight="1"/>
    <row r="566" ht="24.0" customHeight="1"/>
    <row r="567" ht="24.0" customHeight="1"/>
    <row r="568" ht="24.0" customHeight="1"/>
    <row r="569" ht="24.0" customHeight="1"/>
    <row r="570" ht="24.0" customHeight="1"/>
    <row r="571" ht="24.0" customHeight="1"/>
    <row r="572" ht="24.0" customHeight="1"/>
    <row r="573" ht="24.0" customHeight="1"/>
    <row r="574" ht="24.0" customHeight="1"/>
    <row r="575" ht="24.0" customHeight="1"/>
    <row r="576" ht="24.0" customHeight="1"/>
    <row r="577" ht="24.0" customHeight="1"/>
    <row r="578" ht="24.0" customHeight="1"/>
    <row r="579" ht="24.0" customHeight="1"/>
    <row r="580" ht="24.0" customHeight="1"/>
    <row r="581" ht="24.0" customHeight="1"/>
    <row r="582" ht="24.0" customHeight="1"/>
    <row r="583" ht="24.0" customHeight="1"/>
    <row r="584" ht="24.0" customHeight="1"/>
    <row r="585" ht="24.0" customHeight="1"/>
    <row r="586" ht="24.0" customHeight="1"/>
    <row r="587" ht="24.0" customHeight="1"/>
    <row r="588" ht="24.0" customHeight="1"/>
    <row r="589" ht="24.0" customHeight="1"/>
    <row r="590" ht="24.0" customHeight="1"/>
    <row r="591" ht="24.0" customHeight="1"/>
    <row r="592" ht="24.0" customHeight="1"/>
    <row r="593" ht="24.0" customHeight="1"/>
    <row r="594" ht="24.0" customHeight="1"/>
    <row r="595" ht="24.0" customHeight="1"/>
    <row r="596" ht="24.0" customHeight="1"/>
    <row r="597" ht="24.0" customHeight="1"/>
    <row r="598" ht="24.0" customHeight="1"/>
    <row r="599" ht="24.0" customHeight="1"/>
    <row r="600" ht="24.0" customHeight="1"/>
    <row r="601" ht="24.0" customHeight="1"/>
    <row r="602" ht="24.0" customHeight="1"/>
    <row r="603" ht="24.0" customHeight="1"/>
    <row r="604" ht="24.0" customHeight="1"/>
    <row r="605" ht="24.0" customHeight="1"/>
    <row r="606" ht="24.0" customHeight="1"/>
    <row r="607" ht="24.0" customHeight="1"/>
    <row r="608" ht="24.0" customHeight="1"/>
    <row r="609" ht="24.0" customHeight="1"/>
    <row r="610" ht="24.0" customHeight="1"/>
    <row r="611" ht="24.0" customHeight="1"/>
    <row r="612" ht="24.0" customHeight="1"/>
    <row r="613" ht="24.0" customHeight="1"/>
    <row r="614" ht="24.0" customHeight="1"/>
    <row r="615" ht="24.0" customHeight="1"/>
    <row r="616" ht="24.0" customHeight="1"/>
    <row r="617" ht="24.0" customHeight="1"/>
    <row r="618" ht="24.0" customHeight="1"/>
    <row r="619" ht="24.0" customHeight="1"/>
    <row r="620" ht="24.0" customHeight="1"/>
    <row r="621" ht="24.0" customHeight="1"/>
    <row r="622" ht="24.0" customHeight="1"/>
    <row r="623" ht="24.0" customHeight="1"/>
    <row r="624" ht="24.0" customHeight="1"/>
    <row r="625" ht="24.0" customHeight="1"/>
    <row r="626" ht="24.0" customHeight="1"/>
    <row r="627" ht="24.0" customHeight="1"/>
    <row r="628" ht="24.0" customHeight="1"/>
    <row r="629" ht="24.0" customHeight="1"/>
    <row r="630" ht="24.0" customHeight="1"/>
    <row r="631" ht="24.0" customHeight="1"/>
    <row r="632" ht="24.0" customHeight="1"/>
    <row r="633" ht="24.0" customHeight="1"/>
    <row r="634" ht="24.0" customHeight="1"/>
    <row r="635" ht="24.0" customHeight="1"/>
    <row r="636" ht="24.0" customHeight="1"/>
    <row r="637" ht="24.0" customHeight="1"/>
    <row r="638" ht="24.0" customHeight="1"/>
    <row r="639" ht="24.0" customHeight="1"/>
    <row r="640" ht="24.0" customHeight="1"/>
    <row r="641" ht="24.0" customHeight="1"/>
    <row r="642" ht="24.0" customHeight="1"/>
    <row r="643" ht="24.0" customHeight="1"/>
    <row r="644" ht="24.0" customHeight="1"/>
    <row r="645" ht="24.0" customHeight="1"/>
    <row r="646" ht="24.0" customHeight="1"/>
    <row r="647" ht="24.0" customHeight="1"/>
    <row r="648" ht="24.0" customHeight="1"/>
    <row r="649" ht="24.0" customHeight="1"/>
    <row r="650" ht="24.0" customHeight="1"/>
    <row r="651" ht="24.0" customHeight="1"/>
    <row r="652" ht="24.0" customHeight="1"/>
    <row r="653" ht="24.0" customHeight="1"/>
    <row r="654" ht="24.0" customHeight="1"/>
    <row r="655" ht="24.0" customHeight="1"/>
    <row r="656" ht="24.0" customHeight="1"/>
    <row r="657" ht="24.0" customHeight="1"/>
    <row r="658" ht="24.0" customHeight="1"/>
    <row r="659" ht="24.0" customHeight="1"/>
    <row r="660" ht="24.0" customHeight="1"/>
    <row r="661" ht="24.0" customHeight="1"/>
    <row r="662" ht="24.0" customHeight="1"/>
    <row r="663" ht="24.0" customHeight="1"/>
    <row r="664" ht="24.0" customHeight="1"/>
    <row r="665" ht="24.0" customHeight="1"/>
    <row r="666" ht="24.0" customHeight="1"/>
    <row r="667" ht="24.0" customHeight="1"/>
    <row r="668" ht="24.0" customHeight="1"/>
    <row r="669" ht="24.0" customHeight="1"/>
    <row r="670" ht="24.0" customHeight="1"/>
    <row r="671" ht="24.0" customHeight="1"/>
    <row r="672" ht="24.0" customHeight="1"/>
    <row r="673" ht="24.0" customHeight="1"/>
    <row r="674" ht="24.0" customHeight="1"/>
    <row r="675" ht="24.0" customHeight="1"/>
    <row r="676" ht="24.0" customHeight="1"/>
    <row r="677" ht="24.0" customHeight="1"/>
    <row r="678" ht="24.0" customHeight="1"/>
    <row r="679" ht="24.0" customHeight="1"/>
    <row r="680" ht="24.0" customHeight="1"/>
    <row r="681" ht="24.0" customHeight="1"/>
    <row r="682" ht="24.0" customHeight="1"/>
    <row r="683" ht="24.0" customHeight="1"/>
    <row r="684" ht="24.0" customHeight="1"/>
    <row r="685" ht="24.0" customHeight="1"/>
    <row r="686" ht="24.0" customHeight="1"/>
    <row r="687" ht="24.0" customHeight="1"/>
    <row r="688" ht="24.0" customHeight="1"/>
    <row r="689" ht="24.0" customHeight="1"/>
    <row r="690" ht="24.0" customHeight="1"/>
    <row r="691" ht="24.0" customHeight="1"/>
    <row r="692" ht="24.0" customHeight="1"/>
    <row r="693" ht="24.0" customHeight="1"/>
    <row r="694" ht="24.0" customHeight="1"/>
    <row r="695" ht="24.0" customHeight="1"/>
    <row r="696" ht="24.0" customHeight="1"/>
    <row r="697" ht="24.0" customHeight="1"/>
    <row r="698" ht="24.0" customHeight="1"/>
    <row r="699" ht="24.0" customHeight="1"/>
    <row r="700" ht="24.0" customHeight="1"/>
    <row r="701" ht="24.0" customHeight="1"/>
    <row r="702" ht="24.0" customHeight="1"/>
    <row r="703" ht="24.0" customHeight="1"/>
    <row r="704" ht="24.0" customHeight="1"/>
    <row r="705" ht="24.0" customHeight="1"/>
    <row r="706" ht="24.0" customHeight="1"/>
    <row r="707" ht="24.0" customHeight="1"/>
    <row r="708" ht="24.0" customHeight="1"/>
    <row r="709" ht="24.0" customHeight="1"/>
    <row r="710" ht="24.0" customHeight="1"/>
    <row r="711" ht="24.0" customHeight="1"/>
    <row r="712" ht="24.0" customHeight="1"/>
    <row r="713" ht="24.0" customHeight="1"/>
    <row r="714" ht="24.0" customHeight="1"/>
    <row r="715" ht="24.0" customHeight="1"/>
    <row r="716" ht="24.0" customHeight="1"/>
    <row r="717" ht="24.0" customHeight="1"/>
    <row r="718" ht="24.0" customHeight="1"/>
    <row r="719" ht="24.0" customHeight="1"/>
    <row r="720" ht="24.0" customHeight="1"/>
    <row r="721" ht="24.0" customHeight="1"/>
    <row r="722" ht="24.0" customHeight="1"/>
    <row r="723" ht="24.0" customHeight="1"/>
    <row r="724" ht="24.0" customHeight="1"/>
    <row r="725" ht="24.0" customHeight="1"/>
    <row r="726" ht="24.0" customHeight="1"/>
    <row r="727" ht="24.0" customHeight="1"/>
    <row r="728" ht="24.0" customHeight="1"/>
    <row r="729" ht="24.0" customHeight="1"/>
    <row r="730" ht="24.0" customHeight="1"/>
    <row r="731" ht="24.0" customHeight="1"/>
    <row r="732" ht="24.0" customHeight="1"/>
    <row r="733" ht="24.0" customHeight="1"/>
    <row r="734" ht="24.0" customHeight="1"/>
    <row r="735" ht="24.0" customHeight="1"/>
    <row r="736" ht="24.0" customHeight="1"/>
    <row r="737" ht="24.0" customHeight="1"/>
    <row r="738" ht="24.0" customHeight="1"/>
    <row r="739" ht="24.0" customHeight="1"/>
    <row r="740" ht="24.0" customHeight="1"/>
    <row r="741" ht="24.0" customHeight="1"/>
    <row r="742" ht="24.0" customHeight="1"/>
    <row r="743" ht="24.0" customHeight="1"/>
    <row r="744" ht="24.0" customHeight="1"/>
    <row r="745" ht="24.0" customHeight="1"/>
    <row r="746" ht="24.0" customHeight="1"/>
    <row r="747" ht="24.0" customHeight="1"/>
    <row r="748" ht="24.0" customHeight="1"/>
    <row r="749" ht="24.0" customHeight="1"/>
    <row r="750" ht="24.0" customHeight="1"/>
    <row r="751" ht="24.0" customHeight="1"/>
    <row r="752" ht="24.0" customHeight="1"/>
    <row r="753" ht="24.0" customHeight="1"/>
    <row r="754" ht="24.0" customHeight="1"/>
    <row r="755" ht="24.0" customHeight="1"/>
    <row r="756" ht="24.0" customHeight="1"/>
    <row r="757" ht="24.0" customHeight="1"/>
    <row r="758" ht="24.0" customHeight="1"/>
    <row r="759" ht="24.0" customHeight="1"/>
    <row r="760" ht="24.0" customHeight="1"/>
    <row r="761" ht="24.0" customHeight="1"/>
    <row r="762" ht="24.0" customHeight="1"/>
    <row r="763" ht="24.0" customHeight="1"/>
    <row r="764" ht="24.0" customHeight="1"/>
    <row r="765" ht="24.0" customHeight="1"/>
    <row r="766" ht="24.0" customHeight="1"/>
    <row r="767" ht="24.0" customHeight="1"/>
    <row r="768" ht="24.0" customHeight="1"/>
    <row r="769" ht="24.0" customHeight="1"/>
    <row r="770" ht="24.0" customHeight="1"/>
    <row r="771" ht="24.0" customHeight="1"/>
    <row r="772" ht="24.0" customHeight="1"/>
    <row r="773" ht="24.0" customHeight="1"/>
    <row r="774" ht="24.0" customHeight="1"/>
    <row r="775" ht="24.0" customHeight="1"/>
    <row r="776" ht="24.0" customHeight="1"/>
    <row r="777" ht="24.0" customHeight="1"/>
    <row r="778" ht="24.0" customHeight="1"/>
    <row r="779" ht="24.0" customHeight="1"/>
    <row r="780" ht="24.0" customHeight="1"/>
    <row r="781" ht="24.0" customHeight="1"/>
    <row r="782" ht="24.0" customHeight="1"/>
    <row r="783" ht="24.0" customHeight="1"/>
    <row r="784" ht="24.0" customHeight="1"/>
    <row r="785" ht="24.0" customHeight="1"/>
    <row r="786" ht="24.0" customHeight="1"/>
    <row r="787" ht="24.0" customHeight="1"/>
    <row r="788" ht="24.0" customHeight="1"/>
    <row r="789" ht="24.0" customHeight="1"/>
    <row r="790" ht="24.0" customHeight="1"/>
    <row r="791" ht="24.0" customHeight="1"/>
    <row r="792" ht="24.0" customHeight="1"/>
    <row r="793" ht="24.0" customHeight="1"/>
    <row r="794" ht="24.0" customHeight="1"/>
    <row r="795" ht="24.0" customHeight="1"/>
    <row r="796" ht="24.0" customHeight="1"/>
    <row r="797" ht="24.0" customHeight="1"/>
    <row r="798" ht="24.0" customHeight="1"/>
    <row r="799" ht="24.0" customHeight="1"/>
    <row r="800" ht="24.0" customHeight="1"/>
    <row r="801" ht="24.0" customHeight="1"/>
    <row r="802" ht="24.0" customHeight="1"/>
    <row r="803" ht="24.0" customHeight="1"/>
    <row r="804" ht="24.0" customHeight="1"/>
    <row r="805" ht="24.0" customHeight="1"/>
    <row r="806" ht="24.0" customHeight="1"/>
    <row r="807" ht="24.0" customHeight="1"/>
    <row r="808" ht="24.0" customHeight="1"/>
    <row r="809" ht="24.0" customHeight="1"/>
    <row r="810" ht="24.0" customHeight="1"/>
    <row r="811" ht="24.0" customHeight="1"/>
    <row r="812" ht="24.0" customHeight="1"/>
    <row r="813" ht="24.0" customHeight="1"/>
    <row r="814" ht="24.0" customHeight="1"/>
    <row r="815" ht="24.0" customHeight="1"/>
    <row r="816" ht="24.0" customHeight="1"/>
    <row r="817" ht="24.0" customHeight="1"/>
    <row r="818" ht="24.0" customHeight="1"/>
    <row r="819" ht="24.0" customHeight="1"/>
    <row r="820" ht="24.0" customHeight="1"/>
    <row r="821" ht="24.0" customHeight="1"/>
    <row r="822" ht="24.0" customHeight="1"/>
    <row r="823" ht="24.0" customHeight="1"/>
    <row r="824" ht="24.0" customHeight="1"/>
    <row r="825" ht="24.0" customHeight="1"/>
    <row r="826" ht="24.0" customHeight="1"/>
    <row r="827" ht="24.0" customHeight="1"/>
    <row r="828" ht="24.0" customHeight="1"/>
    <row r="829" ht="24.0" customHeight="1"/>
    <row r="830" ht="24.0" customHeight="1"/>
    <row r="831" ht="24.0" customHeight="1"/>
    <row r="832" ht="24.0" customHeight="1"/>
    <row r="833" ht="24.0" customHeight="1"/>
    <row r="834" ht="24.0" customHeight="1"/>
    <row r="835" ht="24.0" customHeight="1"/>
    <row r="836" ht="24.0" customHeight="1"/>
    <row r="837" ht="24.0" customHeight="1"/>
    <row r="838" ht="24.0" customHeight="1"/>
    <row r="839" ht="24.0" customHeight="1"/>
    <row r="840" ht="24.0" customHeight="1"/>
    <row r="841" ht="24.0" customHeight="1"/>
    <row r="842" ht="24.0" customHeight="1"/>
    <row r="843" ht="24.0" customHeight="1"/>
    <row r="844" ht="24.0" customHeight="1"/>
    <row r="845" ht="24.0" customHeight="1"/>
    <row r="846" ht="24.0" customHeight="1"/>
    <row r="847" ht="24.0" customHeight="1"/>
    <row r="848" ht="24.0" customHeight="1"/>
    <row r="849" ht="24.0" customHeight="1"/>
    <row r="850" ht="24.0" customHeight="1"/>
    <row r="851" ht="24.0" customHeight="1"/>
    <row r="852" ht="24.0" customHeight="1"/>
    <row r="853" ht="24.0" customHeight="1"/>
    <row r="854" ht="24.0" customHeight="1"/>
    <row r="855" ht="24.0" customHeight="1"/>
    <row r="856" ht="24.0" customHeight="1"/>
    <row r="857" ht="24.0" customHeight="1"/>
    <row r="858" ht="24.0" customHeight="1"/>
    <row r="859" ht="24.0" customHeight="1"/>
    <row r="860" ht="24.0" customHeight="1"/>
    <row r="861" ht="24.0" customHeight="1"/>
    <row r="862" ht="24.0" customHeight="1"/>
    <row r="863" ht="24.0" customHeight="1"/>
    <row r="864" ht="24.0" customHeight="1"/>
    <row r="865" ht="24.0" customHeight="1"/>
    <row r="866" ht="24.0" customHeight="1"/>
    <row r="867" ht="24.0" customHeight="1"/>
    <row r="868" ht="24.0" customHeight="1"/>
    <row r="869" ht="24.0" customHeight="1"/>
    <row r="870" ht="24.0" customHeight="1"/>
    <row r="871" ht="24.0" customHeight="1"/>
    <row r="872" ht="24.0" customHeight="1"/>
    <row r="873" ht="24.0" customHeight="1"/>
    <row r="874" ht="24.0" customHeight="1"/>
    <row r="875" ht="24.0" customHeight="1"/>
    <row r="876" ht="24.0" customHeight="1"/>
    <row r="877" ht="24.0" customHeight="1"/>
    <row r="878" ht="24.0" customHeight="1"/>
    <row r="879" ht="24.0" customHeight="1"/>
    <row r="880" ht="24.0" customHeight="1"/>
    <row r="881" ht="24.0" customHeight="1"/>
    <row r="882" ht="24.0" customHeight="1"/>
    <row r="883" ht="24.0" customHeight="1"/>
    <row r="884" ht="24.0" customHeight="1"/>
    <row r="885" ht="24.0" customHeight="1"/>
    <row r="886" ht="24.0" customHeight="1"/>
    <row r="887" ht="24.0" customHeight="1"/>
    <row r="888" ht="24.0" customHeight="1"/>
    <row r="889" ht="24.0" customHeight="1"/>
    <row r="890" ht="24.0" customHeight="1"/>
    <row r="891" ht="24.0" customHeight="1"/>
    <row r="892" ht="24.0" customHeight="1"/>
    <row r="893" ht="24.0" customHeight="1"/>
    <row r="894" ht="24.0" customHeight="1"/>
    <row r="895" ht="24.0" customHeight="1"/>
    <row r="896" ht="24.0" customHeight="1"/>
    <row r="897" ht="24.0" customHeight="1"/>
    <row r="898" ht="24.0" customHeight="1"/>
    <row r="899" ht="24.0" customHeight="1"/>
    <row r="900" ht="24.0" customHeight="1"/>
    <row r="901" ht="24.0" customHeight="1"/>
    <row r="902" ht="24.0" customHeight="1"/>
    <row r="903" ht="24.0" customHeight="1"/>
    <row r="904" ht="24.0" customHeight="1"/>
    <row r="905" ht="24.0" customHeight="1"/>
    <row r="906" ht="24.0" customHeight="1"/>
    <row r="907" ht="24.0" customHeight="1"/>
    <row r="908" ht="24.0" customHeight="1"/>
    <row r="909" ht="24.0" customHeight="1"/>
    <row r="910" ht="24.0" customHeight="1"/>
    <row r="911" ht="24.0" customHeight="1"/>
    <row r="912" ht="24.0" customHeight="1"/>
    <row r="913" ht="24.0" customHeight="1"/>
    <row r="914" ht="24.0" customHeight="1"/>
    <row r="915" ht="24.0" customHeight="1"/>
    <row r="916" ht="24.0" customHeight="1"/>
    <row r="917" ht="24.0" customHeight="1"/>
    <row r="918" ht="24.0" customHeight="1"/>
    <row r="919" ht="24.0" customHeight="1"/>
    <row r="920" ht="24.0" customHeight="1"/>
    <row r="921" ht="24.0" customHeight="1"/>
    <row r="922" ht="24.0" customHeight="1"/>
    <row r="923" ht="24.0" customHeight="1"/>
    <row r="924" ht="24.0" customHeight="1"/>
    <row r="925" ht="24.0" customHeight="1"/>
    <row r="926" ht="24.0" customHeight="1"/>
    <row r="927" ht="24.0" customHeight="1"/>
    <row r="928" ht="24.0" customHeight="1"/>
    <row r="929" ht="24.0" customHeight="1"/>
    <row r="930" ht="24.0" customHeight="1"/>
    <row r="931" ht="24.0" customHeight="1"/>
    <row r="932" ht="24.0" customHeight="1"/>
    <row r="933" ht="24.0" customHeight="1"/>
    <row r="934" ht="24.0" customHeight="1"/>
    <row r="935" ht="24.0" customHeight="1"/>
    <row r="936" ht="24.0" customHeight="1"/>
    <row r="937" ht="24.0" customHeight="1"/>
    <row r="938" ht="24.0" customHeight="1"/>
    <row r="939" ht="24.0" customHeight="1"/>
    <row r="940" ht="24.0" customHeight="1"/>
    <row r="941" ht="24.0" customHeight="1"/>
    <row r="942" ht="24.0" customHeight="1"/>
    <row r="943" ht="24.0" customHeight="1"/>
    <row r="944" ht="24.0" customHeight="1"/>
    <row r="945" ht="24.0" customHeight="1"/>
    <row r="946" ht="24.0" customHeight="1"/>
    <row r="947" ht="24.0" customHeight="1"/>
    <row r="948" ht="24.0" customHeight="1"/>
    <row r="949" ht="24.0" customHeight="1"/>
    <row r="950" ht="24.0" customHeight="1"/>
    <row r="951" ht="24.0" customHeight="1"/>
    <row r="952" ht="24.0" customHeight="1"/>
    <row r="953" ht="24.0" customHeight="1"/>
    <row r="954" ht="24.0" customHeight="1"/>
    <row r="955" ht="24.0" customHeight="1"/>
    <row r="956" ht="24.0" customHeight="1"/>
    <row r="957" ht="24.0" customHeight="1"/>
    <row r="958" ht="24.0" customHeight="1"/>
    <row r="959" ht="24.0" customHeight="1"/>
    <row r="960" ht="24.0" customHeight="1"/>
    <row r="961" ht="24.0" customHeight="1"/>
    <row r="962" ht="24.0" customHeight="1"/>
    <row r="963" ht="24.0" customHeight="1"/>
    <row r="964" ht="24.0" customHeight="1"/>
    <row r="965" ht="24.0" customHeight="1"/>
    <row r="966" ht="24.0" customHeight="1"/>
    <row r="967" ht="24.0" customHeight="1"/>
    <row r="968" ht="24.0" customHeight="1"/>
    <row r="969" ht="24.0" customHeight="1"/>
    <row r="970" ht="24.0" customHeight="1"/>
    <row r="971" ht="24.0" customHeight="1"/>
    <row r="972" ht="24.0" customHeight="1"/>
    <row r="973" ht="24.0" customHeight="1"/>
    <row r="974" ht="24.0" customHeight="1"/>
    <row r="975" ht="24.0" customHeight="1"/>
    <row r="976" ht="24.0" customHeight="1"/>
    <row r="977" ht="24.0" customHeight="1"/>
    <row r="978" ht="24.0" customHeight="1"/>
    <row r="979" ht="24.0" customHeight="1"/>
    <row r="980" ht="24.0" customHeight="1"/>
    <row r="981" ht="24.0" customHeight="1"/>
    <row r="982" ht="24.0" customHeight="1"/>
    <row r="983" ht="24.0" customHeight="1"/>
    <row r="984" ht="24.0" customHeight="1"/>
    <row r="985" ht="24.0" customHeight="1"/>
    <row r="986" ht="24.0" customHeight="1"/>
    <row r="987" ht="24.0" customHeight="1"/>
    <row r="988" ht="24.0" customHeight="1"/>
    <row r="989" ht="24.0" customHeight="1"/>
    <row r="990" ht="24.0" customHeight="1"/>
    <row r="991" ht="24.0" customHeight="1"/>
    <row r="992" ht="24.0" customHeight="1"/>
    <row r="993" ht="24.0" customHeight="1"/>
    <row r="994" ht="24.0" customHeight="1"/>
    <row r="995" ht="24.0" customHeight="1"/>
    <row r="996" ht="24.0" customHeight="1"/>
    <row r="997" ht="24.0" customHeight="1"/>
    <row r="998" ht="24.0" customHeight="1"/>
    <row r="999" ht="24.0" customHeight="1"/>
    <row r="1000" ht="24.0" customHeight="1"/>
  </sheetData>
  <mergeCells count="17">
    <mergeCell ref="B1:F1"/>
    <mergeCell ref="B2:E2"/>
    <mergeCell ref="B3:E3"/>
    <mergeCell ref="B4:E4"/>
    <mergeCell ref="B5:E5"/>
    <mergeCell ref="B6:E6"/>
    <mergeCell ref="B7:E7"/>
    <mergeCell ref="A17:F17"/>
    <mergeCell ref="A18:F18"/>
    <mergeCell ref="A19:F19"/>
    <mergeCell ref="B8:E8"/>
    <mergeCell ref="B9:E9"/>
    <mergeCell ref="B10:E10"/>
    <mergeCell ref="B11:E11"/>
    <mergeCell ref="B14:F14"/>
    <mergeCell ref="A15:F15"/>
    <mergeCell ref="A16:F16"/>
  </mergeCells>
  <printOptions/>
  <pageMargins bottom="0.75" footer="0.0" header="0.0" left="0.25" right="0.25" top="0.75"/>
  <pageSetup fitToHeight="0" paperSize="9" orientation="portrait"/>
  <headerFooter>
    <oddFooter>&amp;Cעמוד &amp;P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v>4.0</v>
      </c>
      <c r="C1" s="1" t="s">
        <v>1</v>
      </c>
      <c r="D1" s="1" t="s">
        <v>2</v>
      </c>
      <c r="E1" s="1" t="s">
        <v>3</v>
      </c>
      <c r="F1" s="1" t="s">
        <v>4</v>
      </c>
      <c r="G1" s="1" t="s">
        <v>6</v>
      </c>
    </row>
    <row r="2">
      <c r="A2" s="1" t="s">
        <v>7</v>
      </c>
      <c r="B2" s="1" t="s">
        <v>8</v>
      </c>
      <c r="C2" s="4" t="s">
        <v>10</v>
      </c>
      <c r="D2" s="1" t="s">
        <v>12</v>
      </c>
    </row>
    <row r="3">
      <c r="A3" s="1" t="s">
        <v>13</v>
      </c>
      <c r="B3" s="1" t="s">
        <v>14</v>
      </c>
      <c r="C3" s="1" t="s">
        <v>16</v>
      </c>
      <c r="D3" s="1" t="s">
        <v>17</v>
      </c>
    </row>
    <row r="4">
      <c r="A4" s="1" t="s">
        <v>18</v>
      </c>
      <c r="B4" s="4" t="s">
        <v>19</v>
      </c>
      <c r="C4" s="1">
        <v>0.0</v>
      </c>
      <c r="D4" s="1" t="s">
        <v>20</v>
      </c>
    </row>
    <row r="5">
      <c r="A5" s="1" t="s">
        <v>21</v>
      </c>
      <c r="B5" s="4" t="s">
        <v>22</v>
      </c>
      <c r="C5" s="1">
        <v>1.0</v>
      </c>
      <c r="D5" s="1" t="s">
        <v>23</v>
      </c>
    </row>
    <row r="6">
      <c r="A6" s="1" t="s">
        <v>24</v>
      </c>
      <c r="B6" s="4" t="s">
        <v>25</v>
      </c>
      <c r="C6" s="1">
        <v>1.0</v>
      </c>
      <c r="D6" s="1" t="s">
        <v>26</v>
      </c>
    </row>
    <row r="7">
      <c r="A7" s="1" t="s">
        <v>27</v>
      </c>
      <c r="B7" s="4" t="s">
        <v>28</v>
      </c>
      <c r="C7" s="1">
        <v>1.0</v>
      </c>
      <c r="D7" s="1" t="s">
        <v>29</v>
      </c>
    </row>
    <row r="8">
      <c r="A8" s="1" t="s">
        <v>31</v>
      </c>
      <c r="B8" s="4" t="s">
        <v>32</v>
      </c>
      <c r="C8" s="1">
        <v>0.0</v>
      </c>
      <c r="D8" s="1" t="s">
        <v>33</v>
      </c>
    </row>
    <row r="9">
      <c r="A9" s="1" t="s">
        <v>34</v>
      </c>
      <c r="B9" s="4" t="s">
        <v>35</v>
      </c>
      <c r="C9" s="1">
        <v>1.0</v>
      </c>
      <c r="D9" s="1" t="s">
        <v>36</v>
      </c>
    </row>
    <row r="10">
      <c r="A10" s="1" t="s">
        <v>37</v>
      </c>
      <c r="B10" s="4" t="s">
        <v>38</v>
      </c>
      <c r="C10" s="1">
        <v>1.0</v>
      </c>
      <c r="D10" s="1" t="s">
        <v>39</v>
      </c>
    </row>
    <row r="11">
      <c r="A11" s="1" t="s">
        <v>40</v>
      </c>
      <c r="B11" s="4" t="s">
        <v>41</v>
      </c>
      <c r="C11" s="1">
        <v>1.0</v>
      </c>
      <c r="D11" s="1" t="s">
        <v>42</v>
      </c>
    </row>
    <row r="12">
      <c r="A12" s="1" t="s">
        <v>43</v>
      </c>
      <c r="B12" s="4" t="s">
        <v>44</v>
      </c>
      <c r="C12" s="1">
        <v>1.0</v>
      </c>
      <c r="D12" s="1" t="s">
        <v>45</v>
      </c>
    </row>
    <row r="13">
      <c r="A13" s="1" t="s">
        <v>46</v>
      </c>
      <c r="B13" s="4" t="s">
        <v>48</v>
      </c>
      <c r="C13" s="1">
        <v>1.0</v>
      </c>
      <c r="D13" s="1" t="s">
        <v>49</v>
      </c>
    </row>
    <row r="14">
      <c r="A14" s="1" t="s">
        <v>50</v>
      </c>
      <c r="B14" s="4" t="s">
        <v>51</v>
      </c>
      <c r="C14" s="1">
        <v>1.0</v>
      </c>
      <c r="D14" s="1" t="s">
        <v>54</v>
      </c>
    </row>
    <row r="15">
      <c r="A15" s="1" t="s">
        <v>55</v>
      </c>
      <c r="B15" s="4" t="s">
        <v>57</v>
      </c>
      <c r="C15" s="1">
        <v>0.0</v>
      </c>
      <c r="D15" s="1" t="s">
        <v>58</v>
      </c>
    </row>
    <row r="16">
      <c r="A16" s="1" t="s">
        <v>60</v>
      </c>
      <c r="B16" s="4" t="s">
        <v>61</v>
      </c>
      <c r="C16" s="1">
        <v>0.0</v>
      </c>
      <c r="D16" s="1" t="s">
        <v>63</v>
      </c>
    </row>
    <row r="17">
      <c r="A17" s="1" t="s">
        <v>64</v>
      </c>
      <c r="B17" s="4" t="s">
        <v>65</v>
      </c>
      <c r="C17" s="1">
        <v>0.0</v>
      </c>
      <c r="D17" s="1" t="s">
        <v>66</v>
      </c>
    </row>
    <row r="18">
      <c r="A18" s="1" t="s">
        <v>68</v>
      </c>
      <c r="B18" s="4" t="s">
        <v>69</v>
      </c>
      <c r="C18" s="1">
        <v>0.0</v>
      </c>
      <c r="D18" s="1" t="s">
        <v>70</v>
      </c>
    </row>
    <row r="19">
      <c r="A19" s="1" t="s">
        <v>71</v>
      </c>
      <c r="B19" s="4" t="s">
        <v>73</v>
      </c>
      <c r="C19" s="1">
        <v>0.0</v>
      </c>
      <c r="D19" s="1" t="s">
        <v>75</v>
      </c>
    </row>
    <row r="20">
      <c r="A20" s="1" t="s">
        <v>77</v>
      </c>
      <c r="B20" s="4" t="s">
        <v>78</v>
      </c>
      <c r="C20" s="1">
        <v>0.0</v>
      </c>
      <c r="D20" s="1" t="s">
        <v>80</v>
      </c>
    </row>
    <row r="21" ht="15.75" customHeight="1">
      <c r="A21" s="1" t="s">
        <v>82</v>
      </c>
      <c r="B21" s="4" t="s">
        <v>83</v>
      </c>
      <c r="C21" s="1">
        <v>0.0</v>
      </c>
      <c r="D21" s="1" t="s">
        <v>85</v>
      </c>
    </row>
    <row r="22" ht="15.75" customHeight="1">
      <c r="A22" s="1" t="s">
        <v>87</v>
      </c>
      <c r="B22" s="4" t="s">
        <v>88</v>
      </c>
      <c r="C22" s="1">
        <v>0.0</v>
      </c>
      <c r="D22" s="1" t="s">
        <v>90</v>
      </c>
    </row>
    <row r="23" ht="15.75" customHeight="1">
      <c r="A23" s="1" t="s">
        <v>92</v>
      </c>
      <c r="B23" s="4" t="s">
        <v>93</v>
      </c>
      <c r="C23" s="1">
        <v>0.0</v>
      </c>
      <c r="D23" s="1" t="s">
        <v>94</v>
      </c>
    </row>
    <row r="24" ht="15.75" customHeight="1">
      <c r="A24" s="1" t="s">
        <v>96</v>
      </c>
      <c r="B24" s="4" t="s">
        <v>98</v>
      </c>
      <c r="C24" s="1">
        <v>0.0</v>
      </c>
      <c r="D24" s="1" t="s">
        <v>99</v>
      </c>
    </row>
    <row r="25" ht="15.75" customHeight="1">
      <c r="A25" s="1" t="s">
        <v>100</v>
      </c>
      <c r="B25" s="4" t="s">
        <v>101</v>
      </c>
      <c r="C25" s="1">
        <v>0.0</v>
      </c>
      <c r="D25" s="1" t="s">
        <v>103</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rightToLeft="1" workbookViewId="0"/>
  </sheetViews>
  <sheetFormatPr customHeight="1" defaultColWidth="14.43" defaultRowHeight="15.0"/>
  <cols>
    <col customWidth="1" min="1" max="1" width="7.29"/>
    <col customWidth="1" min="2" max="2" width="66.29"/>
    <col customWidth="1" min="3" max="6" width="8.14"/>
    <col customWidth="1" hidden="1" min="7" max="7" width="36.0"/>
    <col customWidth="1" hidden="1" min="8" max="8" width="12.0"/>
    <col customWidth="1" min="9" max="26" width="8.71"/>
  </cols>
  <sheetData>
    <row r="1" ht="31.5" customHeight="1">
      <c r="A1" s="10"/>
      <c r="B1" s="3" t="s">
        <v>19</v>
      </c>
      <c r="G1" s="2" t="s">
        <v>18</v>
      </c>
      <c r="H1" s="2" t="s">
        <v>53</v>
      </c>
    </row>
    <row r="2" ht="31.5" customHeight="1">
      <c r="A2" s="16" t="s">
        <v>59</v>
      </c>
      <c r="B2" s="17" t="s">
        <v>67</v>
      </c>
      <c r="C2" s="16" t="s">
        <v>72</v>
      </c>
      <c r="D2" s="16" t="s">
        <v>76</v>
      </c>
      <c r="E2" s="16" t="s">
        <v>79</v>
      </c>
      <c r="F2" s="16" t="s">
        <v>81</v>
      </c>
      <c r="G2" s="2"/>
      <c r="H2" s="2" t="s">
        <v>84</v>
      </c>
    </row>
    <row r="3" ht="63.75" customHeight="1">
      <c r="A3" s="19"/>
      <c r="B3" s="20" t="s">
        <v>95</v>
      </c>
      <c r="C3" s="19"/>
      <c r="D3" s="19"/>
      <c r="E3" s="19"/>
      <c r="F3" s="19"/>
      <c r="G3" s="12" t="s">
        <v>102</v>
      </c>
      <c r="H3" s="12" t="s">
        <v>105</v>
      </c>
    </row>
    <row r="4" ht="30.0" customHeight="1">
      <c r="A4" s="19"/>
      <c r="B4" s="20" t="s">
        <v>107</v>
      </c>
      <c r="C4" s="19" t="s">
        <v>108</v>
      </c>
      <c r="D4" s="19">
        <v>0.0</v>
      </c>
      <c r="E4" s="21">
        <v>0.0</v>
      </c>
      <c r="F4" s="21">
        <f t="shared" ref="F4:F11" si="1">IF(ISBLANK(D4),"",IF(NOT(ISNUMBER(D4)),"קלט לא תקין",IF(D4&lt;0,"קלט לא תקין",IF(ISBLANK(E4),"",IF(OR(E4="כלול",E4="לא רלוונטי"),0,IF(NOT(ISNUMBER(E4)),"קלט לא תקין",IF(E4&lt;0,"קלט לא תקין",ROUND(D4*E4,2))))))))</f>
        <v>0</v>
      </c>
      <c r="G4" s="12" t="s">
        <v>112</v>
      </c>
      <c r="H4" s="12" t="s">
        <v>113</v>
      </c>
    </row>
    <row r="5" ht="46.5" customHeight="1">
      <c r="A5" s="19"/>
      <c r="B5" s="20" t="s">
        <v>114</v>
      </c>
      <c r="C5" s="19" t="s">
        <v>108</v>
      </c>
      <c r="D5" s="19"/>
      <c r="E5" s="22"/>
      <c r="F5" s="22" t="str">
        <f t="shared" si="1"/>
        <v/>
      </c>
      <c r="G5" s="12" t="s">
        <v>115</v>
      </c>
      <c r="H5" s="12" t="s">
        <v>113</v>
      </c>
    </row>
    <row r="6" ht="46.5" customHeight="1">
      <c r="A6" s="19"/>
      <c r="B6" s="20" t="s">
        <v>116</v>
      </c>
      <c r="C6" s="19" t="s">
        <v>108</v>
      </c>
      <c r="D6" s="19"/>
      <c r="E6" s="22"/>
      <c r="F6" s="22" t="str">
        <f t="shared" si="1"/>
        <v/>
      </c>
      <c r="G6" s="12" t="s">
        <v>117</v>
      </c>
      <c r="H6" s="12" t="s">
        <v>113</v>
      </c>
    </row>
    <row r="7" ht="46.5" customHeight="1">
      <c r="A7" s="19"/>
      <c r="B7" s="20" t="s">
        <v>118</v>
      </c>
      <c r="C7" s="19" t="s">
        <v>119</v>
      </c>
      <c r="D7" s="19"/>
      <c r="E7" s="22"/>
      <c r="F7" s="22" t="str">
        <f t="shared" si="1"/>
        <v/>
      </c>
      <c r="G7" s="12" t="s">
        <v>120</v>
      </c>
      <c r="H7" s="12" t="s">
        <v>113</v>
      </c>
    </row>
    <row r="8" ht="46.5" customHeight="1">
      <c r="A8" s="19"/>
      <c r="B8" s="20" t="s">
        <v>121</v>
      </c>
      <c r="C8" s="19" t="s">
        <v>119</v>
      </c>
      <c r="D8" s="19"/>
      <c r="E8" s="22"/>
      <c r="F8" s="22" t="str">
        <f t="shared" si="1"/>
        <v/>
      </c>
      <c r="G8" s="12" t="s">
        <v>122</v>
      </c>
      <c r="H8" s="12" t="s">
        <v>113</v>
      </c>
    </row>
    <row r="9" ht="46.5" customHeight="1">
      <c r="A9" s="19"/>
      <c r="B9" s="20" t="s">
        <v>123</v>
      </c>
      <c r="C9" s="19" t="s">
        <v>119</v>
      </c>
      <c r="D9" s="19"/>
      <c r="E9" s="22"/>
      <c r="F9" s="22" t="str">
        <f t="shared" si="1"/>
        <v/>
      </c>
      <c r="G9" s="12" t="s">
        <v>124</v>
      </c>
      <c r="H9" s="12" t="s">
        <v>113</v>
      </c>
    </row>
    <row r="10" ht="46.5" customHeight="1">
      <c r="A10" s="19"/>
      <c r="B10" s="20" t="s">
        <v>125</v>
      </c>
      <c r="C10" s="19" t="s">
        <v>126</v>
      </c>
      <c r="D10" s="19"/>
      <c r="E10" s="22"/>
      <c r="F10" s="22" t="str">
        <f t="shared" si="1"/>
        <v/>
      </c>
      <c r="G10" s="12" t="s">
        <v>127</v>
      </c>
      <c r="H10" s="12" t="s">
        <v>113</v>
      </c>
    </row>
    <row r="11" ht="46.5" customHeight="1">
      <c r="A11" s="19"/>
      <c r="B11" s="20" t="s">
        <v>128</v>
      </c>
      <c r="C11" s="19" t="s">
        <v>119</v>
      </c>
      <c r="D11" s="19"/>
      <c r="E11" s="22"/>
      <c r="F11" s="22" t="str">
        <f t="shared" si="1"/>
        <v/>
      </c>
      <c r="G11" s="12" t="s">
        <v>129</v>
      </c>
      <c r="H11" s="12" t="s">
        <v>113</v>
      </c>
    </row>
    <row r="12" ht="201.75" customHeight="1">
      <c r="A12" s="19"/>
      <c r="B12" s="20"/>
      <c r="C12" s="19"/>
      <c r="D12" s="19"/>
      <c r="E12" s="19"/>
      <c r="F12" s="19"/>
      <c r="G12" s="12"/>
      <c r="H12" s="12" t="s">
        <v>86</v>
      </c>
    </row>
    <row r="13" ht="31.5" customHeight="1">
      <c r="A13" s="6"/>
      <c r="B13" s="7" t="s">
        <v>130</v>
      </c>
      <c r="C13" s="8"/>
      <c r="D13" s="8"/>
      <c r="E13" s="9"/>
      <c r="F13" s="23">
        <f>SUM(F4,F5,F6,F7,F8,F9,F10,F11)</f>
        <v>0</v>
      </c>
      <c r="G13" s="12"/>
      <c r="H13" s="12" t="s">
        <v>136</v>
      </c>
    </row>
    <row r="14" ht="24.0" customHeight="1"/>
    <row r="15" ht="24.0" customHeight="1"/>
    <row r="16" ht="24.0" customHeight="1"/>
    <row r="17" ht="24.0" customHeight="1"/>
    <row r="18" ht="24.0" customHeight="1"/>
    <row r="19" ht="24.0" customHeight="1"/>
    <row r="20" ht="24.0" customHeight="1"/>
    <row r="21" ht="24.0" customHeight="1"/>
    <row r="22" ht="24.0" customHeight="1"/>
    <row r="23" ht="24.0" customHeight="1"/>
    <row r="24" ht="24.0" customHeight="1"/>
    <row r="25" ht="24.0" customHeight="1"/>
    <row r="26" ht="24.0" customHeight="1"/>
    <row r="27" ht="24.0" customHeight="1"/>
    <row r="28" ht="24.0" customHeight="1"/>
    <row r="29" ht="24.0" customHeight="1"/>
    <row r="30" ht="24.0" customHeight="1"/>
    <row r="31" ht="24.0" customHeight="1"/>
    <row r="32" ht="24.0" customHeight="1"/>
    <row r="33" ht="24.0" customHeight="1"/>
    <row r="34" ht="24.0" customHeight="1"/>
    <row r="35" ht="24.0" customHeight="1"/>
    <row r="36" ht="24.0" customHeight="1"/>
    <row r="37" ht="24.0" customHeight="1"/>
    <row r="38" ht="24.0" customHeight="1"/>
    <row r="39" ht="24.0" customHeight="1"/>
    <row r="40" ht="24.0" customHeight="1"/>
    <row r="41" ht="24.0" customHeight="1"/>
    <row r="42" ht="24.0" customHeight="1"/>
    <row r="43" ht="24.0" customHeight="1"/>
    <row r="44" ht="24.0" customHeight="1"/>
    <row r="45" ht="24.0" customHeight="1"/>
    <row r="46" ht="24.0" customHeight="1"/>
    <row r="47" ht="24.0" customHeight="1"/>
    <row r="48" ht="24.0" customHeight="1"/>
    <row r="49" ht="24.0" customHeight="1"/>
    <row r="50" ht="24.0" customHeight="1"/>
    <row r="51" ht="24.0" customHeight="1"/>
    <row r="52" ht="24.0" customHeight="1"/>
    <row r="53" ht="24.0" customHeight="1"/>
    <row r="54" ht="24.0" customHeight="1"/>
    <row r="55" ht="24.0" customHeight="1"/>
    <row r="56" ht="24.0" customHeight="1"/>
    <row r="57" ht="24.0" customHeight="1"/>
    <row r="58" ht="24.0" customHeight="1"/>
    <row r="59" ht="24.0" customHeight="1"/>
    <row r="60" ht="24.0" customHeight="1"/>
    <row r="61" ht="24.0" customHeight="1"/>
    <row r="62" ht="24.0" customHeight="1"/>
    <row r="63" ht="24.0" customHeight="1"/>
    <row r="64" ht="24.0" customHeight="1"/>
    <row r="65" ht="24.0" customHeight="1"/>
    <row r="66" ht="24.0" customHeight="1"/>
    <row r="67" ht="24.0" customHeight="1"/>
    <row r="68" ht="24.0" customHeight="1"/>
    <row r="69" ht="24.0" customHeight="1"/>
    <row r="70" ht="24.0" customHeight="1"/>
    <row r="71" ht="24.0" customHeight="1"/>
    <row r="72" ht="24.0" customHeight="1"/>
    <row r="73" ht="24.0" customHeight="1"/>
    <row r="74" ht="24.0" customHeight="1"/>
    <row r="75" ht="24.0" customHeight="1"/>
    <row r="76" ht="24.0" customHeight="1"/>
    <row r="77" ht="24.0" customHeight="1"/>
    <row r="78" ht="24.0" customHeight="1"/>
    <row r="79" ht="24.0" customHeight="1"/>
    <row r="80" ht="24.0" customHeight="1"/>
    <row r="81" ht="24.0" customHeight="1"/>
    <row r="82" ht="24.0" customHeight="1"/>
    <row r="83" ht="24.0" customHeight="1"/>
    <row r="84" ht="24.0" customHeight="1"/>
    <row r="85" ht="24.0" customHeight="1"/>
    <row r="86" ht="24.0" customHeight="1"/>
    <row r="87" ht="24.0" customHeight="1"/>
    <row r="88" ht="24.0" customHeight="1"/>
    <row r="89" ht="24.0" customHeight="1"/>
    <row r="90" ht="24.0" customHeight="1"/>
    <row r="91" ht="24.0" customHeight="1"/>
    <row r="92" ht="24.0" customHeight="1"/>
    <row r="93" ht="24.0" customHeight="1"/>
    <row r="94" ht="24.0" customHeight="1"/>
    <row r="95" ht="24.0" customHeight="1"/>
    <row r="96" ht="24.0" customHeight="1"/>
    <row r="97" ht="24.0" customHeight="1"/>
    <row r="98" ht="24.0" customHeight="1"/>
    <row r="99" ht="24.0" customHeight="1"/>
    <row r="100" ht="24.0" customHeight="1"/>
    <row r="101" ht="24.0" customHeight="1"/>
    <row r="102" ht="24.0" customHeight="1"/>
    <row r="103" ht="24.0" customHeight="1"/>
    <row r="104" ht="24.0" customHeight="1"/>
    <row r="105" ht="24.0" customHeight="1"/>
    <row r="106" ht="24.0" customHeight="1"/>
    <row r="107" ht="24.0" customHeight="1"/>
    <row r="108" ht="24.0" customHeight="1"/>
    <row r="109" ht="24.0" customHeight="1"/>
    <row r="110" ht="24.0" customHeight="1"/>
    <row r="111" ht="24.0" customHeight="1"/>
    <row r="112" ht="24.0" customHeight="1"/>
    <row r="113" ht="24.0" customHeight="1"/>
    <row r="114" ht="24.0" customHeight="1"/>
    <row r="115" ht="24.0" customHeight="1"/>
    <row r="116" ht="24.0" customHeight="1"/>
    <row r="117" ht="24.0" customHeight="1"/>
    <row r="118" ht="24.0" customHeight="1"/>
    <row r="119" ht="24.0" customHeight="1"/>
    <row r="120" ht="24.0" customHeight="1"/>
    <row r="121" ht="24.0" customHeight="1"/>
    <row r="122" ht="24.0" customHeight="1"/>
    <row r="123" ht="24.0" customHeight="1"/>
    <row r="124" ht="24.0" customHeight="1"/>
    <row r="125" ht="24.0" customHeight="1"/>
    <row r="126" ht="24.0" customHeight="1"/>
    <row r="127" ht="24.0" customHeight="1"/>
    <row r="128" ht="24.0" customHeight="1"/>
    <row r="129" ht="24.0" customHeight="1"/>
    <row r="130" ht="24.0" customHeight="1"/>
    <row r="131" ht="24.0" customHeight="1"/>
    <row r="132" ht="24.0" customHeight="1"/>
    <row r="133" ht="24.0" customHeight="1"/>
    <row r="134" ht="24.0" customHeight="1"/>
    <row r="135" ht="24.0" customHeight="1"/>
    <row r="136" ht="24.0" customHeight="1"/>
    <row r="137" ht="24.0" customHeight="1"/>
    <row r="138" ht="24.0" customHeight="1"/>
    <row r="139" ht="24.0" customHeight="1"/>
    <row r="140" ht="24.0" customHeight="1"/>
    <row r="141" ht="24.0" customHeight="1"/>
    <row r="142" ht="24.0" customHeight="1"/>
    <row r="143" ht="24.0" customHeight="1"/>
    <row r="144" ht="24.0" customHeight="1"/>
    <row r="145" ht="24.0" customHeight="1"/>
    <row r="146" ht="24.0" customHeight="1"/>
    <row r="147" ht="24.0" customHeight="1"/>
    <row r="148" ht="24.0" customHeight="1"/>
    <row r="149" ht="24.0" customHeight="1"/>
    <row r="150" ht="24.0" customHeight="1"/>
    <row r="151" ht="24.0" customHeight="1"/>
    <row r="152" ht="24.0" customHeight="1"/>
    <row r="153" ht="24.0" customHeight="1"/>
    <row r="154" ht="24.0" customHeight="1"/>
    <row r="155" ht="24.0" customHeight="1"/>
    <row r="156" ht="24.0" customHeight="1"/>
    <row r="157" ht="24.0" customHeight="1"/>
    <row r="158" ht="24.0" customHeight="1"/>
    <row r="159" ht="24.0" customHeight="1"/>
    <row r="160" ht="24.0" customHeight="1"/>
    <row r="161" ht="24.0" customHeight="1"/>
    <row r="162" ht="24.0" customHeight="1"/>
    <row r="163" ht="24.0" customHeight="1"/>
    <row r="164" ht="24.0" customHeight="1"/>
    <row r="165" ht="24.0" customHeight="1"/>
    <row r="166" ht="24.0" customHeight="1"/>
    <row r="167" ht="24.0" customHeight="1"/>
    <row r="168" ht="24.0" customHeight="1"/>
    <row r="169" ht="24.0" customHeight="1"/>
    <row r="170" ht="24.0" customHeight="1"/>
    <row r="171" ht="24.0" customHeight="1"/>
    <row r="172" ht="24.0" customHeight="1"/>
    <row r="173" ht="24.0" customHeight="1"/>
    <row r="174" ht="24.0" customHeight="1"/>
    <row r="175" ht="24.0" customHeight="1"/>
    <row r="176" ht="24.0" customHeight="1"/>
    <row r="177" ht="24.0" customHeight="1"/>
    <row r="178" ht="24.0" customHeight="1"/>
    <row r="179" ht="24.0" customHeight="1"/>
    <row r="180" ht="24.0" customHeight="1"/>
    <row r="181" ht="24.0" customHeight="1"/>
    <row r="182" ht="24.0" customHeight="1"/>
    <row r="183" ht="24.0" customHeight="1"/>
    <row r="184" ht="24.0" customHeight="1"/>
    <row r="185" ht="24.0" customHeight="1"/>
    <row r="186" ht="24.0" customHeight="1"/>
    <row r="187" ht="24.0" customHeight="1"/>
    <row r="188" ht="24.0" customHeight="1"/>
    <row r="189" ht="24.0" customHeight="1"/>
    <row r="190" ht="24.0" customHeight="1"/>
    <row r="191" ht="24.0" customHeight="1"/>
    <row r="192" ht="24.0" customHeight="1"/>
    <row r="193" ht="24.0" customHeight="1"/>
    <row r="194" ht="24.0" customHeight="1"/>
    <row r="195" ht="24.0" customHeight="1"/>
    <row r="196" ht="24.0" customHeight="1"/>
    <row r="197" ht="24.0" customHeight="1"/>
    <row r="198" ht="24.0" customHeight="1"/>
    <row r="199" ht="24.0" customHeight="1"/>
    <row r="200" ht="24.0" customHeight="1"/>
    <row r="201" ht="24.0" customHeight="1"/>
    <row r="202" ht="24.0" customHeight="1"/>
    <row r="203" ht="24.0" customHeight="1"/>
    <row r="204" ht="24.0" customHeight="1"/>
    <row r="205" ht="24.0" customHeight="1"/>
    <row r="206" ht="24.0" customHeight="1"/>
    <row r="207" ht="24.0" customHeight="1"/>
    <row r="208" ht="24.0" customHeight="1"/>
    <row r="209" ht="24.0" customHeight="1"/>
    <row r="210" ht="24.0" customHeight="1"/>
    <row r="211" ht="24.0" customHeight="1"/>
    <row r="212" ht="24.0" customHeight="1"/>
    <row r="213" ht="24.0" customHeight="1"/>
    <row r="214" ht="24.0" customHeight="1"/>
    <row r="215" ht="24.0" customHeight="1"/>
    <row r="216" ht="24.0" customHeight="1"/>
    <row r="217" ht="24.0" customHeight="1"/>
    <row r="218" ht="24.0" customHeight="1"/>
    <row r="219" ht="24.0" customHeight="1"/>
    <row r="220" ht="24.0" customHeight="1"/>
    <row r="221" ht="24.0" customHeight="1"/>
    <row r="222" ht="24.0" customHeight="1"/>
    <row r="223" ht="24.0" customHeight="1"/>
    <row r="224" ht="24.0" customHeight="1"/>
    <row r="225" ht="24.0" customHeight="1"/>
    <row r="226" ht="24.0" customHeight="1"/>
    <row r="227" ht="24.0" customHeight="1"/>
    <row r="228" ht="24.0" customHeight="1"/>
    <row r="229" ht="24.0" customHeight="1"/>
    <row r="230" ht="24.0" customHeight="1"/>
    <row r="231" ht="24.0" customHeight="1"/>
    <row r="232" ht="24.0" customHeight="1"/>
    <row r="233" ht="24.0" customHeight="1"/>
    <row r="234" ht="24.0" customHeight="1"/>
    <row r="235" ht="24.0" customHeight="1"/>
    <row r="236" ht="24.0" customHeight="1"/>
    <row r="237" ht="24.0" customHeight="1"/>
    <row r="238" ht="24.0" customHeight="1"/>
    <row r="239" ht="24.0" customHeight="1"/>
    <row r="240" ht="24.0" customHeight="1"/>
    <row r="241" ht="24.0" customHeight="1"/>
    <row r="242" ht="24.0" customHeight="1"/>
    <row r="243" ht="24.0" customHeight="1"/>
    <row r="244" ht="24.0" customHeight="1"/>
    <row r="245" ht="24.0" customHeight="1"/>
    <row r="246" ht="24.0" customHeight="1"/>
    <row r="247" ht="24.0" customHeight="1"/>
    <row r="248" ht="24.0" customHeight="1"/>
    <row r="249" ht="24.0" customHeight="1"/>
    <row r="250" ht="24.0" customHeight="1"/>
    <row r="251" ht="24.0" customHeight="1"/>
    <row r="252" ht="24.0" customHeight="1"/>
    <row r="253" ht="24.0" customHeight="1"/>
    <row r="254" ht="24.0" customHeight="1"/>
    <row r="255" ht="24.0" customHeight="1"/>
    <row r="256" ht="24.0" customHeight="1"/>
    <row r="257" ht="24.0" customHeight="1"/>
    <row r="258" ht="24.0" customHeight="1"/>
    <row r="259" ht="24.0" customHeight="1"/>
    <row r="260" ht="24.0" customHeight="1"/>
    <row r="261" ht="24.0" customHeight="1"/>
    <row r="262" ht="24.0" customHeight="1"/>
    <row r="263" ht="24.0" customHeight="1"/>
    <row r="264" ht="24.0" customHeight="1"/>
    <row r="265" ht="24.0" customHeight="1"/>
    <row r="266" ht="24.0" customHeight="1"/>
    <row r="267" ht="24.0" customHeight="1"/>
    <row r="268" ht="24.0" customHeight="1"/>
    <row r="269" ht="24.0" customHeight="1"/>
    <row r="270" ht="24.0" customHeight="1"/>
    <row r="271" ht="24.0" customHeight="1"/>
    <row r="272" ht="24.0" customHeight="1"/>
    <row r="273" ht="24.0" customHeight="1"/>
    <row r="274" ht="24.0" customHeight="1"/>
    <row r="275" ht="24.0" customHeight="1"/>
    <row r="276" ht="24.0" customHeight="1"/>
    <row r="277" ht="24.0" customHeight="1"/>
    <row r="278" ht="24.0" customHeight="1"/>
    <row r="279" ht="24.0" customHeight="1"/>
    <row r="280" ht="24.0" customHeight="1"/>
    <row r="281" ht="24.0" customHeight="1"/>
    <row r="282" ht="24.0" customHeight="1"/>
    <row r="283" ht="24.0" customHeight="1"/>
    <row r="284" ht="24.0" customHeight="1"/>
    <row r="285" ht="24.0" customHeight="1"/>
    <row r="286" ht="24.0" customHeight="1"/>
    <row r="287" ht="24.0" customHeight="1"/>
    <row r="288" ht="24.0" customHeight="1"/>
    <row r="289" ht="24.0" customHeight="1"/>
    <row r="290" ht="24.0" customHeight="1"/>
    <row r="291" ht="24.0" customHeight="1"/>
    <row r="292" ht="24.0" customHeight="1"/>
    <row r="293" ht="24.0" customHeight="1"/>
    <row r="294" ht="24.0" customHeight="1"/>
    <row r="295" ht="24.0" customHeight="1"/>
    <row r="296" ht="24.0" customHeight="1"/>
    <row r="297" ht="24.0" customHeight="1"/>
    <row r="298" ht="24.0" customHeight="1"/>
    <row r="299" ht="24.0" customHeight="1"/>
    <row r="300" ht="24.0" customHeight="1"/>
    <row r="301" ht="24.0" customHeight="1"/>
    <row r="302" ht="24.0" customHeight="1"/>
    <row r="303" ht="24.0" customHeight="1"/>
    <row r="304" ht="24.0" customHeight="1"/>
    <row r="305" ht="24.0" customHeight="1"/>
    <row r="306" ht="24.0" customHeight="1"/>
    <row r="307" ht="24.0" customHeight="1"/>
    <row r="308" ht="24.0" customHeight="1"/>
    <row r="309" ht="24.0" customHeight="1"/>
    <row r="310" ht="24.0" customHeight="1"/>
    <row r="311" ht="24.0" customHeight="1"/>
    <row r="312" ht="24.0" customHeight="1"/>
    <row r="313" ht="24.0" customHeight="1"/>
    <row r="314" ht="24.0" customHeight="1"/>
    <row r="315" ht="24.0" customHeight="1"/>
    <row r="316" ht="24.0" customHeight="1"/>
    <row r="317" ht="24.0" customHeight="1"/>
    <row r="318" ht="24.0" customHeight="1"/>
    <row r="319" ht="24.0" customHeight="1"/>
    <row r="320" ht="24.0" customHeight="1"/>
    <row r="321" ht="24.0" customHeight="1"/>
    <row r="322" ht="24.0" customHeight="1"/>
    <row r="323" ht="24.0" customHeight="1"/>
    <row r="324" ht="24.0" customHeight="1"/>
    <row r="325" ht="24.0" customHeight="1"/>
    <row r="326" ht="24.0" customHeight="1"/>
    <row r="327" ht="24.0" customHeight="1"/>
    <row r="328" ht="24.0" customHeight="1"/>
    <row r="329" ht="24.0" customHeight="1"/>
    <row r="330" ht="24.0" customHeight="1"/>
    <row r="331" ht="24.0" customHeight="1"/>
    <row r="332" ht="24.0" customHeight="1"/>
    <row r="333" ht="24.0" customHeight="1"/>
    <row r="334" ht="24.0" customHeight="1"/>
    <row r="335" ht="24.0" customHeight="1"/>
    <row r="336" ht="24.0" customHeight="1"/>
    <row r="337" ht="24.0" customHeight="1"/>
    <row r="338" ht="24.0" customHeight="1"/>
    <row r="339" ht="24.0" customHeight="1"/>
    <row r="340" ht="24.0" customHeight="1"/>
    <row r="341" ht="24.0" customHeight="1"/>
    <row r="342" ht="24.0" customHeight="1"/>
    <row r="343" ht="24.0" customHeight="1"/>
    <row r="344" ht="24.0" customHeight="1"/>
    <row r="345" ht="24.0" customHeight="1"/>
    <row r="346" ht="24.0" customHeight="1"/>
    <row r="347" ht="24.0" customHeight="1"/>
    <row r="348" ht="24.0" customHeight="1"/>
    <row r="349" ht="24.0" customHeight="1"/>
    <row r="350" ht="24.0" customHeight="1"/>
    <row r="351" ht="24.0" customHeight="1"/>
    <row r="352" ht="24.0" customHeight="1"/>
    <row r="353" ht="24.0" customHeight="1"/>
    <row r="354" ht="24.0" customHeight="1"/>
    <row r="355" ht="24.0" customHeight="1"/>
    <row r="356" ht="24.0" customHeight="1"/>
    <row r="357" ht="24.0" customHeight="1"/>
    <row r="358" ht="24.0" customHeight="1"/>
    <row r="359" ht="24.0" customHeight="1"/>
    <row r="360" ht="24.0" customHeight="1"/>
    <row r="361" ht="24.0" customHeight="1"/>
    <row r="362" ht="24.0" customHeight="1"/>
    <row r="363" ht="24.0" customHeight="1"/>
    <row r="364" ht="24.0" customHeight="1"/>
    <row r="365" ht="24.0" customHeight="1"/>
    <row r="366" ht="24.0" customHeight="1"/>
    <row r="367" ht="24.0" customHeight="1"/>
    <row r="368" ht="24.0" customHeight="1"/>
    <row r="369" ht="24.0" customHeight="1"/>
    <row r="370" ht="24.0" customHeight="1"/>
    <row r="371" ht="24.0" customHeight="1"/>
    <row r="372" ht="24.0" customHeight="1"/>
    <row r="373" ht="24.0" customHeight="1"/>
    <row r="374" ht="24.0" customHeight="1"/>
    <row r="375" ht="24.0" customHeight="1"/>
    <row r="376" ht="24.0" customHeight="1"/>
    <row r="377" ht="24.0" customHeight="1"/>
    <row r="378" ht="24.0" customHeight="1"/>
    <row r="379" ht="24.0" customHeight="1"/>
    <row r="380" ht="24.0" customHeight="1"/>
    <row r="381" ht="24.0" customHeight="1"/>
    <row r="382" ht="24.0" customHeight="1"/>
    <row r="383" ht="24.0" customHeight="1"/>
    <row r="384" ht="24.0" customHeight="1"/>
    <row r="385" ht="24.0" customHeight="1"/>
    <row r="386" ht="24.0" customHeight="1"/>
    <row r="387" ht="24.0" customHeight="1"/>
    <row r="388" ht="24.0" customHeight="1"/>
    <row r="389" ht="24.0" customHeight="1"/>
    <row r="390" ht="24.0" customHeight="1"/>
    <row r="391" ht="24.0" customHeight="1"/>
    <row r="392" ht="24.0" customHeight="1"/>
    <row r="393" ht="24.0" customHeight="1"/>
    <row r="394" ht="24.0" customHeight="1"/>
    <row r="395" ht="24.0" customHeight="1"/>
    <row r="396" ht="24.0" customHeight="1"/>
    <row r="397" ht="24.0" customHeight="1"/>
    <row r="398" ht="24.0" customHeight="1"/>
    <row r="399" ht="24.0" customHeight="1"/>
    <row r="400" ht="24.0" customHeight="1"/>
    <row r="401" ht="24.0" customHeight="1"/>
    <row r="402" ht="24.0" customHeight="1"/>
    <row r="403" ht="24.0" customHeight="1"/>
    <row r="404" ht="24.0" customHeight="1"/>
    <row r="405" ht="24.0" customHeight="1"/>
    <row r="406" ht="24.0" customHeight="1"/>
    <row r="407" ht="24.0" customHeight="1"/>
    <row r="408" ht="24.0" customHeight="1"/>
    <row r="409" ht="24.0" customHeight="1"/>
    <row r="410" ht="24.0" customHeight="1"/>
    <row r="411" ht="24.0" customHeight="1"/>
    <row r="412" ht="24.0" customHeight="1"/>
    <row r="413" ht="24.0" customHeight="1"/>
    <row r="414" ht="24.0" customHeight="1"/>
    <row r="415" ht="24.0" customHeight="1"/>
    <row r="416" ht="24.0" customHeight="1"/>
    <row r="417" ht="24.0" customHeight="1"/>
    <row r="418" ht="24.0" customHeight="1"/>
    <row r="419" ht="24.0" customHeight="1"/>
    <row r="420" ht="24.0" customHeight="1"/>
    <row r="421" ht="24.0" customHeight="1"/>
    <row r="422" ht="24.0" customHeight="1"/>
    <row r="423" ht="24.0" customHeight="1"/>
    <row r="424" ht="24.0" customHeight="1"/>
    <row r="425" ht="24.0" customHeight="1"/>
    <row r="426" ht="24.0" customHeight="1"/>
    <row r="427" ht="24.0" customHeight="1"/>
    <row r="428" ht="24.0" customHeight="1"/>
    <row r="429" ht="24.0" customHeight="1"/>
    <row r="430" ht="24.0" customHeight="1"/>
    <row r="431" ht="24.0" customHeight="1"/>
    <row r="432" ht="24.0" customHeight="1"/>
    <row r="433" ht="24.0" customHeight="1"/>
    <row r="434" ht="24.0" customHeight="1"/>
    <row r="435" ht="24.0" customHeight="1"/>
    <row r="436" ht="24.0" customHeight="1"/>
    <row r="437" ht="24.0" customHeight="1"/>
    <row r="438" ht="24.0" customHeight="1"/>
    <row r="439" ht="24.0" customHeight="1"/>
    <row r="440" ht="24.0" customHeight="1"/>
    <row r="441" ht="24.0" customHeight="1"/>
    <row r="442" ht="24.0" customHeight="1"/>
    <row r="443" ht="24.0" customHeight="1"/>
    <row r="444" ht="24.0" customHeight="1"/>
    <row r="445" ht="24.0" customHeight="1"/>
    <row r="446" ht="24.0" customHeight="1"/>
    <row r="447" ht="24.0" customHeight="1"/>
    <row r="448" ht="24.0" customHeight="1"/>
    <row r="449" ht="24.0" customHeight="1"/>
    <row r="450" ht="24.0" customHeight="1"/>
    <row r="451" ht="24.0" customHeight="1"/>
    <row r="452" ht="24.0" customHeight="1"/>
    <row r="453" ht="24.0" customHeight="1"/>
    <row r="454" ht="24.0" customHeight="1"/>
    <row r="455" ht="24.0" customHeight="1"/>
    <row r="456" ht="24.0" customHeight="1"/>
    <row r="457" ht="24.0" customHeight="1"/>
    <row r="458" ht="24.0" customHeight="1"/>
    <row r="459" ht="24.0" customHeight="1"/>
    <row r="460" ht="24.0" customHeight="1"/>
    <row r="461" ht="24.0" customHeight="1"/>
    <row r="462" ht="24.0" customHeight="1"/>
    <row r="463" ht="24.0" customHeight="1"/>
    <row r="464" ht="24.0" customHeight="1"/>
    <row r="465" ht="24.0" customHeight="1"/>
    <row r="466" ht="24.0" customHeight="1"/>
    <row r="467" ht="24.0" customHeight="1"/>
    <row r="468" ht="24.0" customHeight="1"/>
    <row r="469" ht="24.0" customHeight="1"/>
    <row r="470" ht="24.0" customHeight="1"/>
    <row r="471" ht="24.0" customHeight="1"/>
    <row r="472" ht="24.0" customHeight="1"/>
    <row r="473" ht="24.0" customHeight="1"/>
    <row r="474" ht="24.0" customHeight="1"/>
    <row r="475" ht="24.0" customHeight="1"/>
    <row r="476" ht="24.0" customHeight="1"/>
    <row r="477" ht="24.0" customHeight="1"/>
    <row r="478" ht="24.0" customHeight="1"/>
    <row r="479" ht="24.0" customHeight="1"/>
    <row r="480" ht="24.0" customHeight="1"/>
    <row r="481" ht="24.0" customHeight="1"/>
    <row r="482" ht="24.0" customHeight="1"/>
    <row r="483" ht="24.0" customHeight="1"/>
    <row r="484" ht="24.0" customHeight="1"/>
    <row r="485" ht="24.0" customHeight="1"/>
    <row r="486" ht="24.0" customHeight="1"/>
    <row r="487" ht="24.0" customHeight="1"/>
    <row r="488" ht="24.0" customHeight="1"/>
    <row r="489" ht="24.0" customHeight="1"/>
    <row r="490" ht="24.0" customHeight="1"/>
    <row r="491" ht="24.0" customHeight="1"/>
    <row r="492" ht="24.0" customHeight="1"/>
    <row r="493" ht="24.0" customHeight="1"/>
    <row r="494" ht="24.0" customHeight="1"/>
    <row r="495" ht="24.0" customHeight="1"/>
    <row r="496" ht="24.0" customHeight="1"/>
    <row r="497" ht="24.0" customHeight="1"/>
    <row r="498" ht="24.0" customHeight="1"/>
    <row r="499" ht="24.0" customHeight="1"/>
    <row r="500" ht="24.0" customHeight="1"/>
    <row r="501" ht="24.0" customHeight="1"/>
    <row r="502" ht="24.0" customHeight="1"/>
    <row r="503" ht="24.0" customHeight="1"/>
    <row r="504" ht="24.0" customHeight="1"/>
    <row r="505" ht="24.0" customHeight="1"/>
    <row r="506" ht="24.0" customHeight="1"/>
    <row r="507" ht="24.0" customHeight="1"/>
    <row r="508" ht="24.0" customHeight="1"/>
    <row r="509" ht="24.0" customHeight="1"/>
    <row r="510" ht="24.0" customHeight="1"/>
    <row r="511" ht="24.0" customHeight="1"/>
    <row r="512" ht="24.0" customHeight="1"/>
    <row r="513" ht="24.0" customHeight="1"/>
    <row r="514" ht="24.0" customHeight="1"/>
    <row r="515" ht="24.0" customHeight="1"/>
    <row r="516" ht="24.0" customHeight="1"/>
    <row r="517" ht="24.0" customHeight="1"/>
    <row r="518" ht="24.0" customHeight="1"/>
    <row r="519" ht="24.0" customHeight="1"/>
    <row r="520" ht="24.0" customHeight="1"/>
    <row r="521" ht="24.0" customHeight="1"/>
    <row r="522" ht="24.0" customHeight="1"/>
    <row r="523" ht="24.0" customHeight="1"/>
    <row r="524" ht="24.0" customHeight="1"/>
    <row r="525" ht="24.0" customHeight="1"/>
    <row r="526" ht="24.0" customHeight="1"/>
    <row r="527" ht="24.0" customHeight="1"/>
    <row r="528" ht="24.0" customHeight="1"/>
    <row r="529" ht="24.0" customHeight="1"/>
    <row r="530" ht="24.0" customHeight="1"/>
    <row r="531" ht="24.0" customHeight="1"/>
    <row r="532" ht="24.0" customHeight="1"/>
    <row r="533" ht="24.0" customHeight="1"/>
    <row r="534" ht="24.0" customHeight="1"/>
    <row r="535" ht="24.0" customHeight="1"/>
    <row r="536" ht="24.0" customHeight="1"/>
    <row r="537" ht="24.0" customHeight="1"/>
    <row r="538" ht="24.0" customHeight="1"/>
    <row r="539" ht="24.0" customHeight="1"/>
    <row r="540" ht="24.0" customHeight="1"/>
    <row r="541" ht="24.0" customHeight="1"/>
    <row r="542" ht="24.0" customHeight="1"/>
    <row r="543" ht="24.0" customHeight="1"/>
    <row r="544" ht="24.0" customHeight="1"/>
    <row r="545" ht="24.0" customHeight="1"/>
    <row r="546" ht="24.0" customHeight="1"/>
    <row r="547" ht="24.0" customHeight="1"/>
    <row r="548" ht="24.0" customHeight="1"/>
    <row r="549" ht="24.0" customHeight="1"/>
    <row r="550" ht="24.0" customHeight="1"/>
    <row r="551" ht="24.0" customHeight="1"/>
    <row r="552" ht="24.0" customHeight="1"/>
    <row r="553" ht="24.0" customHeight="1"/>
    <row r="554" ht="24.0" customHeight="1"/>
    <row r="555" ht="24.0" customHeight="1"/>
    <row r="556" ht="24.0" customHeight="1"/>
    <row r="557" ht="24.0" customHeight="1"/>
    <row r="558" ht="24.0" customHeight="1"/>
    <row r="559" ht="24.0" customHeight="1"/>
    <row r="560" ht="24.0" customHeight="1"/>
    <row r="561" ht="24.0" customHeight="1"/>
    <row r="562" ht="24.0" customHeight="1"/>
    <row r="563" ht="24.0" customHeight="1"/>
    <row r="564" ht="24.0" customHeight="1"/>
    <row r="565" ht="24.0" customHeight="1"/>
    <row r="566" ht="24.0" customHeight="1"/>
    <row r="567" ht="24.0" customHeight="1"/>
    <row r="568" ht="24.0" customHeight="1"/>
    <row r="569" ht="24.0" customHeight="1"/>
    <row r="570" ht="24.0" customHeight="1"/>
    <row r="571" ht="24.0" customHeight="1"/>
    <row r="572" ht="24.0" customHeight="1"/>
    <row r="573" ht="24.0" customHeight="1"/>
    <row r="574" ht="24.0" customHeight="1"/>
    <row r="575" ht="24.0" customHeight="1"/>
    <row r="576" ht="24.0" customHeight="1"/>
    <row r="577" ht="24.0" customHeight="1"/>
    <row r="578" ht="24.0" customHeight="1"/>
    <row r="579" ht="24.0" customHeight="1"/>
    <row r="580" ht="24.0" customHeight="1"/>
    <row r="581" ht="24.0" customHeight="1"/>
    <row r="582" ht="24.0" customHeight="1"/>
    <row r="583" ht="24.0" customHeight="1"/>
    <row r="584" ht="24.0" customHeight="1"/>
    <row r="585" ht="24.0" customHeight="1"/>
    <row r="586" ht="24.0" customHeight="1"/>
    <row r="587" ht="24.0" customHeight="1"/>
    <row r="588" ht="24.0" customHeight="1"/>
    <row r="589" ht="24.0" customHeight="1"/>
    <row r="590" ht="24.0" customHeight="1"/>
    <row r="591" ht="24.0" customHeight="1"/>
    <row r="592" ht="24.0" customHeight="1"/>
    <row r="593" ht="24.0" customHeight="1"/>
    <row r="594" ht="24.0" customHeight="1"/>
    <row r="595" ht="24.0" customHeight="1"/>
    <row r="596" ht="24.0" customHeight="1"/>
    <row r="597" ht="24.0" customHeight="1"/>
    <row r="598" ht="24.0" customHeight="1"/>
    <row r="599" ht="24.0" customHeight="1"/>
    <row r="600" ht="24.0" customHeight="1"/>
    <row r="601" ht="24.0" customHeight="1"/>
    <row r="602" ht="24.0" customHeight="1"/>
    <row r="603" ht="24.0" customHeight="1"/>
    <row r="604" ht="24.0" customHeight="1"/>
    <row r="605" ht="24.0" customHeight="1"/>
    <row r="606" ht="24.0" customHeight="1"/>
    <row r="607" ht="24.0" customHeight="1"/>
    <row r="608" ht="24.0" customHeight="1"/>
    <row r="609" ht="24.0" customHeight="1"/>
    <row r="610" ht="24.0" customHeight="1"/>
    <row r="611" ht="24.0" customHeight="1"/>
    <row r="612" ht="24.0" customHeight="1"/>
    <row r="613" ht="24.0" customHeight="1"/>
    <row r="614" ht="24.0" customHeight="1"/>
    <row r="615" ht="24.0" customHeight="1"/>
    <row r="616" ht="24.0" customHeight="1"/>
    <row r="617" ht="24.0" customHeight="1"/>
    <row r="618" ht="24.0" customHeight="1"/>
    <row r="619" ht="24.0" customHeight="1"/>
    <row r="620" ht="24.0" customHeight="1"/>
    <row r="621" ht="24.0" customHeight="1"/>
    <row r="622" ht="24.0" customHeight="1"/>
    <row r="623" ht="24.0" customHeight="1"/>
    <row r="624" ht="24.0" customHeight="1"/>
    <row r="625" ht="24.0" customHeight="1"/>
    <row r="626" ht="24.0" customHeight="1"/>
    <row r="627" ht="24.0" customHeight="1"/>
    <row r="628" ht="24.0" customHeight="1"/>
    <row r="629" ht="24.0" customHeight="1"/>
    <row r="630" ht="24.0" customHeight="1"/>
    <row r="631" ht="24.0" customHeight="1"/>
    <row r="632" ht="24.0" customHeight="1"/>
    <row r="633" ht="24.0" customHeight="1"/>
    <row r="634" ht="24.0" customHeight="1"/>
    <row r="635" ht="24.0" customHeight="1"/>
    <row r="636" ht="24.0" customHeight="1"/>
    <row r="637" ht="24.0" customHeight="1"/>
    <row r="638" ht="24.0" customHeight="1"/>
    <row r="639" ht="24.0" customHeight="1"/>
    <row r="640" ht="24.0" customHeight="1"/>
    <row r="641" ht="24.0" customHeight="1"/>
    <row r="642" ht="24.0" customHeight="1"/>
    <row r="643" ht="24.0" customHeight="1"/>
    <row r="644" ht="24.0" customHeight="1"/>
    <row r="645" ht="24.0" customHeight="1"/>
    <row r="646" ht="24.0" customHeight="1"/>
    <row r="647" ht="24.0" customHeight="1"/>
    <row r="648" ht="24.0" customHeight="1"/>
    <row r="649" ht="24.0" customHeight="1"/>
    <row r="650" ht="24.0" customHeight="1"/>
    <row r="651" ht="24.0" customHeight="1"/>
    <row r="652" ht="24.0" customHeight="1"/>
    <row r="653" ht="24.0" customHeight="1"/>
    <row r="654" ht="24.0" customHeight="1"/>
    <row r="655" ht="24.0" customHeight="1"/>
    <row r="656" ht="24.0" customHeight="1"/>
    <row r="657" ht="24.0" customHeight="1"/>
    <row r="658" ht="24.0" customHeight="1"/>
    <row r="659" ht="24.0" customHeight="1"/>
    <row r="660" ht="24.0" customHeight="1"/>
    <row r="661" ht="24.0" customHeight="1"/>
    <row r="662" ht="24.0" customHeight="1"/>
    <row r="663" ht="24.0" customHeight="1"/>
    <row r="664" ht="24.0" customHeight="1"/>
    <row r="665" ht="24.0" customHeight="1"/>
    <row r="666" ht="24.0" customHeight="1"/>
    <row r="667" ht="24.0" customHeight="1"/>
    <row r="668" ht="24.0" customHeight="1"/>
    <row r="669" ht="24.0" customHeight="1"/>
    <row r="670" ht="24.0" customHeight="1"/>
    <row r="671" ht="24.0" customHeight="1"/>
    <row r="672" ht="24.0" customHeight="1"/>
    <row r="673" ht="24.0" customHeight="1"/>
    <row r="674" ht="24.0" customHeight="1"/>
    <row r="675" ht="24.0" customHeight="1"/>
    <row r="676" ht="24.0" customHeight="1"/>
    <row r="677" ht="24.0" customHeight="1"/>
    <row r="678" ht="24.0" customHeight="1"/>
    <row r="679" ht="24.0" customHeight="1"/>
    <row r="680" ht="24.0" customHeight="1"/>
    <row r="681" ht="24.0" customHeight="1"/>
    <row r="682" ht="24.0" customHeight="1"/>
    <row r="683" ht="24.0" customHeight="1"/>
    <row r="684" ht="24.0" customHeight="1"/>
    <row r="685" ht="24.0" customHeight="1"/>
    <row r="686" ht="24.0" customHeight="1"/>
    <row r="687" ht="24.0" customHeight="1"/>
    <row r="688" ht="24.0" customHeight="1"/>
    <row r="689" ht="24.0" customHeight="1"/>
    <row r="690" ht="24.0" customHeight="1"/>
    <row r="691" ht="24.0" customHeight="1"/>
    <row r="692" ht="24.0" customHeight="1"/>
    <row r="693" ht="24.0" customHeight="1"/>
    <row r="694" ht="24.0" customHeight="1"/>
    <row r="695" ht="24.0" customHeight="1"/>
    <row r="696" ht="24.0" customHeight="1"/>
    <row r="697" ht="24.0" customHeight="1"/>
    <row r="698" ht="24.0" customHeight="1"/>
    <row r="699" ht="24.0" customHeight="1"/>
    <row r="700" ht="24.0" customHeight="1"/>
    <row r="701" ht="24.0" customHeight="1"/>
    <row r="702" ht="24.0" customHeight="1"/>
    <row r="703" ht="24.0" customHeight="1"/>
    <row r="704" ht="24.0" customHeight="1"/>
    <row r="705" ht="24.0" customHeight="1"/>
    <row r="706" ht="24.0" customHeight="1"/>
    <row r="707" ht="24.0" customHeight="1"/>
    <row r="708" ht="24.0" customHeight="1"/>
    <row r="709" ht="24.0" customHeight="1"/>
    <row r="710" ht="24.0" customHeight="1"/>
    <row r="711" ht="24.0" customHeight="1"/>
    <row r="712" ht="24.0" customHeight="1"/>
    <row r="713" ht="24.0" customHeight="1"/>
    <row r="714" ht="24.0" customHeight="1"/>
    <row r="715" ht="24.0" customHeight="1"/>
    <row r="716" ht="24.0" customHeight="1"/>
    <row r="717" ht="24.0" customHeight="1"/>
    <row r="718" ht="24.0" customHeight="1"/>
    <row r="719" ht="24.0" customHeight="1"/>
    <row r="720" ht="24.0" customHeight="1"/>
    <row r="721" ht="24.0" customHeight="1"/>
    <row r="722" ht="24.0" customHeight="1"/>
    <row r="723" ht="24.0" customHeight="1"/>
    <row r="724" ht="24.0" customHeight="1"/>
    <row r="725" ht="24.0" customHeight="1"/>
    <row r="726" ht="24.0" customHeight="1"/>
    <row r="727" ht="24.0" customHeight="1"/>
    <row r="728" ht="24.0" customHeight="1"/>
    <row r="729" ht="24.0" customHeight="1"/>
    <row r="730" ht="24.0" customHeight="1"/>
    <row r="731" ht="24.0" customHeight="1"/>
    <row r="732" ht="24.0" customHeight="1"/>
    <row r="733" ht="24.0" customHeight="1"/>
    <row r="734" ht="24.0" customHeight="1"/>
    <row r="735" ht="24.0" customHeight="1"/>
    <row r="736" ht="24.0" customHeight="1"/>
    <row r="737" ht="24.0" customHeight="1"/>
    <row r="738" ht="24.0" customHeight="1"/>
    <row r="739" ht="24.0" customHeight="1"/>
    <row r="740" ht="24.0" customHeight="1"/>
    <row r="741" ht="24.0" customHeight="1"/>
    <row r="742" ht="24.0" customHeight="1"/>
    <row r="743" ht="24.0" customHeight="1"/>
    <row r="744" ht="24.0" customHeight="1"/>
    <row r="745" ht="24.0" customHeight="1"/>
    <row r="746" ht="24.0" customHeight="1"/>
    <row r="747" ht="24.0" customHeight="1"/>
    <row r="748" ht="24.0" customHeight="1"/>
    <row r="749" ht="24.0" customHeight="1"/>
    <row r="750" ht="24.0" customHeight="1"/>
    <row r="751" ht="24.0" customHeight="1"/>
    <row r="752" ht="24.0" customHeight="1"/>
    <row r="753" ht="24.0" customHeight="1"/>
    <row r="754" ht="24.0" customHeight="1"/>
    <row r="755" ht="24.0" customHeight="1"/>
    <row r="756" ht="24.0" customHeight="1"/>
    <row r="757" ht="24.0" customHeight="1"/>
    <row r="758" ht="24.0" customHeight="1"/>
    <row r="759" ht="24.0" customHeight="1"/>
    <row r="760" ht="24.0" customHeight="1"/>
    <row r="761" ht="24.0" customHeight="1"/>
    <row r="762" ht="24.0" customHeight="1"/>
    <row r="763" ht="24.0" customHeight="1"/>
    <row r="764" ht="24.0" customHeight="1"/>
    <row r="765" ht="24.0" customHeight="1"/>
    <row r="766" ht="24.0" customHeight="1"/>
    <row r="767" ht="24.0" customHeight="1"/>
    <row r="768" ht="24.0" customHeight="1"/>
    <row r="769" ht="24.0" customHeight="1"/>
    <row r="770" ht="24.0" customHeight="1"/>
    <row r="771" ht="24.0" customHeight="1"/>
    <row r="772" ht="24.0" customHeight="1"/>
    <row r="773" ht="24.0" customHeight="1"/>
    <row r="774" ht="24.0" customHeight="1"/>
    <row r="775" ht="24.0" customHeight="1"/>
    <row r="776" ht="24.0" customHeight="1"/>
    <row r="777" ht="24.0" customHeight="1"/>
    <row r="778" ht="24.0" customHeight="1"/>
    <row r="779" ht="24.0" customHeight="1"/>
    <row r="780" ht="24.0" customHeight="1"/>
    <row r="781" ht="24.0" customHeight="1"/>
    <row r="782" ht="24.0" customHeight="1"/>
    <row r="783" ht="24.0" customHeight="1"/>
    <row r="784" ht="24.0" customHeight="1"/>
    <row r="785" ht="24.0" customHeight="1"/>
    <row r="786" ht="24.0" customHeight="1"/>
    <row r="787" ht="24.0" customHeight="1"/>
    <row r="788" ht="24.0" customHeight="1"/>
    <row r="789" ht="24.0" customHeight="1"/>
    <row r="790" ht="24.0" customHeight="1"/>
    <row r="791" ht="24.0" customHeight="1"/>
    <row r="792" ht="24.0" customHeight="1"/>
    <row r="793" ht="24.0" customHeight="1"/>
    <row r="794" ht="24.0" customHeight="1"/>
    <row r="795" ht="24.0" customHeight="1"/>
    <row r="796" ht="24.0" customHeight="1"/>
    <row r="797" ht="24.0" customHeight="1"/>
    <row r="798" ht="24.0" customHeight="1"/>
    <row r="799" ht="24.0" customHeight="1"/>
    <row r="800" ht="24.0" customHeight="1"/>
    <row r="801" ht="24.0" customHeight="1"/>
    <row r="802" ht="24.0" customHeight="1"/>
    <row r="803" ht="24.0" customHeight="1"/>
    <row r="804" ht="24.0" customHeight="1"/>
    <row r="805" ht="24.0" customHeight="1"/>
    <row r="806" ht="24.0" customHeight="1"/>
    <row r="807" ht="24.0" customHeight="1"/>
    <row r="808" ht="24.0" customHeight="1"/>
    <row r="809" ht="24.0" customHeight="1"/>
    <row r="810" ht="24.0" customHeight="1"/>
    <row r="811" ht="24.0" customHeight="1"/>
    <row r="812" ht="24.0" customHeight="1"/>
    <row r="813" ht="24.0" customHeight="1"/>
    <row r="814" ht="24.0" customHeight="1"/>
    <row r="815" ht="24.0" customHeight="1"/>
    <row r="816" ht="24.0" customHeight="1"/>
    <row r="817" ht="24.0" customHeight="1"/>
    <row r="818" ht="24.0" customHeight="1"/>
    <row r="819" ht="24.0" customHeight="1"/>
    <row r="820" ht="24.0" customHeight="1"/>
    <row r="821" ht="24.0" customHeight="1"/>
    <row r="822" ht="24.0" customHeight="1"/>
    <row r="823" ht="24.0" customHeight="1"/>
    <row r="824" ht="24.0" customHeight="1"/>
    <row r="825" ht="24.0" customHeight="1"/>
    <row r="826" ht="24.0" customHeight="1"/>
    <row r="827" ht="24.0" customHeight="1"/>
    <row r="828" ht="24.0" customHeight="1"/>
    <row r="829" ht="24.0" customHeight="1"/>
    <row r="830" ht="24.0" customHeight="1"/>
    <row r="831" ht="24.0" customHeight="1"/>
    <row r="832" ht="24.0" customHeight="1"/>
    <row r="833" ht="24.0" customHeight="1"/>
    <row r="834" ht="24.0" customHeight="1"/>
    <row r="835" ht="24.0" customHeight="1"/>
    <row r="836" ht="24.0" customHeight="1"/>
    <row r="837" ht="24.0" customHeight="1"/>
    <row r="838" ht="24.0" customHeight="1"/>
    <row r="839" ht="24.0" customHeight="1"/>
    <row r="840" ht="24.0" customHeight="1"/>
    <row r="841" ht="24.0" customHeight="1"/>
    <row r="842" ht="24.0" customHeight="1"/>
    <row r="843" ht="24.0" customHeight="1"/>
    <row r="844" ht="24.0" customHeight="1"/>
    <row r="845" ht="24.0" customHeight="1"/>
    <row r="846" ht="24.0" customHeight="1"/>
    <row r="847" ht="24.0" customHeight="1"/>
    <row r="848" ht="24.0" customHeight="1"/>
    <row r="849" ht="24.0" customHeight="1"/>
    <row r="850" ht="24.0" customHeight="1"/>
    <row r="851" ht="24.0" customHeight="1"/>
    <row r="852" ht="24.0" customHeight="1"/>
    <row r="853" ht="24.0" customHeight="1"/>
    <row r="854" ht="24.0" customHeight="1"/>
    <row r="855" ht="24.0" customHeight="1"/>
    <row r="856" ht="24.0" customHeight="1"/>
    <row r="857" ht="24.0" customHeight="1"/>
    <row r="858" ht="24.0" customHeight="1"/>
    <row r="859" ht="24.0" customHeight="1"/>
    <row r="860" ht="24.0" customHeight="1"/>
    <row r="861" ht="24.0" customHeight="1"/>
    <row r="862" ht="24.0" customHeight="1"/>
    <row r="863" ht="24.0" customHeight="1"/>
    <row r="864" ht="24.0" customHeight="1"/>
    <row r="865" ht="24.0" customHeight="1"/>
    <row r="866" ht="24.0" customHeight="1"/>
    <row r="867" ht="24.0" customHeight="1"/>
    <row r="868" ht="24.0" customHeight="1"/>
    <row r="869" ht="24.0" customHeight="1"/>
    <row r="870" ht="24.0" customHeight="1"/>
    <row r="871" ht="24.0" customHeight="1"/>
    <row r="872" ht="24.0" customHeight="1"/>
    <row r="873" ht="24.0" customHeight="1"/>
    <row r="874" ht="24.0" customHeight="1"/>
    <row r="875" ht="24.0" customHeight="1"/>
    <row r="876" ht="24.0" customHeight="1"/>
    <row r="877" ht="24.0" customHeight="1"/>
    <row r="878" ht="24.0" customHeight="1"/>
    <row r="879" ht="24.0" customHeight="1"/>
    <row r="880" ht="24.0" customHeight="1"/>
    <row r="881" ht="24.0" customHeight="1"/>
    <row r="882" ht="24.0" customHeight="1"/>
    <row r="883" ht="24.0" customHeight="1"/>
    <row r="884" ht="24.0" customHeight="1"/>
    <row r="885" ht="24.0" customHeight="1"/>
    <row r="886" ht="24.0" customHeight="1"/>
    <row r="887" ht="24.0" customHeight="1"/>
    <row r="888" ht="24.0" customHeight="1"/>
    <row r="889" ht="24.0" customHeight="1"/>
    <row r="890" ht="24.0" customHeight="1"/>
    <row r="891" ht="24.0" customHeight="1"/>
    <row r="892" ht="24.0" customHeight="1"/>
    <row r="893" ht="24.0" customHeight="1"/>
    <row r="894" ht="24.0" customHeight="1"/>
    <row r="895" ht="24.0" customHeight="1"/>
    <row r="896" ht="24.0" customHeight="1"/>
    <row r="897" ht="24.0" customHeight="1"/>
    <row r="898" ht="24.0" customHeight="1"/>
    <row r="899" ht="24.0" customHeight="1"/>
    <row r="900" ht="24.0" customHeight="1"/>
    <row r="901" ht="24.0" customHeight="1"/>
    <row r="902" ht="24.0" customHeight="1"/>
    <row r="903" ht="24.0" customHeight="1"/>
    <row r="904" ht="24.0" customHeight="1"/>
    <row r="905" ht="24.0" customHeight="1"/>
    <row r="906" ht="24.0" customHeight="1"/>
    <row r="907" ht="24.0" customHeight="1"/>
    <row r="908" ht="24.0" customHeight="1"/>
    <row r="909" ht="24.0" customHeight="1"/>
    <row r="910" ht="24.0" customHeight="1"/>
    <row r="911" ht="24.0" customHeight="1"/>
    <row r="912" ht="24.0" customHeight="1"/>
    <row r="913" ht="24.0" customHeight="1"/>
    <row r="914" ht="24.0" customHeight="1"/>
    <row r="915" ht="24.0" customHeight="1"/>
    <row r="916" ht="24.0" customHeight="1"/>
    <row r="917" ht="24.0" customHeight="1"/>
    <row r="918" ht="24.0" customHeight="1"/>
    <row r="919" ht="24.0" customHeight="1"/>
    <row r="920" ht="24.0" customHeight="1"/>
    <row r="921" ht="24.0" customHeight="1"/>
    <row r="922" ht="24.0" customHeight="1"/>
    <row r="923" ht="24.0" customHeight="1"/>
    <row r="924" ht="24.0" customHeight="1"/>
    <row r="925" ht="24.0" customHeight="1"/>
    <row r="926" ht="24.0" customHeight="1"/>
    <row r="927" ht="24.0" customHeight="1"/>
    <row r="928" ht="24.0" customHeight="1"/>
    <row r="929" ht="24.0" customHeight="1"/>
    <row r="930" ht="24.0" customHeight="1"/>
    <row r="931" ht="24.0" customHeight="1"/>
    <row r="932" ht="24.0" customHeight="1"/>
    <row r="933" ht="24.0" customHeight="1"/>
    <row r="934" ht="24.0" customHeight="1"/>
    <row r="935" ht="24.0" customHeight="1"/>
    <row r="936" ht="24.0" customHeight="1"/>
    <row r="937" ht="24.0" customHeight="1"/>
    <row r="938" ht="24.0" customHeight="1"/>
    <row r="939" ht="24.0" customHeight="1"/>
    <row r="940" ht="24.0" customHeight="1"/>
    <row r="941" ht="24.0" customHeight="1"/>
    <row r="942" ht="24.0" customHeight="1"/>
    <row r="943" ht="24.0" customHeight="1"/>
    <row r="944" ht="24.0" customHeight="1"/>
    <row r="945" ht="24.0" customHeight="1"/>
    <row r="946" ht="24.0" customHeight="1"/>
    <row r="947" ht="24.0" customHeight="1"/>
    <row r="948" ht="24.0" customHeight="1"/>
    <row r="949" ht="24.0" customHeight="1"/>
    <row r="950" ht="24.0" customHeight="1"/>
    <row r="951" ht="24.0" customHeight="1"/>
    <row r="952" ht="24.0" customHeight="1"/>
    <row r="953" ht="24.0" customHeight="1"/>
    <row r="954" ht="24.0" customHeight="1"/>
    <row r="955" ht="24.0" customHeight="1"/>
    <row r="956" ht="24.0" customHeight="1"/>
    <row r="957" ht="24.0" customHeight="1"/>
    <row r="958" ht="24.0" customHeight="1"/>
    <row r="959" ht="24.0" customHeight="1"/>
    <row r="960" ht="24.0" customHeight="1"/>
    <row r="961" ht="24.0" customHeight="1"/>
    <row r="962" ht="24.0" customHeight="1"/>
    <row r="963" ht="24.0" customHeight="1"/>
    <row r="964" ht="24.0" customHeight="1"/>
    <row r="965" ht="24.0" customHeight="1"/>
    <row r="966" ht="24.0" customHeight="1"/>
    <row r="967" ht="24.0" customHeight="1"/>
    <row r="968" ht="24.0" customHeight="1"/>
    <row r="969" ht="24.0" customHeight="1"/>
    <row r="970" ht="24.0" customHeight="1"/>
    <row r="971" ht="24.0" customHeight="1"/>
    <row r="972" ht="24.0" customHeight="1"/>
    <row r="973" ht="24.0" customHeight="1"/>
    <row r="974" ht="24.0" customHeight="1"/>
    <row r="975" ht="24.0" customHeight="1"/>
    <row r="976" ht="24.0" customHeight="1"/>
    <row r="977" ht="24.0" customHeight="1"/>
    <row r="978" ht="24.0" customHeight="1"/>
    <row r="979" ht="24.0" customHeight="1"/>
    <row r="980" ht="24.0" customHeight="1"/>
    <row r="981" ht="24.0" customHeight="1"/>
    <row r="982" ht="24.0" customHeight="1"/>
    <row r="983" ht="24.0" customHeight="1"/>
    <row r="984" ht="24.0" customHeight="1"/>
    <row r="985" ht="24.0" customHeight="1"/>
    <row r="986" ht="24.0" customHeight="1"/>
    <row r="987" ht="24.0" customHeight="1"/>
    <row r="988" ht="24.0" customHeight="1"/>
    <row r="989" ht="24.0" customHeight="1"/>
    <row r="990" ht="24.0" customHeight="1"/>
    <row r="991" ht="24.0" customHeight="1"/>
    <row r="992" ht="24.0" customHeight="1"/>
    <row r="993" ht="24.0" customHeight="1"/>
    <row r="994" ht="24.0" customHeight="1"/>
    <row r="995" ht="24.0" customHeight="1"/>
    <row r="996" ht="24.0" customHeight="1"/>
    <row r="997" ht="24.0" customHeight="1"/>
    <row r="998" ht="24.0" customHeight="1"/>
    <row r="999" ht="24.0" customHeight="1"/>
    <row r="1000" ht="24.0" customHeight="1"/>
  </sheetData>
  <mergeCells count="2">
    <mergeCell ref="B1:F1"/>
    <mergeCell ref="B13:E13"/>
  </mergeCells>
  <conditionalFormatting sqref="E4">
    <cfRule type="expression" dxfId="0" priority="1">
      <formula>AND(ISNUMBER(E4),ROUND(E4,2)=INT(ROUND(E4,2)))</formula>
    </cfRule>
  </conditionalFormatting>
  <conditionalFormatting sqref="E4">
    <cfRule type="expression" dxfId="1" priority="2">
      <formula>AND(ISNUMBER(E4),ROUND(E4,2)&lt;&gt;INT(ROUND(E4,2)))</formula>
    </cfRule>
  </conditionalFormatting>
  <conditionalFormatting sqref="F4">
    <cfRule type="expression" dxfId="0" priority="3">
      <formula>AND(ISNUMBER(F4),ROUND(F4,2)=INT(ROUND(F4,2)))</formula>
    </cfRule>
  </conditionalFormatting>
  <conditionalFormatting sqref="F4">
    <cfRule type="expression" dxfId="1" priority="4">
      <formula>AND(ISNUMBER(F4),ROUND(F4,2)&lt;&gt;INT(ROUND(F4,2)))</formula>
    </cfRule>
  </conditionalFormatting>
  <conditionalFormatting sqref="E5">
    <cfRule type="expression" dxfId="0" priority="5">
      <formula>AND(ISNUMBER(E5),ROUND(E5,2)=INT(ROUND(E5,2)))</formula>
    </cfRule>
  </conditionalFormatting>
  <conditionalFormatting sqref="E5">
    <cfRule type="expression" dxfId="1" priority="6">
      <formula>AND(ISNUMBER(E5),ROUND(E5,2)&lt;&gt;INT(ROUND(E5,2)))</formula>
    </cfRule>
  </conditionalFormatting>
  <conditionalFormatting sqref="F5">
    <cfRule type="expression" dxfId="0" priority="7">
      <formula>AND(ISNUMBER(F5),ROUND(F5,2)=INT(ROUND(F5,2)))</formula>
    </cfRule>
  </conditionalFormatting>
  <conditionalFormatting sqref="F5">
    <cfRule type="expression" dxfId="1" priority="8">
      <formula>AND(ISNUMBER(F5),ROUND(F5,2)&lt;&gt;INT(ROUND(F5,2)))</formula>
    </cfRule>
  </conditionalFormatting>
  <conditionalFormatting sqref="E6">
    <cfRule type="expression" dxfId="0" priority="9">
      <formula>AND(ISNUMBER(E6),ROUND(E6,2)=INT(ROUND(E6,2)))</formula>
    </cfRule>
  </conditionalFormatting>
  <conditionalFormatting sqref="E6">
    <cfRule type="expression" dxfId="1" priority="10">
      <formula>AND(ISNUMBER(E6),ROUND(E6,2)&lt;&gt;INT(ROUND(E6,2)))</formula>
    </cfRule>
  </conditionalFormatting>
  <conditionalFormatting sqref="F6">
    <cfRule type="expression" dxfId="0" priority="11">
      <formula>AND(ISNUMBER(F6),ROUND(F6,2)=INT(ROUND(F6,2)))</formula>
    </cfRule>
  </conditionalFormatting>
  <conditionalFormatting sqref="F6">
    <cfRule type="expression" dxfId="1" priority="12">
      <formula>AND(ISNUMBER(F6),ROUND(F6,2)&lt;&gt;INT(ROUND(F6,2)))</formula>
    </cfRule>
  </conditionalFormatting>
  <conditionalFormatting sqref="E7">
    <cfRule type="expression" dxfId="0" priority="13">
      <formula>AND(ISNUMBER(E7),ROUND(E7,2)=INT(ROUND(E7,2)))</formula>
    </cfRule>
  </conditionalFormatting>
  <conditionalFormatting sqref="E7">
    <cfRule type="expression" dxfId="1" priority="14">
      <formula>AND(ISNUMBER(E7),ROUND(E7,2)&lt;&gt;INT(ROUND(E7,2)))</formula>
    </cfRule>
  </conditionalFormatting>
  <conditionalFormatting sqref="F7">
    <cfRule type="expression" dxfId="0" priority="15">
      <formula>AND(ISNUMBER(F7),ROUND(F7,2)=INT(ROUND(F7,2)))</formula>
    </cfRule>
  </conditionalFormatting>
  <conditionalFormatting sqref="F7">
    <cfRule type="expression" dxfId="1" priority="16">
      <formula>AND(ISNUMBER(F7),ROUND(F7,2)&lt;&gt;INT(ROUND(F7,2)))</formula>
    </cfRule>
  </conditionalFormatting>
  <conditionalFormatting sqref="E8">
    <cfRule type="expression" dxfId="0" priority="17">
      <formula>AND(ISNUMBER(E8),ROUND(E8,2)=INT(ROUND(E8,2)))</formula>
    </cfRule>
  </conditionalFormatting>
  <conditionalFormatting sqref="E8">
    <cfRule type="expression" dxfId="1" priority="18">
      <formula>AND(ISNUMBER(E8),ROUND(E8,2)&lt;&gt;INT(ROUND(E8,2)))</formula>
    </cfRule>
  </conditionalFormatting>
  <conditionalFormatting sqref="F8">
    <cfRule type="expression" dxfId="0" priority="19">
      <formula>AND(ISNUMBER(F8),ROUND(F8,2)=INT(ROUND(F8,2)))</formula>
    </cfRule>
  </conditionalFormatting>
  <conditionalFormatting sqref="F8">
    <cfRule type="expression" dxfId="1" priority="20">
      <formula>AND(ISNUMBER(F8),ROUND(F8,2)&lt;&gt;INT(ROUND(F8,2)))</formula>
    </cfRule>
  </conditionalFormatting>
  <conditionalFormatting sqref="E9">
    <cfRule type="expression" dxfId="0" priority="21">
      <formula>AND(ISNUMBER(E9),ROUND(E9,2)=INT(ROUND(E9,2)))</formula>
    </cfRule>
  </conditionalFormatting>
  <conditionalFormatting sqref="E9">
    <cfRule type="expression" dxfId="1" priority="22">
      <formula>AND(ISNUMBER(E9),ROUND(E9,2)&lt;&gt;INT(ROUND(E9,2)))</formula>
    </cfRule>
  </conditionalFormatting>
  <conditionalFormatting sqref="F9">
    <cfRule type="expression" dxfId="0" priority="23">
      <formula>AND(ISNUMBER(F9),ROUND(F9,2)=INT(ROUND(F9,2)))</formula>
    </cfRule>
  </conditionalFormatting>
  <conditionalFormatting sqref="F9">
    <cfRule type="expression" dxfId="1" priority="24">
      <formula>AND(ISNUMBER(F9),ROUND(F9,2)&lt;&gt;INT(ROUND(F9,2)))</formula>
    </cfRule>
  </conditionalFormatting>
  <conditionalFormatting sqref="E10">
    <cfRule type="expression" dxfId="0" priority="25">
      <formula>AND(ISNUMBER(E10),ROUND(E10,2)=INT(ROUND(E10,2)))</formula>
    </cfRule>
  </conditionalFormatting>
  <conditionalFormatting sqref="E10">
    <cfRule type="expression" dxfId="1" priority="26">
      <formula>AND(ISNUMBER(E10),ROUND(E10,2)&lt;&gt;INT(ROUND(E10,2)))</formula>
    </cfRule>
  </conditionalFormatting>
  <conditionalFormatting sqref="F10">
    <cfRule type="expression" dxfId="0" priority="27">
      <formula>AND(ISNUMBER(F10),ROUND(F10,2)=INT(ROUND(F10,2)))</formula>
    </cfRule>
  </conditionalFormatting>
  <conditionalFormatting sqref="F10">
    <cfRule type="expression" dxfId="1" priority="28">
      <formula>AND(ISNUMBER(F10),ROUND(F10,2)&lt;&gt;INT(ROUND(F10,2)))</formula>
    </cfRule>
  </conditionalFormatting>
  <conditionalFormatting sqref="E11">
    <cfRule type="expression" dxfId="0" priority="29">
      <formula>AND(ISNUMBER(E11),ROUND(E11,2)=INT(ROUND(E11,2)))</formula>
    </cfRule>
  </conditionalFormatting>
  <conditionalFormatting sqref="E11">
    <cfRule type="expression" dxfId="1" priority="30">
      <formula>AND(ISNUMBER(E11),ROUND(E11,2)&lt;&gt;INT(ROUND(E11,2)))</formula>
    </cfRule>
  </conditionalFormatting>
  <conditionalFormatting sqref="F11">
    <cfRule type="expression" dxfId="0" priority="31">
      <formula>AND(ISNUMBER(F11),ROUND(F11,2)=INT(ROUND(F11,2)))</formula>
    </cfRule>
  </conditionalFormatting>
  <conditionalFormatting sqref="F11">
    <cfRule type="expression" dxfId="1" priority="32">
      <formula>AND(ISNUMBER(F11),ROUND(F11,2)&lt;&gt;INT(ROUND(F11,2)))</formula>
    </cfRule>
  </conditionalFormatting>
  <conditionalFormatting sqref="F13">
    <cfRule type="expression" dxfId="0" priority="33">
      <formula>AND(ISNUMBER(F13),ROUND(F13,2)=INT(ROUND(F13,2)))</formula>
    </cfRule>
  </conditionalFormatting>
  <conditionalFormatting sqref="F13">
    <cfRule type="expression" dxfId="1" priority="34">
      <formula>AND(ISNUMBER(F13),ROUND(F13,2)&lt;&gt;INT(ROUND(F13,2)))</formula>
    </cfRule>
  </conditionalFormatting>
  <dataValidations>
    <dataValidation type="decimal" operator="greaterThanOrEqual" allowBlank="1" showInputMessage="1" showErrorMessage="1" prompt="יש להזין מספר לא שלילי" sqref="D4:D11">
      <formula1>0.0</formula1>
    </dataValidation>
    <dataValidation type="custom" allowBlank="1" showInputMessage="1" showErrorMessage="1" prompt="מספר לא שלילי, כלול או לא רלוונטי בלבד" sqref="E4:E11">
      <formula1>OR(ISBLANK(E4),AND(ISNUMBER(E4),E4&gt;=0),E4="כלול",E4="לא רלוונטי")</formula1>
    </dataValidation>
  </dataValidations>
  <printOptions/>
  <pageMargins bottom="0.75" footer="0.0" header="0.0" left="0.25" right="0.25" top="0.75"/>
  <pageSetup fitToHeight="0" paperSize="9" orientation="portrait"/>
  <headerFooter>
    <oddFooter>&amp;Cעמוד &amp;P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rightToLeft="1" workbookViewId="0"/>
  </sheetViews>
  <sheetFormatPr customHeight="1" defaultColWidth="14.43" defaultRowHeight="15.0"/>
  <cols>
    <col customWidth="1" min="1" max="1" width="7.29"/>
    <col customWidth="1" min="2" max="2" width="66.29"/>
    <col customWidth="1" min="3" max="6" width="8.14"/>
    <col customWidth="1" hidden="1" min="7" max="7" width="36.0"/>
    <col customWidth="1" hidden="1" min="8" max="8" width="12.0"/>
    <col customWidth="1" hidden="1" min="9" max="9" width="9.0"/>
    <col customWidth="1" min="10" max="26" width="8.71"/>
  </cols>
  <sheetData>
    <row r="1" ht="31.5" customHeight="1">
      <c r="A1" s="10">
        <v>1.0</v>
      </c>
      <c r="B1" s="3" t="s">
        <v>22</v>
      </c>
      <c r="G1" s="2" t="s">
        <v>21</v>
      </c>
      <c r="H1" s="2" t="s">
        <v>53</v>
      </c>
    </row>
    <row r="2" ht="31.5" customHeight="1">
      <c r="A2" s="16" t="s">
        <v>59</v>
      </c>
      <c r="B2" s="17" t="s">
        <v>67</v>
      </c>
      <c r="C2" s="16" t="s">
        <v>72</v>
      </c>
      <c r="D2" s="16" t="s">
        <v>76</v>
      </c>
      <c r="E2" s="16" t="s">
        <v>79</v>
      </c>
      <c r="F2" s="16" t="s">
        <v>81</v>
      </c>
      <c r="G2" s="2"/>
      <c r="H2" s="2" t="s">
        <v>84</v>
      </c>
    </row>
    <row r="3" ht="81.0" customHeight="1">
      <c r="A3" s="19"/>
      <c r="B3" s="20" t="s">
        <v>131</v>
      </c>
      <c r="C3" s="19"/>
      <c r="D3" s="19"/>
      <c r="E3" s="19"/>
      <c r="F3" s="19"/>
      <c r="G3" s="12" t="s">
        <v>133</v>
      </c>
      <c r="H3" s="12" t="s">
        <v>105</v>
      </c>
    </row>
    <row r="4" ht="63.75" customHeight="1">
      <c r="A4" s="19" t="s">
        <v>134</v>
      </c>
      <c r="B4" s="20" t="s">
        <v>135</v>
      </c>
      <c r="C4" s="19" t="s">
        <v>108</v>
      </c>
      <c r="D4" s="19">
        <v>0.5</v>
      </c>
      <c r="E4" s="22">
        <v>0.01</v>
      </c>
      <c r="F4" s="22">
        <f>IF(ISBLANK(D4),"",IF(NOT(ISNUMBER(D4)),"קלט לא תקין",IF(D4&lt;0,"קלט לא תקין",IF(ISBLANK(E4),"",IF(OR(E4="כלול",E4="לא רלוונטי"),0,IF(NOT(ISNUMBER(E4)),"קלט לא תקין",IF(E4&lt;0,"קלט לא תקין",ROUND(D4*E4,2))))))))</f>
        <v>0.01</v>
      </c>
      <c r="G4" s="12" t="s">
        <v>137</v>
      </c>
      <c r="H4" s="12" t="s">
        <v>113</v>
      </c>
    </row>
    <row r="5" ht="24.0" hidden="1" customHeight="1">
      <c r="A5" s="19"/>
      <c r="B5" s="20" t="s">
        <v>138</v>
      </c>
      <c r="C5" s="19" t="s">
        <v>108</v>
      </c>
      <c r="D5" s="19">
        <v>3.0</v>
      </c>
      <c r="E5" s="24">
        <v>10.0</v>
      </c>
      <c r="F5" s="22"/>
      <c r="G5" s="12" t="s">
        <v>141</v>
      </c>
      <c r="H5" s="12" t="s">
        <v>113</v>
      </c>
      <c r="I5" s="12">
        <v>1.0</v>
      </c>
    </row>
    <row r="6" ht="46.5" customHeight="1">
      <c r="A6" s="19" t="s">
        <v>143</v>
      </c>
      <c r="B6" s="20" t="s">
        <v>145</v>
      </c>
      <c r="C6" s="19" t="s">
        <v>147</v>
      </c>
      <c r="D6" s="19"/>
      <c r="E6" s="22"/>
      <c r="F6" s="22" t="str">
        <f t="shared" ref="F6:F9" si="1">IF(ISBLANK(D6),"",IF(NOT(ISNUMBER(D6)),"קלט לא תקין",IF(D6&lt;0,"קלט לא תקין",IF(ISBLANK(E6),"",IF(OR(E6="כלול",E6="לא רלוונטי"),0,IF(NOT(ISNUMBER(E6)),"קלט לא תקין",IF(E6&lt;0,"קלט לא תקין",ROUND(D6*E6,2))))))))</f>
        <v/>
      </c>
      <c r="G6" s="12" t="s">
        <v>148</v>
      </c>
      <c r="H6" s="12" t="s">
        <v>113</v>
      </c>
    </row>
    <row r="7" ht="46.5" customHeight="1">
      <c r="A7" s="19" t="s">
        <v>149</v>
      </c>
      <c r="B7" s="20" t="s">
        <v>151</v>
      </c>
      <c r="C7" s="19" t="s">
        <v>126</v>
      </c>
      <c r="D7" s="19"/>
      <c r="E7" s="22"/>
      <c r="F7" s="22" t="str">
        <f t="shared" si="1"/>
        <v/>
      </c>
      <c r="G7" s="12" t="s">
        <v>154</v>
      </c>
      <c r="H7" s="12" t="s">
        <v>113</v>
      </c>
    </row>
    <row r="8" ht="46.5" customHeight="1">
      <c r="A8" s="19" t="s">
        <v>155</v>
      </c>
      <c r="B8" s="20" t="s">
        <v>156</v>
      </c>
      <c r="C8" s="19" t="s">
        <v>126</v>
      </c>
      <c r="D8" s="19"/>
      <c r="E8" s="22"/>
      <c r="F8" s="22" t="str">
        <f t="shared" si="1"/>
        <v/>
      </c>
      <c r="G8" s="12" t="s">
        <v>157</v>
      </c>
      <c r="H8" s="12" t="s">
        <v>113</v>
      </c>
    </row>
    <row r="9" ht="46.5" customHeight="1">
      <c r="A9" s="19" t="s">
        <v>158</v>
      </c>
      <c r="B9" s="20" t="s">
        <v>159</v>
      </c>
      <c r="C9" s="19" t="s">
        <v>126</v>
      </c>
      <c r="D9" s="19"/>
      <c r="E9" s="22"/>
      <c r="F9" s="22" t="str">
        <f t="shared" si="1"/>
        <v/>
      </c>
      <c r="G9" s="12" t="s">
        <v>160</v>
      </c>
      <c r="H9" s="12" t="s">
        <v>113</v>
      </c>
    </row>
    <row r="10" ht="291.0" customHeight="1">
      <c r="A10" s="19"/>
      <c r="B10" s="20"/>
      <c r="C10" s="19"/>
      <c r="D10" s="19"/>
      <c r="E10" s="19"/>
      <c r="F10" s="19"/>
      <c r="G10" s="12"/>
      <c r="H10" s="12" t="s">
        <v>86</v>
      </c>
    </row>
    <row r="11" ht="31.5" customHeight="1">
      <c r="A11" s="6"/>
      <c r="B11" s="7" t="s">
        <v>161</v>
      </c>
      <c r="C11" s="8"/>
      <c r="D11" s="8"/>
      <c r="E11" s="9"/>
      <c r="F11" s="25">
        <f>SUM(F4,F6,F7,F8,F9)</f>
        <v>0.01</v>
      </c>
      <c r="G11" s="12"/>
      <c r="H11" s="12" t="s">
        <v>136</v>
      </c>
    </row>
    <row r="12" ht="24.0" customHeight="1"/>
    <row r="13" ht="24.0" customHeight="1"/>
    <row r="14" ht="24.0" customHeight="1"/>
    <row r="15" ht="24.0" customHeight="1"/>
    <row r="16" ht="24.0" customHeight="1"/>
    <row r="17" ht="24.0" customHeight="1"/>
    <row r="18" ht="24.0" customHeight="1"/>
    <row r="19" ht="24.0" customHeight="1"/>
    <row r="20" ht="24.0" customHeight="1"/>
    <row r="21" ht="24.0" customHeight="1"/>
    <row r="22" ht="24.0" customHeight="1"/>
    <row r="23" ht="24.0" customHeight="1"/>
    <row r="24" ht="24.0" customHeight="1"/>
    <row r="25" ht="24.0" customHeight="1"/>
    <row r="26" ht="24.0" customHeight="1"/>
    <row r="27" ht="24.0" customHeight="1"/>
    <row r="28" ht="24.0" customHeight="1"/>
    <row r="29" ht="24.0" customHeight="1"/>
    <row r="30" ht="24.0" customHeight="1"/>
    <row r="31" ht="24.0" customHeight="1"/>
    <row r="32" ht="24.0" customHeight="1"/>
    <row r="33" ht="24.0" customHeight="1"/>
    <row r="34" ht="24.0" customHeight="1"/>
    <row r="35" ht="24.0" customHeight="1"/>
    <row r="36" ht="24.0" customHeight="1"/>
    <row r="37" ht="24.0" customHeight="1"/>
    <row r="38" ht="24.0" customHeight="1"/>
    <row r="39" ht="24.0" customHeight="1"/>
    <row r="40" ht="24.0" customHeight="1"/>
    <row r="41" ht="24.0" customHeight="1"/>
    <row r="42" ht="24.0" customHeight="1"/>
    <row r="43" ht="24.0" customHeight="1"/>
    <row r="44" ht="24.0" customHeight="1"/>
    <row r="45" ht="24.0" customHeight="1"/>
    <row r="46" ht="24.0" customHeight="1"/>
    <row r="47" ht="24.0" customHeight="1"/>
    <row r="48" ht="24.0" customHeight="1"/>
    <row r="49" ht="24.0" customHeight="1"/>
    <row r="50" ht="24.0" customHeight="1"/>
    <row r="51" ht="24.0" customHeight="1"/>
    <row r="52" ht="24.0" customHeight="1"/>
    <row r="53" ht="24.0" customHeight="1"/>
    <row r="54" ht="24.0" customHeight="1"/>
    <row r="55" ht="24.0" customHeight="1"/>
    <row r="56" ht="24.0" customHeight="1"/>
    <row r="57" ht="24.0" customHeight="1"/>
    <row r="58" ht="24.0" customHeight="1"/>
    <row r="59" ht="24.0" customHeight="1"/>
    <row r="60" ht="24.0" customHeight="1"/>
    <row r="61" ht="24.0" customHeight="1"/>
    <row r="62" ht="24.0" customHeight="1"/>
    <row r="63" ht="24.0" customHeight="1"/>
    <row r="64" ht="24.0" customHeight="1"/>
    <row r="65" ht="24.0" customHeight="1"/>
    <row r="66" ht="24.0" customHeight="1"/>
    <row r="67" ht="24.0" customHeight="1"/>
    <row r="68" ht="24.0" customHeight="1"/>
    <row r="69" ht="24.0" customHeight="1"/>
    <row r="70" ht="24.0" customHeight="1"/>
    <row r="71" ht="24.0" customHeight="1"/>
    <row r="72" ht="24.0" customHeight="1"/>
    <row r="73" ht="24.0" customHeight="1"/>
    <row r="74" ht="24.0" customHeight="1"/>
    <row r="75" ht="24.0" customHeight="1"/>
    <row r="76" ht="24.0" customHeight="1"/>
    <row r="77" ht="24.0" customHeight="1"/>
    <row r="78" ht="24.0" customHeight="1"/>
    <row r="79" ht="24.0" customHeight="1"/>
    <row r="80" ht="24.0" customHeight="1"/>
    <row r="81" ht="24.0" customHeight="1"/>
    <row r="82" ht="24.0" customHeight="1"/>
    <row r="83" ht="24.0" customHeight="1"/>
    <row r="84" ht="24.0" customHeight="1"/>
    <row r="85" ht="24.0" customHeight="1"/>
    <row r="86" ht="24.0" customHeight="1"/>
    <row r="87" ht="24.0" customHeight="1"/>
    <row r="88" ht="24.0" customHeight="1"/>
    <row r="89" ht="24.0" customHeight="1"/>
    <row r="90" ht="24.0" customHeight="1"/>
    <row r="91" ht="24.0" customHeight="1"/>
    <row r="92" ht="24.0" customHeight="1"/>
    <row r="93" ht="24.0" customHeight="1"/>
    <row r="94" ht="24.0" customHeight="1"/>
    <row r="95" ht="24.0" customHeight="1"/>
    <row r="96" ht="24.0" customHeight="1"/>
    <row r="97" ht="24.0" customHeight="1"/>
    <row r="98" ht="24.0" customHeight="1"/>
    <row r="99" ht="24.0" customHeight="1"/>
    <row r="100" ht="24.0" customHeight="1"/>
    <row r="101" ht="24.0" customHeight="1"/>
    <row r="102" ht="24.0" customHeight="1"/>
    <row r="103" ht="24.0" customHeight="1"/>
    <row r="104" ht="24.0" customHeight="1"/>
    <row r="105" ht="24.0" customHeight="1"/>
    <row r="106" ht="24.0" customHeight="1"/>
    <row r="107" ht="24.0" customHeight="1"/>
    <row r="108" ht="24.0" customHeight="1"/>
    <row r="109" ht="24.0" customHeight="1"/>
    <row r="110" ht="24.0" customHeight="1"/>
    <row r="111" ht="24.0" customHeight="1"/>
    <row r="112" ht="24.0" customHeight="1"/>
    <row r="113" ht="24.0" customHeight="1"/>
    <row r="114" ht="24.0" customHeight="1"/>
    <row r="115" ht="24.0" customHeight="1"/>
    <row r="116" ht="24.0" customHeight="1"/>
    <row r="117" ht="24.0" customHeight="1"/>
    <row r="118" ht="24.0" customHeight="1"/>
    <row r="119" ht="24.0" customHeight="1"/>
    <row r="120" ht="24.0" customHeight="1"/>
    <row r="121" ht="24.0" customHeight="1"/>
    <row r="122" ht="24.0" customHeight="1"/>
    <row r="123" ht="24.0" customHeight="1"/>
    <row r="124" ht="24.0" customHeight="1"/>
    <row r="125" ht="24.0" customHeight="1"/>
    <row r="126" ht="24.0" customHeight="1"/>
    <row r="127" ht="24.0" customHeight="1"/>
    <row r="128" ht="24.0" customHeight="1"/>
    <row r="129" ht="24.0" customHeight="1"/>
    <row r="130" ht="24.0" customHeight="1"/>
    <row r="131" ht="24.0" customHeight="1"/>
    <row r="132" ht="24.0" customHeight="1"/>
    <row r="133" ht="24.0" customHeight="1"/>
    <row r="134" ht="24.0" customHeight="1"/>
    <row r="135" ht="24.0" customHeight="1"/>
    <row r="136" ht="24.0" customHeight="1"/>
    <row r="137" ht="24.0" customHeight="1"/>
    <row r="138" ht="24.0" customHeight="1"/>
    <row r="139" ht="24.0" customHeight="1"/>
    <row r="140" ht="24.0" customHeight="1"/>
    <row r="141" ht="24.0" customHeight="1"/>
    <row r="142" ht="24.0" customHeight="1"/>
    <row r="143" ht="24.0" customHeight="1"/>
    <row r="144" ht="24.0" customHeight="1"/>
    <row r="145" ht="24.0" customHeight="1"/>
    <row r="146" ht="24.0" customHeight="1"/>
    <row r="147" ht="24.0" customHeight="1"/>
    <row r="148" ht="24.0" customHeight="1"/>
    <row r="149" ht="24.0" customHeight="1"/>
    <row r="150" ht="24.0" customHeight="1"/>
    <row r="151" ht="24.0" customHeight="1"/>
    <row r="152" ht="24.0" customHeight="1"/>
    <row r="153" ht="24.0" customHeight="1"/>
    <row r="154" ht="24.0" customHeight="1"/>
    <row r="155" ht="24.0" customHeight="1"/>
    <row r="156" ht="24.0" customHeight="1"/>
    <row r="157" ht="24.0" customHeight="1"/>
    <row r="158" ht="24.0" customHeight="1"/>
    <row r="159" ht="24.0" customHeight="1"/>
    <row r="160" ht="24.0" customHeight="1"/>
    <row r="161" ht="24.0" customHeight="1"/>
    <row r="162" ht="24.0" customHeight="1"/>
    <row r="163" ht="24.0" customHeight="1"/>
    <row r="164" ht="24.0" customHeight="1"/>
    <row r="165" ht="24.0" customHeight="1"/>
    <row r="166" ht="24.0" customHeight="1"/>
    <row r="167" ht="24.0" customHeight="1"/>
    <row r="168" ht="24.0" customHeight="1"/>
    <row r="169" ht="24.0" customHeight="1"/>
    <row r="170" ht="24.0" customHeight="1"/>
    <row r="171" ht="24.0" customHeight="1"/>
    <row r="172" ht="24.0" customHeight="1"/>
    <row r="173" ht="24.0" customHeight="1"/>
    <row r="174" ht="24.0" customHeight="1"/>
    <row r="175" ht="24.0" customHeight="1"/>
    <row r="176" ht="24.0" customHeight="1"/>
    <row r="177" ht="24.0" customHeight="1"/>
    <row r="178" ht="24.0" customHeight="1"/>
    <row r="179" ht="24.0" customHeight="1"/>
    <row r="180" ht="24.0" customHeight="1"/>
    <row r="181" ht="24.0" customHeight="1"/>
    <row r="182" ht="24.0" customHeight="1"/>
    <row r="183" ht="24.0" customHeight="1"/>
    <row r="184" ht="24.0" customHeight="1"/>
    <row r="185" ht="24.0" customHeight="1"/>
    <row r="186" ht="24.0" customHeight="1"/>
    <row r="187" ht="24.0" customHeight="1"/>
    <row r="188" ht="24.0" customHeight="1"/>
    <row r="189" ht="24.0" customHeight="1"/>
    <row r="190" ht="24.0" customHeight="1"/>
    <row r="191" ht="24.0" customHeight="1"/>
    <row r="192" ht="24.0" customHeight="1"/>
    <row r="193" ht="24.0" customHeight="1"/>
    <row r="194" ht="24.0" customHeight="1"/>
    <row r="195" ht="24.0" customHeight="1"/>
    <row r="196" ht="24.0" customHeight="1"/>
    <row r="197" ht="24.0" customHeight="1"/>
    <row r="198" ht="24.0" customHeight="1"/>
    <row r="199" ht="24.0" customHeight="1"/>
    <row r="200" ht="24.0" customHeight="1"/>
    <row r="201" ht="24.0" customHeight="1"/>
    <row r="202" ht="24.0" customHeight="1"/>
    <row r="203" ht="24.0" customHeight="1"/>
    <row r="204" ht="24.0" customHeight="1"/>
    <row r="205" ht="24.0" customHeight="1"/>
    <row r="206" ht="24.0" customHeight="1"/>
    <row r="207" ht="24.0" customHeight="1"/>
    <row r="208" ht="24.0" customHeight="1"/>
    <row r="209" ht="24.0" customHeight="1"/>
    <row r="210" ht="24.0" customHeight="1"/>
    <row r="211" ht="24.0" customHeight="1"/>
    <row r="212" ht="24.0" customHeight="1"/>
    <row r="213" ht="24.0" customHeight="1"/>
    <row r="214" ht="24.0" customHeight="1"/>
    <row r="215" ht="24.0" customHeight="1"/>
    <row r="216" ht="24.0" customHeight="1"/>
    <row r="217" ht="24.0" customHeight="1"/>
    <row r="218" ht="24.0" customHeight="1"/>
    <row r="219" ht="24.0" customHeight="1"/>
    <row r="220" ht="24.0" customHeight="1"/>
    <row r="221" ht="24.0" customHeight="1"/>
    <row r="222" ht="24.0" customHeight="1"/>
    <row r="223" ht="24.0" customHeight="1"/>
    <row r="224" ht="24.0" customHeight="1"/>
    <row r="225" ht="24.0" customHeight="1"/>
    <row r="226" ht="24.0" customHeight="1"/>
    <row r="227" ht="24.0" customHeight="1"/>
    <row r="228" ht="24.0" customHeight="1"/>
    <row r="229" ht="24.0" customHeight="1"/>
    <row r="230" ht="24.0" customHeight="1"/>
    <row r="231" ht="24.0" customHeight="1"/>
    <row r="232" ht="24.0" customHeight="1"/>
    <row r="233" ht="24.0" customHeight="1"/>
    <row r="234" ht="24.0" customHeight="1"/>
    <row r="235" ht="24.0" customHeight="1"/>
    <row r="236" ht="24.0" customHeight="1"/>
    <row r="237" ht="24.0" customHeight="1"/>
    <row r="238" ht="24.0" customHeight="1"/>
    <row r="239" ht="24.0" customHeight="1"/>
    <row r="240" ht="24.0" customHeight="1"/>
    <row r="241" ht="24.0" customHeight="1"/>
    <row r="242" ht="24.0" customHeight="1"/>
    <row r="243" ht="24.0" customHeight="1"/>
    <row r="244" ht="24.0" customHeight="1"/>
    <row r="245" ht="24.0" customHeight="1"/>
    <row r="246" ht="24.0" customHeight="1"/>
    <row r="247" ht="24.0" customHeight="1"/>
    <row r="248" ht="24.0" customHeight="1"/>
    <row r="249" ht="24.0" customHeight="1"/>
    <row r="250" ht="24.0" customHeight="1"/>
    <row r="251" ht="24.0" customHeight="1"/>
    <row r="252" ht="24.0" customHeight="1"/>
    <row r="253" ht="24.0" customHeight="1"/>
    <row r="254" ht="24.0" customHeight="1"/>
    <row r="255" ht="24.0" customHeight="1"/>
    <row r="256" ht="24.0" customHeight="1"/>
    <row r="257" ht="24.0" customHeight="1"/>
    <row r="258" ht="24.0" customHeight="1"/>
    <row r="259" ht="24.0" customHeight="1"/>
    <row r="260" ht="24.0" customHeight="1"/>
    <row r="261" ht="24.0" customHeight="1"/>
    <row r="262" ht="24.0" customHeight="1"/>
    <row r="263" ht="24.0" customHeight="1"/>
    <row r="264" ht="24.0" customHeight="1"/>
    <row r="265" ht="24.0" customHeight="1"/>
    <row r="266" ht="24.0" customHeight="1"/>
    <row r="267" ht="24.0" customHeight="1"/>
    <row r="268" ht="24.0" customHeight="1"/>
    <row r="269" ht="24.0" customHeight="1"/>
    <row r="270" ht="24.0" customHeight="1"/>
    <row r="271" ht="24.0" customHeight="1"/>
    <row r="272" ht="24.0" customHeight="1"/>
    <row r="273" ht="24.0" customHeight="1"/>
    <row r="274" ht="24.0" customHeight="1"/>
    <row r="275" ht="24.0" customHeight="1"/>
    <row r="276" ht="24.0" customHeight="1"/>
    <row r="277" ht="24.0" customHeight="1"/>
    <row r="278" ht="24.0" customHeight="1"/>
    <row r="279" ht="24.0" customHeight="1"/>
    <row r="280" ht="24.0" customHeight="1"/>
    <row r="281" ht="24.0" customHeight="1"/>
    <row r="282" ht="24.0" customHeight="1"/>
    <row r="283" ht="24.0" customHeight="1"/>
    <row r="284" ht="24.0" customHeight="1"/>
    <row r="285" ht="24.0" customHeight="1"/>
    <row r="286" ht="24.0" customHeight="1"/>
    <row r="287" ht="24.0" customHeight="1"/>
    <row r="288" ht="24.0" customHeight="1"/>
    <row r="289" ht="24.0" customHeight="1"/>
    <row r="290" ht="24.0" customHeight="1"/>
    <row r="291" ht="24.0" customHeight="1"/>
    <row r="292" ht="24.0" customHeight="1"/>
    <row r="293" ht="24.0" customHeight="1"/>
    <row r="294" ht="24.0" customHeight="1"/>
    <row r="295" ht="24.0" customHeight="1"/>
    <row r="296" ht="24.0" customHeight="1"/>
    <row r="297" ht="24.0" customHeight="1"/>
    <row r="298" ht="24.0" customHeight="1"/>
    <row r="299" ht="24.0" customHeight="1"/>
    <row r="300" ht="24.0" customHeight="1"/>
    <row r="301" ht="24.0" customHeight="1"/>
    <row r="302" ht="24.0" customHeight="1"/>
    <row r="303" ht="24.0" customHeight="1"/>
    <row r="304" ht="24.0" customHeight="1"/>
    <row r="305" ht="24.0" customHeight="1"/>
    <row r="306" ht="24.0" customHeight="1"/>
    <row r="307" ht="24.0" customHeight="1"/>
    <row r="308" ht="24.0" customHeight="1"/>
    <row r="309" ht="24.0" customHeight="1"/>
    <row r="310" ht="24.0" customHeight="1"/>
    <row r="311" ht="24.0" customHeight="1"/>
    <row r="312" ht="24.0" customHeight="1"/>
    <row r="313" ht="24.0" customHeight="1"/>
    <row r="314" ht="24.0" customHeight="1"/>
    <row r="315" ht="24.0" customHeight="1"/>
    <row r="316" ht="24.0" customHeight="1"/>
    <row r="317" ht="24.0" customHeight="1"/>
    <row r="318" ht="24.0" customHeight="1"/>
    <row r="319" ht="24.0" customHeight="1"/>
    <row r="320" ht="24.0" customHeight="1"/>
    <row r="321" ht="24.0" customHeight="1"/>
    <row r="322" ht="24.0" customHeight="1"/>
    <row r="323" ht="24.0" customHeight="1"/>
    <row r="324" ht="24.0" customHeight="1"/>
    <row r="325" ht="24.0" customHeight="1"/>
    <row r="326" ht="24.0" customHeight="1"/>
    <row r="327" ht="24.0" customHeight="1"/>
    <row r="328" ht="24.0" customHeight="1"/>
    <row r="329" ht="24.0" customHeight="1"/>
    <row r="330" ht="24.0" customHeight="1"/>
    <row r="331" ht="24.0" customHeight="1"/>
    <row r="332" ht="24.0" customHeight="1"/>
    <row r="333" ht="24.0" customHeight="1"/>
    <row r="334" ht="24.0" customHeight="1"/>
    <row r="335" ht="24.0" customHeight="1"/>
    <row r="336" ht="24.0" customHeight="1"/>
    <row r="337" ht="24.0" customHeight="1"/>
    <row r="338" ht="24.0" customHeight="1"/>
    <row r="339" ht="24.0" customHeight="1"/>
    <row r="340" ht="24.0" customHeight="1"/>
    <row r="341" ht="24.0" customHeight="1"/>
    <row r="342" ht="24.0" customHeight="1"/>
    <row r="343" ht="24.0" customHeight="1"/>
    <row r="344" ht="24.0" customHeight="1"/>
    <row r="345" ht="24.0" customHeight="1"/>
    <row r="346" ht="24.0" customHeight="1"/>
    <row r="347" ht="24.0" customHeight="1"/>
    <row r="348" ht="24.0" customHeight="1"/>
    <row r="349" ht="24.0" customHeight="1"/>
    <row r="350" ht="24.0" customHeight="1"/>
    <row r="351" ht="24.0" customHeight="1"/>
    <row r="352" ht="24.0" customHeight="1"/>
    <row r="353" ht="24.0" customHeight="1"/>
    <row r="354" ht="24.0" customHeight="1"/>
    <row r="355" ht="24.0" customHeight="1"/>
    <row r="356" ht="24.0" customHeight="1"/>
    <row r="357" ht="24.0" customHeight="1"/>
    <row r="358" ht="24.0" customHeight="1"/>
    <row r="359" ht="24.0" customHeight="1"/>
    <row r="360" ht="24.0" customHeight="1"/>
    <row r="361" ht="24.0" customHeight="1"/>
    <row r="362" ht="24.0" customHeight="1"/>
    <row r="363" ht="24.0" customHeight="1"/>
    <row r="364" ht="24.0" customHeight="1"/>
    <row r="365" ht="24.0" customHeight="1"/>
    <row r="366" ht="24.0" customHeight="1"/>
    <row r="367" ht="24.0" customHeight="1"/>
    <row r="368" ht="24.0" customHeight="1"/>
    <row r="369" ht="24.0" customHeight="1"/>
    <row r="370" ht="24.0" customHeight="1"/>
    <row r="371" ht="24.0" customHeight="1"/>
    <row r="372" ht="24.0" customHeight="1"/>
    <row r="373" ht="24.0" customHeight="1"/>
    <row r="374" ht="24.0" customHeight="1"/>
    <row r="375" ht="24.0" customHeight="1"/>
    <row r="376" ht="24.0" customHeight="1"/>
    <row r="377" ht="24.0" customHeight="1"/>
    <row r="378" ht="24.0" customHeight="1"/>
    <row r="379" ht="24.0" customHeight="1"/>
    <row r="380" ht="24.0" customHeight="1"/>
    <row r="381" ht="24.0" customHeight="1"/>
    <row r="382" ht="24.0" customHeight="1"/>
    <row r="383" ht="24.0" customHeight="1"/>
    <row r="384" ht="24.0" customHeight="1"/>
    <row r="385" ht="24.0" customHeight="1"/>
    <row r="386" ht="24.0" customHeight="1"/>
    <row r="387" ht="24.0" customHeight="1"/>
    <row r="388" ht="24.0" customHeight="1"/>
    <row r="389" ht="24.0" customHeight="1"/>
    <row r="390" ht="24.0" customHeight="1"/>
    <row r="391" ht="24.0" customHeight="1"/>
    <row r="392" ht="24.0" customHeight="1"/>
    <row r="393" ht="24.0" customHeight="1"/>
    <row r="394" ht="24.0" customHeight="1"/>
    <row r="395" ht="24.0" customHeight="1"/>
    <row r="396" ht="24.0" customHeight="1"/>
    <row r="397" ht="24.0" customHeight="1"/>
    <row r="398" ht="24.0" customHeight="1"/>
    <row r="399" ht="24.0" customHeight="1"/>
    <row r="400" ht="24.0" customHeight="1"/>
    <row r="401" ht="24.0" customHeight="1"/>
    <row r="402" ht="24.0" customHeight="1"/>
    <row r="403" ht="24.0" customHeight="1"/>
    <row r="404" ht="24.0" customHeight="1"/>
    <row r="405" ht="24.0" customHeight="1"/>
    <row r="406" ht="24.0" customHeight="1"/>
    <row r="407" ht="24.0" customHeight="1"/>
    <row r="408" ht="24.0" customHeight="1"/>
    <row r="409" ht="24.0" customHeight="1"/>
    <row r="410" ht="24.0" customHeight="1"/>
    <row r="411" ht="24.0" customHeight="1"/>
    <row r="412" ht="24.0" customHeight="1"/>
    <row r="413" ht="24.0" customHeight="1"/>
    <row r="414" ht="24.0" customHeight="1"/>
    <row r="415" ht="24.0" customHeight="1"/>
    <row r="416" ht="24.0" customHeight="1"/>
    <row r="417" ht="24.0" customHeight="1"/>
    <row r="418" ht="24.0" customHeight="1"/>
    <row r="419" ht="24.0" customHeight="1"/>
    <row r="420" ht="24.0" customHeight="1"/>
    <row r="421" ht="24.0" customHeight="1"/>
    <row r="422" ht="24.0" customHeight="1"/>
    <row r="423" ht="24.0" customHeight="1"/>
    <row r="424" ht="24.0" customHeight="1"/>
    <row r="425" ht="24.0" customHeight="1"/>
    <row r="426" ht="24.0" customHeight="1"/>
    <row r="427" ht="24.0" customHeight="1"/>
    <row r="428" ht="24.0" customHeight="1"/>
    <row r="429" ht="24.0" customHeight="1"/>
    <row r="430" ht="24.0" customHeight="1"/>
    <row r="431" ht="24.0" customHeight="1"/>
    <row r="432" ht="24.0" customHeight="1"/>
    <row r="433" ht="24.0" customHeight="1"/>
    <row r="434" ht="24.0" customHeight="1"/>
    <row r="435" ht="24.0" customHeight="1"/>
    <row r="436" ht="24.0" customHeight="1"/>
    <row r="437" ht="24.0" customHeight="1"/>
    <row r="438" ht="24.0" customHeight="1"/>
    <row r="439" ht="24.0" customHeight="1"/>
    <row r="440" ht="24.0" customHeight="1"/>
    <row r="441" ht="24.0" customHeight="1"/>
    <row r="442" ht="24.0" customHeight="1"/>
    <row r="443" ht="24.0" customHeight="1"/>
    <row r="444" ht="24.0" customHeight="1"/>
    <row r="445" ht="24.0" customHeight="1"/>
    <row r="446" ht="24.0" customHeight="1"/>
    <row r="447" ht="24.0" customHeight="1"/>
    <row r="448" ht="24.0" customHeight="1"/>
    <row r="449" ht="24.0" customHeight="1"/>
    <row r="450" ht="24.0" customHeight="1"/>
    <row r="451" ht="24.0" customHeight="1"/>
    <row r="452" ht="24.0" customHeight="1"/>
    <row r="453" ht="24.0" customHeight="1"/>
    <row r="454" ht="24.0" customHeight="1"/>
    <row r="455" ht="24.0" customHeight="1"/>
    <row r="456" ht="24.0" customHeight="1"/>
    <row r="457" ht="24.0" customHeight="1"/>
    <row r="458" ht="24.0" customHeight="1"/>
    <row r="459" ht="24.0" customHeight="1"/>
    <row r="460" ht="24.0" customHeight="1"/>
    <row r="461" ht="24.0" customHeight="1"/>
    <row r="462" ht="24.0" customHeight="1"/>
    <row r="463" ht="24.0" customHeight="1"/>
    <row r="464" ht="24.0" customHeight="1"/>
    <row r="465" ht="24.0" customHeight="1"/>
    <row r="466" ht="24.0" customHeight="1"/>
    <row r="467" ht="24.0" customHeight="1"/>
    <row r="468" ht="24.0" customHeight="1"/>
    <row r="469" ht="24.0" customHeight="1"/>
    <row r="470" ht="24.0" customHeight="1"/>
    <row r="471" ht="24.0" customHeight="1"/>
    <row r="472" ht="24.0" customHeight="1"/>
    <row r="473" ht="24.0" customHeight="1"/>
    <row r="474" ht="24.0" customHeight="1"/>
    <row r="475" ht="24.0" customHeight="1"/>
    <row r="476" ht="24.0" customHeight="1"/>
    <row r="477" ht="24.0" customHeight="1"/>
    <row r="478" ht="24.0" customHeight="1"/>
    <row r="479" ht="24.0" customHeight="1"/>
    <row r="480" ht="24.0" customHeight="1"/>
    <row r="481" ht="24.0" customHeight="1"/>
    <row r="482" ht="24.0" customHeight="1"/>
    <row r="483" ht="24.0" customHeight="1"/>
    <row r="484" ht="24.0" customHeight="1"/>
    <row r="485" ht="24.0" customHeight="1"/>
    <row r="486" ht="24.0" customHeight="1"/>
    <row r="487" ht="24.0" customHeight="1"/>
    <row r="488" ht="24.0" customHeight="1"/>
    <row r="489" ht="24.0" customHeight="1"/>
    <row r="490" ht="24.0" customHeight="1"/>
    <row r="491" ht="24.0" customHeight="1"/>
    <row r="492" ht="24.0" customHeight="1"/>
    <row r="493" ht="24.0" customHeight="1"/>
    <row r="494" ht="24.0" customHeight="1"/>
    <row r="495" ht="24.0" customHeight="1"/>
    <row r="496" ht="24.0" customHeight="1"/>
    <row r="497" ht="24.0" customHeight="1"/>
    <row r="498" ht="24.0" customHeight="1"/>
    <row r="499" ht="24.0" customHeight="1"/>
    <row r="500" ht="24.0" customHeight="1"/>
    <row r="501" ht="24.0" customHeight="1"/>
    <row r="502" ht="24.0" customHeight="1"/>
    <row r="503" ht="24.0" customHeight="1"/>
    <row r="504" ht="24.0" customHeight="1"/>
    <row r="505" ht="24.0" customHeight="1"/>
    <row r="506" ht="24.0" customHeight="1"/>
    <row r="507" ht="24.0" customHeight="1"/>
    <row r="508" ht="24.0" customHeight="1"/>
    <row r="509" ht="24.0" customHeight="1"/>
    <row r="510" ht="24.0" customHeight="1"/>
    <row r="511" ht="24.0" customHeight="1"/>
    <row r="512" ht="24.0" customHeight="1"/>
    <row r="513" ht="24.0" customHeight="1"/>
    <row r="514" ht="24.0" customHeight="1"/>
    <row r="515" ht="24.0" customHeight="1"/>
    <row r="516" ht="24.0" customHeight="1"/>
    <row r="517" ht="24.0" customHeight="1"/>
    <row r="518" ht="24.0" customHeight="1"/>
    <row r="519" ht="24.0" customHeight="1"/>
    <row r="520" ht="24.0" customHeight="1"/>
    <row r="521" ht="24.0" customHeight="1"/>
    <row r="522" ht="24.0" customHeight="1"/>
    <row r="523" ht="24.0" customHeight="1"/>
    <row r="524" ht="24.0" customHeight="1"/>
    <row r="525" ht="24.0" customHeight="1"/>
    <row r="526" ht="24.0" customHeight="1"/>
    <row r="527" ht="24.0" customHeight="1"/>
    <row r="528" ht="24.0" customHeight="1"/>
    <row r="529" ht="24.0" customHeight="1"/>
    <row r="530" ht="24.0" customHeight="1"/>
    <row r="531" ht="24.0" customHeight="1"/>
    <row r="532" ht="24.0" customHeight="1"/>
    <row r="533" ht="24.0" customHeight="1"/>
    <row r="534" ht="24.0" customHeight="1"/>
    <row r="535" ht="24.0" customHeight="1"/>
    <row r="536" ht="24.0" customHeight="1"/>
    <row r="537" ht="24.0" customHeight="1"/>
    <row r="538" ht="24.0" customHeight="1"/>
    <row r="539" ht="24.0" customHeight="1"/>
    <row r="540" ht="24.0" customHeight="1"/>
    <row r="541" ht="24.0" customHeight="1"/>
    <row r="542" ht="24.0" customHeight="1"/>
    <row r="543" ht="24.0" customHeight="1"/>
    <row r="544" ht="24.0" customHeight="1"/>
    <row r="545" ht="24.0" customHeight="1"/>
    <row r="546" ht="24.0" customHeight="1"/>
    <row r="547" ht="24.0" customHeight="1"/>
    <row r="548" ht="24.0" customHeight="1"/>
    <row r="549" ht="24.0" customHeight="1"/>
    <row r="550" ht="24.0" customHeight="1"/>
    <row r="551" ht="24.0" customHeight="1"/>
    <row r="552" ht="24.0" customHeight="1"/>
    <row r="553" ht="24.0" customHeight="1"/>
    <row r="554" ht="24.0" customHeight="1"/>
    <row r="555" ht="24.0" customHeight="1"/>
    <row r="556" ht="24.0" customHeight="1"/>
    <row r="557" ht="24.0" customHeight="1"/>
    <row r="558" ht="24.0" customHeight="1"/>
    <row r="559" ht="24.0" customHeight="1"/>
    <row r="560" ht="24.0" customHeight="1"/>
    <row r="561" ht="24.0" customHeight="1"/>
    <row r="562" ht="24.0" customHeight="1"/>
    <row r="563" ht="24.0" customHeight="1"/>
    <row r="564" ht="24.0" customHeight="1"/>
    <row r="565" ht="24.0" customHeight="1"/>
    <row r="566" ht="24.0" customHeight="1"/>
    <row r="567" ht="24.0" customHeight="1"/>
    <row r="568" ht="24.0" customHeight="1"/>
    <row r="569" ht="24.0" customHeight="1"/>
    <row r="570" ht="24.0" customHeight="1"/>
    <row r="571" ht="24.0" customHeight="1"/>
    <row r="572" ht="24.0" customHeight="1"/>
    <row r="573" ht="24.0" customHeight="1"/>
    <row r="574" ht="24.0" customHeight="1"/>
    <row r="575" ht="24.0" customHeight="1"/>
    <row r="576" ht="24.0" customHeight="1"/>
    <row r="577" ht="24.0" customHeight="1"/>
    <row r="578" ht="24.0" customHeight="1"/>
    <row r="579" ht="24.0" customHeight="1"/>
    <row r="580" ht="24.0" customHeight="1"/>
    <row r="581" ht="24.0" customHeight="1"/>
    <row r="582" ht="24.0" customHeight="1"/>
    <row r="583" ht="24.0" customHeight="1"/>
    <row r="584" ht="24.0" customHeight="1"/>
    <row r="585" ht="24.0" customHeight="1"/>
    <row r="586" ht="24.0" customHeight="1"/>
    <row r="587" ht="24.0" customHeight="1"/>
    <row r="588" ht="24.0" customHeight="1"/>
    <row r="589" ht="24.0" customHeight="1"/>
    <row r="590" ht="24.0" customHeight="1"/>
    <row r="591" ht="24.0" customHeight="1"/>
    <row r="592" ht="24.0" customHeight="1"/>
    <row r="593" ht="24.0" customHeight="1"/>
    <row r="594" ht="24.0" customHeight="1"/>
    <row r="595" ht="24.0" customHeight="1"/>
    <row r="596" ht="24.0" customHeight="1"/>
    <row r="597" ht="24.0" customHeight="1"/>
    <row r="598" ht="24.0" customHeight="1"/>
    <row r="599" ht="24.0" customHeight="1"/>
    <row r="600" ht="24.0" customHeight="1"/>
    <row r="601" ht="24.0" customHeight="1"/>
    <row r="602" ht="24.0" customHeight="1"/>
    <row r="603" ht="24.0" customHeight="1"/>
    <row r="604" ht="24.0" customHeight="1"/>
    <row r="605" ht="24.0" customHeight="1"/>
    <row r="606" ht="24.0" customHeight="1"/>
    <row r="607" ht="24.0" customHeight="1"/>
    <row r="608" ht="24.0" customHeight="1"/>
    <row r="609" ht="24.0" customHeight="1"/>
    <row r="610" ht="24.0" customHeight="1"/>
    <row r="611" ht="24.0" customHeight="1"/>
    <row r="612" ht="24.0" customHeight="1"/>
    <row r="613" ht="24.0" customHeight="1"/>
    <row r="614" ht="24.0" customHeight="1"/>
    <row r="615" ht="24.0" customHeight="1"/>
    <row r="616" ht="24.0" customHeight="1"/>
    <row r="617" ht="24.0" customHeight="1"/>
    <row r="618" ht="24.0" customHeight="1"/>
    <row r="619" ht="24.0" customHeight="1"/>
    <row r="620" ht="24.0" customHeight="1"/>
    <row r="621" ht="24.0" customHeight="1"/>
    <row r="622" ht="24.0" customHeight="1"/>
    <row r="623" ht="24.0" customHeight="1"/>
    <row r="624" ht="24.0" customHeight="1"/>
    <row r="625" ht="24.0" customHeight="1"/>
    <row r="626" ht="24.0" customHeight="1"/>
    <row r="627" ht="24.0" customHeight="1"/>
    <row r="628" ht="24.0" customHeight="1"/>
    <row r="629" ht="24.0" customHeight="1"/>
    <row r="630" ht="24.0" customHeight="1"/>
    <row r="631" ht="24.0" customHeight="1"/>
    <row r="632" ht="24.0" customHeight="1"/>
    <row r="633" ht="24.0" customHeight="1"/>
    <row r="634" ht="24.0" customHeight="1"/>
    <row r="635" ht="24.0" customHeight="1"/>
    <row r="636" ht="24.0" customHeight="1"/>
    <row r="637" ht="24.0" customHeight="1"/>
    <row r="638" ht="24.0" customHeight="1"/>
    <row r="639" ht="24.0" customHeight="1"/>
    <row r="640" ht="24.0" customHeight="1"/>
    <row r="641" ht="24.0" customHeight="1"/>
    <row r="642" ht="24.0" customHeight="1"/>
    <row r="643" ht="24.0" customHeight="1"/>
    <row r="644" ht="24.0" customHeight="1"/>
    <row r="645" ht="24.0" customHeight="1"/>
    <row r="646" ht="24.0" customHeight="1"/>
    <row r="647" ht="24.0" customHeight="1"/>
    <row r="648" ht="24.0" customHeight="1"/>
    <row r="649" ht="24.0" customHeight="1"/>
    <row r="650" ht="24.0" customHeight="1"/>
    <row r="651" ht="24.0" customHeight="1"/>
    <row r="652" ht="24.0" customHeight="1"/>
    <row r="653" ht="24.0" customHeight="1"/>
    <row r="654" ht="24.0" customHeight="1"/>
    <row r="655" ht="24.0" customHeight="1"/>
    <row r="656" ht="24.0" customHeight="1"/>
    <row r="657" ht="24.0" customHeight="1"/>
    <row r="658" ht="24.0" customHeight="1"/>
    <row r="659" ht="24.0" customHeight="1"/>
    <row r="660" ht="24.0" customHeight="1"/>
    <row r="661" ht="24.0" customHeight="1"/>
    <row r="662" ht="24.0" customHeight="1"/>
    <row r="663" ht="24.0" customHeight="1"/>
    <row r="664" ht="24.0" customHeight="1"/>
    <row r="665" ht="24.0" customHeight="1"/>
    <row r="666" ht="24.0" customHeight="1"/>
    <row r="667" ht="24.0" customHeight="1"/>
    <row r="668" ht="24.0" customHeight="1"/>
    <row r="669" ht="24.0" customHeight="1"/>
    <row r="670" ht="24.0" customHeight="1"/>
    <row r="671" ht="24.0" customHeight="1"/>
    <row r="672" ht="24.0" customHeight="1"/>
    <row r="673" ht="24.0" customHeight="1"/>
    <row r="674" ht="24.0" customHeight="1"/>
    <row r="675" ht="24.0" customHeight="1"/>
    <row r="676" ht="24.0" customHeight="1"/>
    <row r="677" ht="24.0" customHeight="1"/>
    <row r="678" ht="24.0" customHeight="1"/>
    <row r="679" ht="24.0" customHeight="1"/>
    <row r="680" ht="24.0" customHeight="1"/>
    <row r="681" ht="24.0" customHeight="1"/>
    <row r="682" ht="24.0" customHeight="1"/>
    <row r="683" ht="24.0" customHeight="1"/>
    <row r="684" ht="24.0" customHeight="1"/>
    <row r="685" ht="24.0" customHeight="1"/>
    <row r="686" ht="24.0" customHeight="1"/>
    <row r="687" ht="24.0" customHeight="1"/>
    <row r="688" ht="24.0" customHeight="1"/>
    <row r="689" ht="24.0" customHeight="1"/>
    <row r="690" ht="24.0" customHeight="1"/>
    <row r="691" ht="24.0" customHeight="1"/>
    <row r="692" ht="24.0" customHeight="1"/>
    <row r="693" ht="24.0" customHeight="1"/>
    <row r="694" ht="24.0" customHeight="1"/>
    <row r="695" ht="24.0" customHeight="1"/>
    <row r="696" ht="24.0" customHeight="1"/>
    <row r="697" ht="24.0" customHeight="1"/>
    <row r="698" ht="24.0" customHeight="1"/>
    <row r="699" ht="24.0" customHeight="1"/>
    <row r="700" ht="24.0" customHeight="1"/>
    <row r="701" ht="24.0" customHeight="1"/>
    <row r="702" ht="24.0" customHeight="1"/>
    <row r="703" ht="24.0" customHeight="1"/>
    <row r="704" ht="24.0" customHeight="1"/>
    <row r="705" ht="24.0" customHeight="1"/>
    <row r="706" ht="24.0" customHeight="1"/>
    <row r="707" ht="24.0" customHeight="1"/>
    <row r="708" ht="24.0" customHeight="1"/>
    <row r="709" ht="24.0" customHeight="1"/>
    <row r="710" ht="24.0" customHeight="1"/>
    <row r="711" ht="24.0" customHeight="1"/>
    <row r="712" ht="24.0" customHeight="1"/>
    <row r="713" ht="24.0" customHeight="1"/>
    <row r="714" ht="24.0" customHeight="1"/>
    <row r="715" ht="24.0" customHeight="1"/>
    <row r="716" ht="24.0" customHeight="1"/>
    <row r="717" ht="24.0" customHeight="1"/>
    <row r="718" ht="24.0" customHeight="1"/>
    <row r="719" ht="24.0" customHeight="1"/>
    <row r="720" ht="24.0" customHeight="1"/>
    <row r="721" ht="24.0" customHeight="1"/>
    <row r="722" ht="24.0" customHeight="1"/>
    <row r="723" ht="24.0" customHeight="1"/>
    <row r="724" ht="24.0" customHeight="1"/>
    <row r="725" ht="24.0" customHeight="1"/>
    <row r="726" ht="24.0" customHeight="1"/>
    <row r="727" ht="24.0" customHeight="1"/>
    <row r="728" ht="24.0" customHeight="1"/>
    <row r="729" ht="24.0" customHeight="1"/>
    <row r="730" ht="24.0" customHeight="1"/>
    <row r="731" ht="24.0" customHeight="1"/>
    <row r="732" ht="24.0" customHeight="1"/>
    <row r="733" ht="24.0" customHeight="1"/>
    <row r="734" ht="24.0" customHeight="1"/>
    <row r="735" ht="24.0" customHeight="1"/>
    <row r="736" ht="24.0" customHeight="1"/>
    <row r="737" ht="24.0" customHeight="1"/>
    <row r="738" ht="24.0" customHeight="1"/>
    <row r="739" ht="24.0" customHeight="1"/>
    <row r="740" ht="24.0" customHeight="1"/>
    <row r="741" ht="24.0" customHeight="1"/>
    <row r="742" ht="24.0" customHeight="1"/>
    <row r="743" ht="24.0" customHeight="1"/>
    <row r="744" ht="24.0" customHeight="1"/>
    <row r="745" ht="24.0" customHeight="1"/>
    <row r="746" ht="24.0" customHeight="1"/>
    <row r="747" ht="24.0" customHeight="1"/>
    <row r="748" ht="24.0" customHeight="1"/>
    <row r="749" ht="24.0" customHeight="1"/>
    <row r="750" ht="24.0" customHeight="1"/>
    <row r="751" ht="24.0" customHeight="1"/>
    <row r="752" ht="24.0" customHeight="1"/>
    <row r="753" ht="24.0" customHeight="1"/>
    <row r="754" ht="24.0" customHeight="1"/>
    <row r="755" ht="24.0" customHeight="1"/>
    <row r="756" ht="24.0" customHeight="1"/>
    <row r="757" ht="24.0" customHeight="1"/>
    <row r="758" ht="24.0" customHeight="1"/>
    <row r="759" ht="24.0" customHeight="1"/>
    <row r="760" ht="24.0" customHeight="1"/>
    <row r="761" ht="24.0" customHeight="1"/>
    <row r="762" ht="24.0" customHeight="1"/>
    <row r="763" ht="24.0" customHeight="1"/>
    <row r="764" ht="24.0" customHeight="1"/>
    <row r="765" ht="24.0" customHeight="1"/>
    <row r="766" ht="24.0" customHeight="1"/>
    <row r="767" ht="24.0" customHeight="1"/>
    <row r="768" ht="24.0" customHeight="1"/>
    <row r="769" ht="24.0" customHeight="1"/>
    <row r="770" ht="24.0" customHeight="1"/>
    <row r="771" ht="24.0" customHeight="1"/>
    <row r="772" ht="24.0" customHeight="1"/>
    <row r="773" ht="24.0" customHeight="1"/>
    <row r="774" ht="24.0" customHeight="1"/>
    <row r="775" ht="24.0" customHeight="1"/>
    <row r="776" ht="24.0" customHeight="1"/>
    <row r="777" ht="24.0" customHeight="1"/>
    <row r="778" ht="24.0" customHeight="1"/>
    <row r="779" ht="24.0" customHeight="1"/>
    <row r="780" ht="24.0" customHeight="1"/>
    <row r="781" ht="24.0" customHeight="1"/>
    <row r="782" ht="24.0" customHeight="1"/>
    <row r="783" ht="24.0" customHeight="1"/>
    <row r="784" ht="24.0" customHeight="1"/>
    <row r="785" ht="24.0" customHeight="1"/>
    <row r="786" ht="24.0" customHeight="1"/>
    <row r="787" ht="24.0" customHeight="1"/>
    <row r="788" ht="24.0" customHeight="1"/>
    <row r="789" ht="24.0" customHeight="1"/>
    <row r="790" ht="24.0" customHeight="1"/>
    <row r="791" ht="24.0" customHeight="1"/>
    <row r="792" ht="24.0" customHeight="1"/>
    <row r="793" ht="24.0" customHeight="1"/>
    <row r="794" ht="24.0" customHeight="1"/>
    <row r="795" ht="24.0" customHeight="1"/>
    <row r="796" ht="24.0" customHeight="1"/>
    <row r="797" ht="24.0" customHeight="1"/>
    <row r="798" ht="24.0" customHeight="1"/>
    <row r="799" ht="24.0" customHeight="1"/>
    <row r="800" ht="24.0" customHeight="1"/>
    <row r="801" ht="24.0" customHeight="1"/>
    <row r="802" ht="24.0" customHeight="1"/>
    <row r="803" ht="24.0" customHeight="1"/>
    <row r="804" ht="24.0" customHeight="1"/>
    <row r="805" ht="24.0" customHeight="1"/>
    <row r="806" ht="24.0" customHeight="1"/>
    <row r="807" ht="24.0" customHeight="1"/>
    <row r="808" ht="24.0" customHeight="1"/>
    <row r="809" ht="24.0" customHeight="1"/>
    <row r="810" ht="24.0" customHeight="1"/>
    <row r="811" ht="24.0" customHeight="1"/>
    <row r="812" ht="24.0" customHeight="1"/>
    <row r="813" ht="24.0" customHeight="1"/>
    <row r="814" ht="24.0" customHeight="1"/>
    <row r="815" ht="24.0" customHeight="1"/>
    <row r="816" ht="24.0" customHeight="1"/>
    <row r="817" ht="24.0" customHeight="1"/>
    <row r="818" ht="24.0" customHeight="1"/>
    <row r="819" ht="24.0" customHeight="1"/>
    <row r="820" ht="24.0" customHeight="1"/>
    <row r="821" ht="24.0" customHeight="1"/>
    <row r="822" ht="24.0" customHeight="1"/>
    <row r="823" ht="24.0" customHeight="1"/>
    <row r="824" ht="24.0" customHeight="1"/>
    <row r="825" ht="24.0" customHeight="1"/>
    <row r="826" ht="24.0" customHeight="1"/>
    <row r="827" ht="24.0" customHeight="1"/>
    <row r="828" ht="24.0" customHeight="1"/>
    <row r="829" ht="24.0" customHeight="1"/>
    <row r="830" ht="24.0" customHeight="1"/>
    <row r="831" ht="24.0" customHeight="1"/>
    <row r="832" ht="24.0" customHeight="1"/>
    <row r="833" ht="24.0" customHeight="1"/>
    <row r="834" ht="24.0" customHeight="1"/>
    <row r="835" ht="24.0" customHeight="1"/>
    <row r="836" ht="24.0" customHeight="1"/>
    <row r="837" ht="24.0" customHeight="1"/>
    <row r="838" ht="24.0" customHeight="1"/>
    <row r="839" ht="24.0" customHeight="1"/>
    <row r="840" ht="24.0" customHeight="1"/>
    <row r="841" ht="24.0" customHeight="1"/>
    <row r="842" ht="24.0" customHeight="1"/>
    <row r="843" ht="24.0" customHeight="1"/>
    <row r="844" ht="24.0" customHeight="1"/>
    <row r="845" ht="24.0" customHeight="1"/>
    <row r="846" ht="24.0" customHeight="1"/>
    <row r="847" ht="24.0" customHeight="1"/>
    <row r="848" ht="24.0" customHeight="1"/>
    <row r="849" ht="24.0" customHeight="1"/>
    <row r="850" ht="24.0" customHeight="1"/>
    <row r="851" ht="24.0" customHeight="1"/>
    <row r="852" ht="24.0" customHeight="1"/>
    <row r="853" ht="24.0" customHeight="1"/>
    <row r="854" ht="24.0" customHeight="1"/>
    <row r="855" ht="24.0" customHeight="1"/>
    <row r="856" ht="24.0" customHeight="1"/>
    <row r="857" ht="24.0" customHeight="1"/>
    <row r="858" ht="24.0" customHeight="1"/>
    <row r="859" ht="24.0" customHeight="1"/>
    <row r="860" ht="24.0" customHeight="1"/>
    <row r="861" ht="24.0" customHeight="1"/>
    <row r="862" ht="24.0" customHeight="1"/>
    <row r="863" ht="24.0" customHeight="1"/>
    <row r="864" ht="24.0" customHeight="1"/>
    <row r="865" ht="24.0" customHeight="1"/>
    <row r="866" ht="24.0" customHeight="1"/>
    <row r="867" ht="24.0" customHeight="1"/>
    <row r="868" ht="24.0" customHeight="1"/>
    <row r="869" ht="24.0" customHeight="1"/>
    <row r="870" ht="24.0" customHeight="1"/>
    <row r="871" ht="24.0" customHeight="1"/>
    <row r="872" ht="24.0" customHeight="1"/>
    <row r="873" ht="24.0" customHeight="1"/>
    <row r="874" ht="24.0" customHeight="1"/>
    <row r="875" ht="24.0" customHeight="1"/>
    <row r="876" ht="24.0" customHeight="1"/>
    <row r="877" ht="24.0" customHeight="1"/>
    <row r="878" ht="24.0" customHeight="1"/>
    <row r="879" ht="24.0" customHeight="1"/>
    <row r="880" ht="24.0" customHeight="1"/>
    <row r="881" ht="24.0" customHeight="1"/>
    <row r="882" ht="24.0" customHeight="1"/>
    <row r="883" ht="24.0" customHeight="1"/>
    <row r="884" ht="24.0" customHeight="1"/>
    <row r="885" ht="24.0" customHeight="1"/>
    <row r="886" ht="24.0" customHeight="1"/>
    <row r="887" ht="24.0" customHeight="1"/>
    <row r="888" ht="24.0" customHeight="1"/>
    <row r="889" ht="24.0" customHeight="1"/>
    <row r="890" ht="24.0" customHeight="1"/>
    <row r="891" ht="24.0" customHeight="1"/>
    <row r="892" ht="24.0" customHeight="1"/>
    <row r="893" ht="24.0" customHeight="1"/>
    <row r="894" ht="24.0" customHeight="1"/>
    <row r="895" ht="24.0" customHeight="1"/>
    <row r="896" ht="24.0" customHeight="1"/>
    <row r="897" ht="24.0" customHeight="1"/>
    <row r="898" ht="24.0" customHeight="1"/>
    <row r="899" ht="24.0" customHeight="1"/>
    <row r="900" ht="24.0" customHeight="1"/>
    <row r="901" ht="24.0" customHeight="1"/>
    <row r="902" ht="24.0" customHeight="1"/>
    <row r="903" ht="24.0" customHeight="1"/>
    <row r="904" ht="24.0" customHeight="1"/>
    <row r="905" ht="24.0" customHeight="1"/>
    <row r="906" ht="24.0" customHeight="1"/>
    <row r="907" ht="24.0" customHeight="1"/>
    <row r="908" ht="24.0" customHeight="1"/>
    <row r="909" ht="24.0" customHeight="1"/>
    <row r="910" ht="24.0" customHeight="1"/>
    <row r="911" ht="24.0" customHeight="1"/>
    <row r="912" ht="24.0" customHeight="1"/>
    <row r="913" ht="24.0" customHeight="1"/>
    <row r="914" ht="24.0" customHeight="1"/>
    <row r="915" ht="24.0" customHeight="1"/>
    <row r="916" ht="24.0" customHeight="1"/>
    <row r="917" ht="24.0" customHeight="1"/>
    <row r="918" ht="24.0" customHeight="1"/>
    <row r="919" ht="24.0" customHeight="1"/>
    <row r="920" ht="24.0" customHeight="1"/>
    <row r="921" ht="24.0" customHeight="1"/>
    <row r="922" ht="24.0" customHeight="1"/>
    <row r="923" ht="24.0" customHeight="1"/>
    <row r="924" ht="24.0" customHeight="1"/>
    <row r="925" ht="24.0" customHeight="1"/>
    <row r="926" ht="24.0" customHeight="1"/>
    <row r="927" ht="24.0" customHeight="1"/>
    <row r="928" ht="24.0" customHeight="1"/>
    <row r="929" ht="24.0" customHeight="1"/>
    <row r="930" ht="24.0" customHeight="1"/>
    <row r="931" ht="24.0" customHeight="1"/>
    <row r="932" ht="24.0" customHeight="1"/>
    <row r="933" ht="24.0" customHeight="1"/>
    <row r="934" ht="24.0" customHeight="1"/>
    <row r="935" ht="24.0" customHeight="1"/>
    <row r="936" ht="24.0" customHeight="1"/>
    <row r="937" ht="24.0" customHeight="1"/>
    <row r="938" ht="24.0" customHeight="1"/>
    <row r="939" ht="24.0" customHeight="1"/>
    <row r="940" ht="24.0" customHeight="1"/>
    <row r="941" ht="24.0" customHeight="1"/>
    <row r="942" ht="24.0" customHeight="1"/>
    <row r="943" ht="24.0" customHeight="1"/>
    <row r="944" ht="24.0" customHeight="1"/>
    <row r="945" ht="24.0" customHeight="1"/>
    <row r="946" ht="24.0" customHeight="1"/>
    <row r="947" ht="24.0" customHeight="1"/>
    <row r="948" ht="24.0" customHeight="1"/>
    <row r="949" ht="24.0" customHeight="1"/>
    <row r="950" ht="24.0" customHeight="1"/>
    <row r="951" ht="24.0" customHeight="1"/>
    <row r="952" ht="24.0" customHeight="1"/>
    <row r="953" ht="24.0" customHeight="1"/>
    <row r="954" ht="24.0" customHeight="1"/>
    <row r="955" ht="24.0" customHeight="1"/>
    <row r="956" ht="24.0" customHeight="1"/>
    <row r="957" ht="24.0" customHeight="1"/>
    <row r="958" ht="24.0" customHeight="1"/>
    <row r="959" ht="24.0" customHeight="1"/>
    <row r="960" ht="24.0" customHeight="1"/>
    <row r="961" ht="24.0" customHeight="1"/>
    <row r="962" ht="24.0" customHeight="1"/>
    <row r="963" ht="24.0" customHeight="1"/>
    <row r="964" ht="24.0" customHeight="1"/>
    <row r="965" ht="24.0" customHeight="1"/>
    <row r="966" ht="24.0" customHeight="1"/>
    <row r="967" ht="24.0" customHeight="1"/>
    <row r="968" ht="24.0" customHeight="1"/>
    <row r="969" ht="24.0" customHeight="1"/>
    <row r="970" ht="24.0" customHeight="1"/>
    <row r="971" ht="24.0" customHeight="1"/>
    <row r="972" ht="24.0" customHeight="1"/>
    <row r="973" ht="24.0" customHeight="1"/>
    <row r="974" ht="24.0" customHeight="1"/>
    <row r="975" ht="24.0" customHeight="1"/>
    <row r="976" ht="24.0" customHeight="1"/>
    <row r="977" ht="24.0" customHeight="1"/>
    <row r="978" ht="24.0" customHeight="1"/>
    <row r="979" ht="24.0" customHeight="1"/>
    <row r="980" ht="24.0" customHeight="1"/>
    <row r="981" ht="24.0" customHeight="1"/>
    <row r="982" ht="24.0" customHeight="1"/>
    <row r="983" ht="24.0" customHeight="1"/>
    <row r="984" ht="24.0" customHeight="1"/>
    <row r="985" ht="24.0" customHeight="1"/>
    <row r="986" ht="24.0" customHeight="1"/>
    <row r="987" ht="24.0" customHeight="1"/>
    <row r="988" ht="24.0" customHeight="1"/>
    <row r="989" ht="24.0" customHeight="1"/>
    <row r="990" ht="24.0" customHeight="1"/>
    <row r="991" ht="24.0" customHeight="1"/>
    <row r="992" ht="24.0" customHeight="1"/>
    <row r="993" ht="24.0" customHeight="1"/>
    <row r="994" ht="24.0" customHeight="1"/>
    <row r="995" ht="24.0" customHeight="1"/>
    <row r="996" ht="24.0" customHeight="1"/>
    <row r="997" ht="24.0" customHeight="1"/>
    <row r="998" ht="24.0" customHeight="1"/>
    <row r="999" ht="24.0" customHeight="1"/>
    <row r="1000" ht="24.0" customHeight="1"/>
  </sheetData>
  <mergeCells count="2">
    <mergeCell ref="B1:F1"/>
    <mergeCell ref="B11:E11"/>
  </mergeCells>
  <conditionalFormatting sqref="E4">
    <cfRule type="expression" dxfId="0" priority="1">
      <formula>AND(ISNUMBER(E4),ROUND(E4,2)=INT(ROUND(E4,2)))</formula>
    </cfRule>
  </conditionalFormatting>
  <conditionalFormatting sqref="E4">
    <cfRule type="expression" dxfId="1" priority="2">
      <formula>AND(ISNUMBER(E4),ROUND(E4,2)&lt;&gt;INT(ROUND(E4,2)))</formula>
    </cfRule>
  </conditionalFormatting>
  <conditionalFormatting sqref="F4">
    <cfRule type="expression" dxfId="0" priority="3">
      <formula>AND(ISNUMBER(F4),ROUND(F4,2)=INT(ROUND(F4,2)))</formula>
    </cfRule>
  </conditionalFormatting>
  <conditionalFormatting sqref="F4">
    <cfRule type="expression" dxfId="1" priority="4">
      <formula>AND(ISNUMBER(F4),ROUND(F4,2)&lt;&gt;INT(ROUND(F4,2)))</formula>
    </cfRule>
  </conditionalFormatting>
  <conditionalFormatting sqref="E5">
    <cfRule type="expression" dxfId="0" priority="5">
      <formula>AND(ISNUMBER(E5),ROUND(E5,2)=INT(ROUND(E5,2)))</formula>
    </cfRule>
  </conditionalFormatting>
  <conditionalFormatting sqref="E5">
    <cfRule type="expression" dxfId="1" priority="6">
      <formula>AND(ISNUMBER(E5),ROUND(E5,2)&lt;&gt;INT(ROUND(E5,2)))</formula>
    </cfRule>
  </conditionalFormatting>
  <conditionalFormatting sqref="F5">
    <cfRule type="expression" dxfId="0" priority="7">
      <formula>AND(ISNUMBER(F5),ROUND(F5,2)=INT(ROUND(F5,2)))</formula>
    </cfRule>
  </conditionalFormatting>
  <conditionalFormatting sqref="F5">
    <cfRule type="expression" dxfId="1" priority="8">
      <formula>AND(ISNUMBER(F5),ROUND(F5,2)&lt;&gt;INT(ROUND(F5,2)))</formula>
    </cfRule>
  </conditionalFormatting>
  <conditionalFormatting sqref="E6">
    <cfRule type="expression" dxfId="0" priority="9">
      <formula>AND(ISNUMBER(E6),ROUND(E6,2)=INT(ROUND(E6,2)))</formula>
    </cfRule>
  </conditionalFormatting>
  <conditionalFormatting sqref="E6">
    <cfRule type="expression" dxfId="1" priority="10">
      <formula>AND(ISNUMBER(E6),ROUND(E6,2)&lt;&gt;INT(ROUND(E6,2)))</formula>
    </cfRule>
  </conditionalFormatting>
  <conditionalFormatting sqref="F6">
    <cfRule type="expression" dxfId="0" priority="11">
      <formula>AND(ISNUMBER(F6),ROUND(F6,2)=INT(ROUND(F6,2)))</formula>
    </cfRule>
  </conditionalFormatting>
  <conditionalFormatting sqref="F6">
    <cfRule type="expression" dxfId="1" priority="12">
      <formula>AND(ISNUMBER(F6),ROUND(F6,2)&lt;&gt;INT(ROUND(F6,2)))</formula>
    </cfRule>
  </conditionalFormatting>
  <conditionalFormatting sqref="E7">
    <cfRule type="expression" dxfId="0" priority="13">
      <formula>AND(ISNUMBER(E7),ROUND(E7,2)=INT(ROUND(E7,2)))</formula>
    </cfRule>
  </conditionalFormatting>
  <conditionalFormatting sqref="E7">
    <cfRule type="expression" dxfId="1" priority="14">
      <formula>AND(ISNUMBER(E7),ROUND(E7,2)&lt;&gt;INT(ROUND(E7,2)))</formula>
    </cfRule>
  </conditionalFormatting>
  <conditionalFormatting sqref="F7">
    <cfRule type="expression" dxfId="0" priority="15">
      <formula>AND(ISNUMBER(F7),ROUND(F7,2)=INT(ROUND(F7,2)))</formula>
    </cfRule>
  </conditionalFormatting>
  <conditionalFormatting sqref="F7">
    <cfRule type="expression" dxfId="1" priority="16">
      <formula>AND(ISNUMBER(F7),ROUND(F7,2)&lt;&gt;INT(ROUND(F7,2)))</formula>
    </cfRule>
  </conditionalFormatting>
  <conditionalFormatting sqref="E8">
    <cfRule type="expression" dxfId="0" priority="17">
      <formula>AND(ISNUMBER(E8),ROUND(E8,2)=INT(ROUND(E8,2)))</formula>
    </cfRule>
  </conditionalFormatting>
  <conditionalFormatting sqref="E8">
    <cfRule type="expression" dxfId="1" priority="18">
      <formula>AND(ISNUMBER(E8),ROUND(E8,2)&lt;&gt;INT(ROUND(E8,2)))</formula>
    </cfRule>
  </conditionalFormatting>
  <conditionalFormatting sqref="F8">
    <cfRule type="expression" dxfId="0" priority="19">
      <formula>AND(ISNUMBER(F8),ROUND(F8,2)=INT(ROUND(F8,2)))</formula>
    </cfRule>
  </conditionalFormatting>
  <conditionalFormatting sqref="F8">
    <cfRule type="expression" dxfId="1" priority="20">
      <formula>AND(ISNUMBER(F8),ROUND(F8,2)&lt;&gt;INT(ROUND(F8,2)))</formula>
    </cfRule>
  </conditionalFormatting>
  <conditionalFormatting sqref="E9">
    <cfRule type="expression" dxfId="0" priority="21">
      <formula>AND(ISNUMBER(E9),ROUND(E9,2)=INT(ROUND(E9,2)))</formula>
    </cfRule>
  </conditionalFormatting>
  <conditionalFormatting sqref="E9">
    <cfRule type="expression" dxfId="1" priority="22">
      <formula>AND(ISNUMBER(E9),ROUND(E9,2)&lt;&gt;INT(ROUND(E9,2)))</formula>
    </cfRule>
  </conditionalFormatting>
  <conditionalFormatting sqref="F9">
    <cfRule type="expression" dxfId="0" priority="23">
      <formula>AND(ISNUMBER(F9),ROUND(F9,2)=INT(ROUND(F9,2)))</formula>
    </cfRule>
  </conditionalFormatting>
  <conditionalFormatting sqref="F9">
    <cfRule type="expression" dxfId="1" priority="24">
      <formula>AND(ISNUMBER(F9),ROUND(F9,2)&lt;&gt;INT(ROUND(F9,2)))</formula>
    </cfRule>
  </conditionalFormatting>
  <conditionalFormatting sqref="F11">
    <cfRule type="expression" dxfId="0" priority="25">
      <formula>AND(ISNUMBER(F11),ROUND(F11,2)=INT(ROUND(F11,2)))</formula>
    </cfRule>
  </conditionalFormatting>
  <conditionalFormatting sqref="F11">
    <cfRule type="expression" dxfId="1" priority="26">
      <formula>AND(ISNUMBER(F11),ROUND(F11,2)&lt;&gt;INT(ROUND(F11,2)))</formula>
    </cfRule>
  </conditionalFormatting>
  <dataValidations>
    <dataValidation type="decimal" operator="greaterThanOrEqual" allowBlank="1" showInputMessage="1" showErrorMessage="1" prompt="יש להזין מספר לא שלילי" sqref="D4 D6:D9">
      <formula1>0.0</formula1>
    </dataValidation>
    <dataValidation type="custom" allowBlank="1" showInputMessage="1" showErrorMessage="1" prompt="מספר לא שלילי, כלול או לא רלוונטי בלבד" sqref="E4 E6:E9">
      <formula1>OR(ISBLANK(E4),AND(ISNUMBER(E4),E4&gt;=0),E4="כלול",E4="לא רלוונטי")</formula1>
    </dataValidation>
  </dataValidations>
  <printOptions/>
  <pageMargins bottom="0.75" footer="0.0" header="0.0" left="0.25" right="0.25" top="0.75"/>
  <pageSetup fitToHeight="0" paperSize="9" orientation="portrait"/>
  <headerFooter>
    <oddFooter>&amp;Cעמוד &amp;P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rightToLeft="1" workbookViewId="0"/>
  </sheetViews>
  <sheetFormatPr customHeight="1" defaultColWidth="14.43" defaultRowHeight="15.0"/>
  <cols>
    <col customWidth="1" min="1" max="1" width="7.29"/>
    <col customWidth="1" min="2" max="2" width="66.29"/>
    <col customWidth="1" min="3" max="6" width="8.14"/>
    <col customWidth="1" hidden="1" min="7" max="7" width="36.0"/>
    <col customWidth="1" hidden="1" min="8" max="8" width="12.0"/>
    <col customWidth="1" min="9" max="26" width="8.71"/>
  </cols>
  <sheetData>
    <row r="1" ht="31.5" customHeight="1">
      <c r="A1" s="10">
        <v>2.0</v>
      </c>
      <c r="B1" s="3" t="s">
        <v>25</v>
      </c>
      <c r="G1" s="2" t="s">
        <v>24</v>
      </c>
      <c r="H1" s="2" t="s">
        <v>53</v>
      </c>
    </row>
    <row r="2" ht="31.5" customHeight="1">
      <c r="A2" s="16" t="s">
        <v>59</v>
      </c>
      <c r="B2" s="17" t="s">
        <v>67</v>
      </c>
      <c r="C2" s="16" t="s">
        <v>72</v>
      </c>
      <c r="D2" s="16" t="s">
        <v>76</v>
      </c>
      <c r="E2" s="16" t="s">
        <v>79</v>
      </c>
      <c r="F2" s="16" t="s">
        <v>81</v>
      </c>
      <c r="G2" s="2"/>
      <c r="H2" s="2" t="s">
        <v>84</v>
      </c>
    </row>
    <row r="3" ht="81.0" customHeight="1">
      <c r="A3" s="19"/>
      <c r="B3" s="20" t="s">
        <v>132</v>
      </c>
      <c r="C3" s="19"/>
      <c r="D3" s="19"/>
      <c r="E3" s="19"/>
      <c r="F3" s="19"/>
      <c r="G3" s="12" t="s">
        <v>150</v>
      </c>
      <c r="H3" s="12" t="s">
        <v>105</v>
      </c>
    </row>
    <row r="4" ht="63.75" customHeight="1">
      <c r="A4" s="19" t="s">
        <v>152</v>
      </c>
      <c r="B4" s="20" t="s">
        <v>153</v>
      </c>
      <c r="C4" s="19" t="s">
        <v>119</v>
      </c>
      <c r="D4" s="19"/>
      <c r="E4" s="22"/>
      <c r="F4" s="22" t="str">
        <f t="shared" ref="F4:F11" si="1">IF(ISBLANK(D4),"",IF(NOT(ISNUMBER(D4)),"קלט לא תקין",IF(D4&lt;0,"קלט לא תקין",IF(ISBLANK(E4),"",IF(OR(E4="כלול",E4="לא רלוונטי"),0,IF(NOT(ISNUMBER(E4)),"קלט לא תקין",IF(E4&lt;0,"קלט לא תקין",ROUND(D4*E4,2))))))))</f>
        <v/>
      </c>
      <c r="G4" s="12" t="s">
        <v>162</v>
      </c>
      <c r="H4" s="12" t="s">
        <v>113</v>
      </c>
    </row>
    <row r="5" ht="63.75" customHeight="1">
      <c r="A5" s="19" t="s">
        <v>163</v>
      </c>
      <c r="B5" s="20" t="s">
        <v>164</v>
      </c>
      <c r="C5" s="19" t="s">
        <v>146</v>
      </c>
      <c r="D5" s="19"/>
      <c r="E5" s="22"/>
      <c r="F5" s="22" t="str">
        <f t="shared" si="1"/>
        <v/>
      </c>
      <c r="G5" s="12" t="s">
        <v>168</v>
      </c>
      <c r="H5" s="12" t="s">
        <v>113</v>
      </c>
    </row>
    <row r="6" ht="46.5" customHeight="1">
      <c r="A6" s="19" t="s">
        <v>169</v>
      </c>
      <c r="B6" s="20" t="s">
        <v>170</v>
      </c>
      <c r="C6" s="19" t="s">
        <v>146</v>
      </c>
      <c r="D6" s="19"/>
      <c r="E6" s="22"/>
      <c r="F6" s="22" t="str">
        <f t="shared" si="1"/>
        <v/>
      </c>
      <c r="G6" s="12" t="s">
        <v>171</v>
      </c>
      <c r="H6" s="12" t="s">
        <v>113</v>
      </c>
    </row>
    <row r="7" ht="46.5" customHeight="1">
      <c r="A7" s="19" t="s">
        <v>172</v>
      </c>
      <c r="B7" s="20" t="s">
        <v>173</v>
      </c>
      <c r="C7" s="19" t="s">
        <v>146</v>
      </c>
      <c r="D7" s="19"/>
      <c r="E7" s="22"/>
      <c r="F7" s="22" t="str">
        <f t="shared" si="1"/>
        <v/>
      </c>
      <c r="G7" s="12" t="s">
        <v>177</v>
      </c>
      <c r="H7" s="12" t="s">
        <v>113</v>
      </c>
    </row>
    <row r="8" ht="46.5" customHeight="1">
      <c r="A8" s="19" t="s">
        <v>178</v>
      </c>
      <c r="B8" s="20" t="s">
        <v>179</v>
      </c>
      <c r="C8" s="19" t="s">
        <v>146</v>
      </c>
      <c r="D8" s="19"/>
      <c r="E8" s="22"/>
      <c r="F8" s="22" t="str">
        <f t="shared" si="1"/>
        <v/>
      </c>
      <c r="G8" s="12" t="s">
        <v>182</v>
      </c>
      <c r="H8" s="12" t="s">
        <v>113</v>
      </c>
    </row>
    <row r="9" ht="63.75" customHeight="1">
      <c r="A9" s="19" t="s">
        <v>184</v>
      </c>
      <c r="B9" s="20" t="s">
        <v>185</v>
      </c>
      <c r="C9" s="19" t="s">
        <v>126</v>
      </c>
      <c r="D9" s="19"/>
      <c r="E9" s="22"/>
      <c r="F9" s="22" t="str">
        <f t="shared" si="1"/>
        <v/>
      </c>
      <c r="G9" s="12" t="s">
        <v>186</v>
      </c>
      <c r="H9" s="12" t="s">
        <v>113</v>
      </c>
    </row>
    <row r="10" ht="63.75" customHeight="1">
      <c r="A10" s="19" t="s">
        <v>188</v>
      </c>
      <c r="B10" s="20" t="s">
        <v>189</v>
      </c>
      <c r="C10" s="19" t="s">
        <v>126</v>
      </c>
      <c r="D10" s="19"/>
      <c r="E10" s="22"/>
      <c r="F10" s="22" t="str">
        <f t="shared" si="1"/>
        <v/>
      </c>
      <c r="G10" s="12" t="s">
        <v>192</v>
      </c>
      <c r="H10" s="12" t="s">
        <v>113</v>
      </c>
    </row>
    <row r="11" ht="63.75" customHeight="1">
      <c r="A11" s="19" t="s">
        <v>194</v>
      </c>
      <c r="B11" s="20" t="s">
        <v>196</v>
      </c>
      <c r="C11" s="19" t="s">
        <v>126</v>
      </c>
      <c r="D11" s="19"/>
      <c r="E11" s="22"/>
      <c r="F11" s="22" t="str">
        <f t="shared" si="1"/>
        <v/>
      </c>
      <c r="G11" s="12" t="s">
        <v>198</v>
      </c>
      <c r="H11" s="12" t="s">
        <v>113</v>
      </c>
    </row>
    <row r="12" ht="81.0" customHeight="1">
      <c r="A12" s="19"/>
      <c r="B12" s="20"/>
      <c r="C12" s="19"/>
      <c r="D12" s="19"/>
      <c r="E12" s="19"/>
      <c r="F12" s="19"/>
      <c r="G12" s="12"/>
      <c r="H12" s="12" t="s">
        <v>86</v>
      </c>
    </row>
    <row r="13" ht="31.5" customHeight="1">
      <c r="A13" s="6"/>
      <c r="B13" s="7" t="s">
        <v>202</v>
      </c>
      <c r="C13" s="8"/>
      <c r="D13" s="8"/>
      <c r="E13" s="9"/>
      <c r="F13" s="23">
        <f>SUM(F4,F5,F6,F7,F8,F9,F10,F11)</f>
        <v>0</v>
      </c>
      <c r="G13" s="12"/>
      <c r="H13" s="12" t="s">
        <v>136</v>
      </c>
    </row>
    <row r="14" ht="24.0" customHeight="1"/>
    <row r="15" ht="24.0" customHeight="1"/>
    <row r="16" ht="24.0" customHeight="1"/>
    <row r="17" ht="24.0" customHeight="1"/>
    <row r="18" ht="24.0" customHeight="1"/>
    <row r="19" ht="24.0" customHeight="1"/>
    <row r="20" ht="24.0" customHeight="1"/>
    <row r="21" ht="24.0" customHeight="1"/>
    <row r="22" ht="24.0" customHeight="1"/>
    <row r="23" ht="24.0" customHeight="1"/>
    <row r="24" ht="24.0" customHeight="1"/>
    <row r="25" ht="24.0" customHeight="1"/>
    <row r="26" ht="24.0" customHeight="1"/>
    <row r="27" ht="24.0" customHeight="1"/>
    <row r="28" ht="24.0" customHeight="1"/>
    <row r="29" ht="24.0" customHeight="1"/>
    <row r="30" ht="24.0" customHeight="1"/>
    <row r="31" ht="24.0" customHeight="1"/>
    <row r="32" ht="24.0" customHeight="1"/>
    <row r="33" ht="24.0" customHeight="1"/>
    <row r="34" ht="24.0" customHeight="1"/>
    <row r="35" ht="24.0" customHeight="1"/>
    <row r="36" ht="24.0" customHeight="1"/>
    <row r="37" ht="24.0" customHeight="1"/>
    <row r="38" ht="24.0" customHeight="1"/>
    <row r="39" ht="24.0" customHeight="1"/>
    <row r="40" ht="24.0" customHeight="1"/>
    <row r="41" ht="24.0" customHeight="1"/>
    <row r="42" ht="24.0" customHeight="1"/>
    <row r="43" ht="24.0" customHeight="1"/>
    <row r="44" ht="24.0" customHeight="1"/>
    <row r="45" ht="24.0" customHeight="1"/>
    <row r="46" ht="24.0" customHeight="1"/>
    <row r="47" ht="24.0" customHeight="1"/>
    <row r="48" ht="24.0" customHeight="1"/>
    <row r="49" ht="24.0" customHeight="1"/>
    <row r="50" ht="24.0" customHeight="1"/>
    <row r="51" ht="24.0" customHeight="1"/>
    <row r="52" ht="24.0" customHeight="1"/>
    <row r="53" ht="24.0" customHeight="1"/>
    <row r="54" ht="24.0" customHeight="1"/>
    <row r="55" ht="24.0" customHeight="1"/>
    <row r="56" ht="24.0" customHeight="1"/>
    <row r="57" ht="24.0" customHeight="1"/>
    <row r="58" ht="24.0" customHeight="1"/>
    <row r="59" ht="24.0" customHeight="1"/>
    <row r="60" ht="24.0" customHeight="1"/>
    <row r="61" ht="24.0" customHeight="1"/>
    <row r="62" ht="24.0" customHeight="1"/>
    <row r="63" ht="24.0" customHeight="1"/>
    <row r="64" ht="24.0" customHeight="1"/>
    <row r="65" ht="24.0" customHeight="1"/>
    <row r="66" ht="24.0" customHeight="1"/>
    <row r="67" ht="24.0" customHeight="1"/>
    <row r="68" ht="24.0" customHeight="1"/>
    <row r="69" ht="24.0" customHeight="1"/>
    <row r="70" ht="24.0" customHeight="1"/>
    <row r="71" ht="24.0" customHeight="1"/>
    <row r="72" ht="24.0" customHeight="1"/>
    <row r="73" ht="24.0" customHeight="1"/>
    <row r="74" ht="24.0" customHeight="1"/>
    <row r="75" ht="24.0" customHeight="1"/>
    <row r="76" ht="24.0" customHeight="1"/>
    <row r="77" ht="24.0" customHeight="1"/>
    <row r="78" ht="24.0" customHeight="1"/>
    <row r="79" ht="24.0" customHeight="1"/>
    <row r="80" ht="24.0" customHeight="1"/>
    <row r="81" ht="24.0" customHeight="1"/>
    <row r="82" ht="24.0" customHeight="1"/>
    <row r="83" ht="24.0" customHeight="1"/>
    <row r="84" ht="24.0" customHeight="1"/>
    <row r="85" ht="24.0" customHeight="1"/>
    <row r="86" ht="24.0" customHeight="1"/>
    <row r="87" ht="24.0" customHeight="1"/>
    <row r="88" ht="24.0" customHeight="1"/>
    <row r="89" ht="24.0" customHeight="1"/>
    <row r="90" ht="24.0" customHeight="1"/>
    <row r="91" ht="24.0" customHeight="1"/>
    <row r="92" ht="24.0" customHeight="1"/>
    <row r="93" ht="24.0" customHeight="1"/>
    <row r="94" ht="24.0" customHeight="1"/>
    <row r="95" ht="24.0" customHeight="1"/>
    <row r="96" ht="24.0" customHeight="1"/>
    <row r="97" ht="24.0" customHeight="1"/>
    <row r="98" ht="24.0" customHeight="1"/>
    <row r="99" ht="24.0" customHeight="1"/>
    <row r="100" ht="24.0" customHeight="1"/>
    <row r="101" ht="24.0" customHeight="1"/>
    <row r="102" ht="24.0" customHeight="1"/>
    <row r="103" ht="24.0" customHeight="1"/>
    <row r="104" ht="24.0" customHeight="1"/>
    <row r="105" ht="24.0" customHeight="1"/>
    <row r="106" ht="24.0" customHeight="1"/>
    <row r="107" ht="24.0" customHeight="1"/>
    <row r="108" ht="24.0" customHeight="1"/>
    <row r="109" ht="24.0" customHeight="1"/>
    <row r="110" ht="24.0" customHeight="1"/>
    <row r="111" ht="24.0" customHeight="1"/>
    <row r="112" ht="24.0" customHeight="1"/>
    <row r="113" ht="24.0" customHeight="1"/>
    <row r="114" ht="24.0" customHeight="1"/>
    <row r="115" ht="24.0" customHeight="1"/>
    <row r="116" ht="24.0" customHeight="1"/>
    <row r="117" ht="24.0" customHeight="1"/>
    <row r="118" ht="24.0" customHeight="1"/>
    <row r="119" ht="24.0" customHeight="1"/>
    <row r="120" ht="24.0" customHeight="1"/>
    <row r="121" ht="24.0" customHeight="1"/>
    <row r="122" ht="24.0" customHeight="1"/>
    <row r="123" ht="24.0" customHeight="1"/>
    <row r="124" ht="24.0" customHeight="1"/>
    <row r="125" ht="24.0" customHeight="1"/>
    <row r="126" ht="24.0" customHeight="1"/>
    <row r="127" ht="24.0" customHeight="1"/>
    <row r="128" ht="24.0" customHeight="1"/>
    <row r="129" ht="24.0" customHeight="1"/>
    <row r="130" ht="24.0" customHeight="1"/>
    <row r="131" ht="24.0" customHeight="1"/>
    <row r="132" ht="24.0" customHeight="1"/>
    <row r="133" ht="24.0" customHeight="1"/>
    <row r="134" ht="24.0" customHeight="1"/>
    <row r="135" ht="24.0" customHeight="1"/>
    <row r="136" ht="24.0" customHeight="1"/>
    <row r="137" ht="24.0" customHeight="1"/>
    <row r="138" ht="24.0" customHeight="1"/>
    <row r="139" ht="24.0" customHeight="1"/>
    <row r="140" ht="24.0" customHeight="1"/>
    <row r="141" ht="24.0" customHeight="1"/>
    <row r="142" ht="24.0" customHeight="1"/>
    <row r="143" ht="24.0" customHeight="1"/>
    <row r="144" ht="24.0" customHeight="1"/>
    <row r="145" ht="24.0" customHeight="1"/>
    <row r="146" ht="24.0" customHeight="1"/>
    <row r="147" ht="24.0" customHeight="1"/>
    <row r="148" ht="24.0" customHeight="1"/>
    <row r="149" ht="24.0" customHeight="1"/>
    <row r="150" ht="24.0" customHeight="1"/>
    <row r="151" ht="24.0" customHeight="1"/>
    <row r="152" ht="24.0" customHeight="1"/>
    <row r="153" ht="24.0" customHeight="1"/>
    <row r="154" ht="24.0" customHeight="1"/>
    <row r="155" ht="24.0" customHeight="1"/>
    <row r="156" ht="24.0" customHeight="1"/>
    <row r="157" ht="24.0" customHeight="1"/>
    <row r="158" ht="24.0" customHeight="1"/>
    <row r="159" ht="24.0" customHeight="1"/>
    <row r="160" ht="24.0" customHeight="1"/>
    <row r="161" ht="24.0" customHeight="1"/>
    <row r="162" ht="24.0" customHeight="1"/>
    <row r="163" ht="24.0" customHeight="1"/>
    <row r="164" ht="24.0" customHeight="1"/>
    <row r="165" ht="24.0" customHeight="1"/>
    <row r="166" ht="24.0" customHeight="1"/>
    <row r="167" ht="24.0" customHeight="1"/>
    <row r="168" ht="24.0" customHeight="1"/>
    <row r="169" ht="24.0" customHeight="1"/>
    <row r="170" ht="24.0" customHeight="1"/>
    <row r="171" ht="24.0" customHeight="1"/>
    <row r="172" ht="24.0" customHeight="1"/>
    <row r="173" ht="24.0" customHeight="1"/>
    <row r="174" ht="24.0" customHeight="1"/>
    <row r="175" ht="24.0" customHeight="1"/>
    <row r="176" ht="24.0" customHeight="1"/>
    <row r="177" ht="24.0" customHeight="1"/>
    <row r="178" ht="24.0" customHeight="1"/>
    <row r="179" ht="24.0" customHeight="1"/>
    <row r="180" ht="24.0" customHeight="1"/>
    <row r="181" ht="24.0" customHeight="1"/>
    <row r="182" ht="24.0" customHeight="1"/>
    <row r="183" ht="24.0" customHeight="1"/>
    <row r="184" ht="24.0" customHeight="1"/>
    <row r="185" ht="24.0" customHeight="1"/>
    <row r="186" ht="24.0" customHeight="1"/>
    <row r="187" ht="24.0" customHeight="1"/>
    <row r="188" ht="24.0" customHeight="1"/>
    <row r="189" ht="24.0" customHeight="1"/>
    <row r="190" ht="24.0" customHeight="1"/>
    <row r="191" ht="24.0" customHeight="1"/>
    <row r="192" ht="24.0" customHeight="1"/>
    <row r="193" ht="24.0" customHeight="1"/>
    <row r="194" ht="24.0" customHeight="1"/>
    <row r="195" ht="24.0" customHeight="1"/>
    <row r="196" ht="24.0" customHeight="1"/>
    <row r="197" ht="24.0" customHeight="1"/>
    <row r="198" ht="24.0" customHeight="1"/>
    <row r="199" ht="24.0" customHeight="1"/>
    <row r="200" ht="24.0" customHeight="1"/>
    <row r="201" ht="24.0" customHeight="1"/>
    <row r="202" ht="24.0" customHeight="1"/>
    <row r="203" ht="24.0" customHeight="1"/>
    <row r="204" ht="24.0" customHeight="1"/>
    <row r="205" ht="24.0" customHeight="1"/>
    <row r="206" ht="24.0" customHeight="1"/>
    <row r="207" ht="24.0" customHeight="1"/>
    <row r="208" ht="24.0" customHeight="1"/>
    <row r="209" ht="24.0" customHeight="1"/>
    <row r="210" ht="24.0" customHeight="1"/>
    <row r="211" ht="24.0" customHeight="1"/>
    <row r="212" ht="24.0" customHeight="1"/>
    <row r="213" ht="24.0" customHeight="1"/>
    <row r="214" ht="24.0" customHeight="1"/>
    <row r="215" ht="24.0" customHeight="1"/>
    <row r="216" ht="24.0" customHeight="1"/>
    <row r="217" ht="24.0" customHeight="1"/>
    <row r="218" ht="24.0" customHeight="1"/>
    <row r="219" ht="24.0" customHeight="1"/>
    <row r="220" ht="24.0" customHeight="1"/>
    <row r="221" ht="24.0" customHeight="1"/>
    <row r="222" ht="24.0" customHeight="1"/>
    <row r="223" ht="24.0" customHeight="1"/>
    <row r="224" ht="24.0" customHeight="1"/>
    <row r="225" ht="24.0" customHeight="1"/>
    <row r="226" ht="24.0" customHeight="1"/>
    <row r="227" ht="24.0" customHeight="1"/>
    <row r="228" ht="24.0" customHeight="1"/>
    <row r="229" ht="24.0" customHeight="1"/>
    <row r="230" ht="24.0" customHeight="1"/>
    <row r="231" ht="24.0" customHeight="1"/>
    <row r="232" ht="24.0" customHeight="1"/>
    <row r="233" ht="24.0" customHeight="1"/>
    <row r="234" ht="24.0" customHeight="1"/>
    <row r="235" ht="24.0" customHeight="1"/>
    <row r="236" ht="24.0" customHeight="1"/>
    <row r="237" ht="24.0" customHeight="1"/>
    <row r="238" ht="24.0" customHeight="1"/>
    <row r="239" ht="24.0" customHeight="1"/>
    <row r="240" ht="24.0" customHeight="1"/>
    <row r="241" ht="24.0" customHeight="1"/>
    <row r="242" ht="24.0" customHeight="1"/>
    <row r="243" ht="24.0" customHeight="1"/>
    <row r="244" ht="24.0" customHeight="1"/>
    <row r="245" ht="24.0" customHeight="1"/>
    <row r="246" ht="24.0" customHeight="1"/>
    <row r="247" ht="24.0" customHeight="1"/>
    <row r="248" ht="24.0" customHeight="1"/>
    <row r="249" ht="24.0" customHeight="1"/>
    <row r="250" ht="24.0" customHeight="1"/>
    <row r="251" ht="24.0" customHeight="1"/>
    <row r="252" ht="24.0" customHeight="1"/>
    <row r="253" ht="24.0" customHeight="1"/>
    <row r="254" ht="24.0" customHeight="1"/>
    <row r="255" ht="24.0" customHeight="1"/>
    <row r="256" ht="24.0" customHeight="1"/>
    <row r="257" ht="24.0" customHeight="1"/>
    <row r="258" ht="24.0" customHeight="1"/>
    <row r="259" ht="24.0" customHeight="1"/>
    <row r="260" ht="24.0" customHeight="1"/>
    <row r="261" ht="24.0" customHeight="1"/>
    <row r="262" ht="24.0" customHeight="1"/>
    <row r="263" ht="24.0" customHeight="1"/>
    <row r="264" ht="24.0" customHeight="1"/>
    <row r="265" ht="24.0" customHeight="1"/>
    <row r="266" ht="24.0" customHeight="1"/>
    <row r="267" ht="24.0" customHeight="1"/>
    <row r="268" ht="24.0" customHeight="1"/>
    <row r="269" ht="24.0" customHeight="1"/>
    <row r="270" ht="24.0" customHeight="1"/>
    <row r="271" ht="24.0" customHeight="1"/>
    <row r="272" ht="24.0" customHeight="1"/>
    <row r="273" ht="24.0" customHeight="1"/>
    <row r="274" ht="24.0" customHeight="1"/>
    <row r="275" ht="24.0" customHeight="1"/>
    <row r="276" ht="24.0" customHeight="1"/>
    <row r="277" ht="24.0" customHeight="1"/>
    <row r="278" ht="24.0" customHeight="1"/>
    <row r="279" ht="24.0" customHeight="1"/>
    <row r="280" ht="24.0" customHeight="1"/>
    <row r="281" ht="24.0" customHeight="1"/>
    <row r="282" ht="24.0" customHeight="1"/>
    <row r="283" ht="24.0" customHeight="1"/>
    <row r="284" ht="24.0" customHeight="1"/>
    <row r="285" ht="24.0" customHeight="1"/>
    <row r="286" ht="24.0" customHeight="1"/>
    <row r="287" ht="24.0" customHeight="1"/>
    <row r="288" ht="24.0" customHeight="1"/>
    <row r="289" ht="24.0" customHeight="1"/>
    <row r="290" ht="24.0" customHeight="1"/>
    <row r="291" ht="24.0" customHeight="1"/>
    <row r="292" ht="24.0" customHeight="1"/>
    <row r="293" ht="24.0" customHeight="1"/>
    <row r="294" ht="24.0" customHeight="1"/>
    <row r="295" ht="24.0" customHeight="1"/>
    <row r="296" ht="24.0" customHeight="1"/>
    <row r="297" ht="24.0" customHeight="1"/>
    <row r="298" ht="24.0" customHeight="1"/>
    <row r="299" ht="24.0" customHeight="1"/>
    <row r="300" ht="24.0" customHeight="1"/>
    <row r="301" ht="24.0" customHeight="1"/>
    <row r="302" ht="24.0" customHeight="1"/>
    <row r="303" ht="24.0" customHeight="1"/>
    <row r="304" ht="24.0" customHeight="1"/>
    <row r="305" ht="24.0" customHeight="1"/>
    <row r="306" ht="24.0" customHeight="1"/>
    <row r="307" ht="24.0" customHeight="1"/>
    <row r="308" ht="24.0" customHeight="1"/>
    <row r="309" ht="24.0" customHeight="1"/>
    <row r="310" ht="24.0" customHeight="1"/>
    <row r="311" ht="24.0" customHeight="1"/>
    <row r="312" ht="24.0" customHeight="1"/>
    <row r="313" ht="24.0" customHeight="1"/>
    <row r="314" ht="24.0" customHeight="1"/>
    <row r="315" ht="24.0" customHeight="1"/>
    <row r="316" ht="24.0" customHeight="1"/>
    <row r="317" ht="24.0" customHeight="1"/>
    <row r="318" ht="24.0" customHeight="1"/>
    <row r="319" ht="24.0" customHeight="1"/>
    <row r="320" ht="24.0" customHeight="1"/>
    <row r="321" ht="24.0" customHeight="1"/>
    <row r="322" ht="24.0" customHeight="1"/>
    <row r="323" ht="24.0" customHeight="1"/>
    <row r="324" ht="24.0" customHeight="1"/>
    <row r="325" ht="24.0" customHeight="1"/>
    <row r="326" ht="24.0" customHeight="1"/>
    <row r="327" ht="24.0" customHeight="1"/>
    <row r="328" ht="24.0" customHeight="1"/>
    <row r="329" ht="24.0" customHeight="1"/>
    <row r="330" ht="24.0" customHeight="1"/>
    <row r="331" ht="24.0" customHeight="1"/>
    <row r="332" ht="24.0" customHeight="1"/>
    <row r="333" ht="24.0" customHeight="1"/>
    <row r="334" ht="24.0" customHeight="1"/>
    <row r="335" ht="24.0" customHeight="1"/>
    <row r="336" ht="24.0" customHeight="1"/>
    <row r="337" ht="24.0" customHeight="1"/>
    <row r="338" ht="24.0" customHeight="1"/>
    <row r="339" ht="24.0" customHeight="1"/>
    <row r="340" ht="24.0" customHeight="1"/>
    <row r="341" ht="24.0" customHeight="1"/>
    <row r="342" ht="24.0" customHeight="1"/>
    <row r="343" ht="24.0" customHeight="1"/>
    <row r="344" ht="24.0" customHeight="1"/>
    <row r="345" ht="24.0" customHeight="1"/>
    <row r="346" ht="24.0" customHeight="1"/>
    <row r="347" ht="24.0" customHeight="1"/>
    <row r="348" ht="24.0" customHeight="1"/>
    <row r="349" ht="24.0" customHeight="1"/>
    <row r="350" ht="24.0" customHeight="1"/>
    <row r="351" ht="24.0" customHeight="1"/>
    <row r="352" ht="24.0" customHeight="1"/>
    <row r="353" ht="24.0" customHeight="1"/>
    <row r="354" ht="24.0" customHeight="1"/>
    <row r="355" ht="24.0" customHeight="1"/>
    <row r="356" ht="24.0" customHeight="1"/>
    <row r="357" ht="24.0" customHeight="1"/>
    <row r="358" ht="24.0" customHeight="1"/>
    <row r="359" ht="24.0" customHeight="1"/>
    <row r="360" ht="24.0" customHeight="1"/>
    <row r="361" ht="24.0" customHeight="1"/>
    <row r="362" ht="24.0" customHeight="1"/>
    <row r="363" ht="24.0" customHeight="1"/>
    <row r="364" ht="24.0" customHeight="1"/>
    <row r="365" ht="24.0" customHeight="1"/>
    <row r="366" ht="24.0" customHeight="1"/>
    <row r="367" ht="24.0" customHeight="1"/>
    <row r="368" ht="24.0" customHeight="1"/>
    <row r="369" ht="24.0" customHeight="1"/>
    <row r="370" ht="24.0" customHeight="1"/>
    <row r="371" ht="24.0" customHeight="1"/>
    <row r="372" ht="24.0" customHeight="1"/>
    <row r="373" ht="24.0" customHeight="1"/>
    <row r="374" ht="24.0" customHeight="1"/>
    <row r="375" ht="24.0" customHeight="1"/>
    <row r="376" ht="24.0" customHeight="1"/>
    <row r="377" ht="24.0" customHeight="1"/>
    <row r="378" ht="24.0" customHeight="1"/>
    <row r="379" ht="24.0" customHeight="1"/>
    <row r="380" ht="24.0" customHeight="1"/>
    <row r="381" ht="24.0" customHeight="1"/>
    <row r="382" ht="24.0" customHeight="1"/>
    <row r="383" ht="24.0" customHeight="1"/>
    <row r="384" ht="24.0" customHeight="1"/>
    <row r="385" ht="24.0" customHeight="1"/>
    <row r="386" ht="24.0" customHeight="1"/>
    <row r="387" ht="24.0" customHeight="1"/>
    <row r="388" ht="24.0" customHeight="1"/>
    <row r="389" ht="24.0" customHeight="1"/>
    <row r="390" ht="24.0" customHeight="1"/>
    <row r="391" ht="24.0" customHeight="1"/>
    <row r="392" ht="24.0" customHeight="1"/>
    <row r="393" ht="24.0" customHeight="1"/>
    <row r="394" ht="24.0" customHeight="1"/>
    <row r="395" ht="24.0" customHeight="1"/>
    <row r="396" ht="24.0" customHeight="1"/>
    <row r="397" ht="24.0" customHeight="1"/>
    <row r="398" ht="24.0" customHeight="1"/>
    <row r="399" ht="24.0" customHeight="1"/>
    <row r="400" ht="24.0" customHeight="1"/>
    <row r="401" ht="24.0" customHeight="1"/>
    <row r="402" ht="24.0" customHeight="1"/>
    <row r="403" ht="24.0" customHeight="1"/>
    <row r="404" ht="24.0" customHeight="1"/>
    <row r="405" ht="24.0" customHeight="1"/>
    <row r="406" ht="24.0" customHeight="1"/>
    <row r="407" ht="24.0" customHeight="1"/>
    <row r="408" ht="24.0" customHeight="1"/>
    <row r="409" ht="24.0" customHeight="1"/>
    <row r="410" ht="24.0" customHeight="1"/>
    <row r="411" ht="24.0" customHeight="1"/>
    <row r="412" ht="24.0" customHeight="1"/>
    <row r="413" ht="24.0" customHeight="1"/>
    <row r="414" ht="24.0" customHeight="1"/>
    <row r="415" ht="24.0" customHeight="1"/>
    <row r="416" ht="24.0" customHeight="1"/>
    <row r="417" ht="24.0" customHeight="1"/>
    <row r="418" ht="24.0" customHeight="1"/>
    <row r="419" ht="24.0" customHeight="1"/>
    <row r="420" ht="24.0" customHeight="1"/>
    <row r="421" ht="24.0" customHeight="1"/>
    <row r="422" ht="24.0" customHeight="1"/>
    <row r="423" ht="24.0" customHeight="1"/>
    <row r="424" ht="24.0" customHeight="1"/>
    <row r="425" ht="24.0" customHeight="1"/>
    <row r="426" ht="24.0" customHeight="1"/>
    <row r="427" ht="24.0" customHeight="1"/>
    <row r="428" ht="24.0" customHeight="1"/>
    <row r="429" ht="24.0" customHeight="1"/>
    <row r="430" ht="24.0" customHeight="1"/>
    <row r="431" ht="24.0" customHeight="1"/>
    <row r="432" ht="24.0" customHeight="1"/>
    <row r="433" ht="24.0" customHeight="1"/>
    <row r="434" ht="24.0" customHeight="1"/>
    <row r="435" ht="24.0" customHeight="1"/>
    <row r="436" ht="24.0" customHeight="1"/>
    <row r="437" ht="24.0" customHeight="1"/>
    <row r="438" ht="24.0" customHeight="1"/>
    <row r="439" ht="24.0" customHeight="1"/>
    <row r="440" ht="24.0" customHeight="1"/>
    <row r="441" ht="24.0" customHeight="1"/>
    <row r="442" ht="24.0" customHeight="1"/>
    <row r="443" ht="24.0" customHeight="1"/>
    <row r="444" ht="24.0" customHeight="1"/>
    <row r="445" ht="24.0" customHeight="1"/>
    <row r="446" ht="24.0" customHeight="1"/>
    <row r="447" ht="24.0" customHeight="1"/>
    <row r="448" ht="24.0" customHeight="1"/>
    <row r="449" ht="24.0" customHeight="1"/>
    <row r="450" ht="24.0" customHeight="1"/>
    <row r="451" ht="24.0" customHeight="1"/>
    <row r="452" ht="24.0" customHeight="1"/>
    <row r="453" ht="24.0" customHeight="1"/>
    <row r="454" ht="24.0" customHeight="1"/>
    <row r="455" ht="24.0" customHeight="1"/>
    <row r="456" ht="24.0" customHeight="1"/>
    <row r="457" ht="24.0" customHeight="1"/>
    <row r="458" ht="24.0" customHeight="1"/>
    <row r="459" ht="24.0" customHeight="1"/>
    <row r="460" ht="24.0" customHeight="1"/>
    <row r="461" ht="24.0" customHeight="1"/>
    <row r="462" ht="24.0" customHeight="1"/>
    <row r="463" ht="24.0" customHeight="1"/>
    <row r="464" ht="24.0" customHeight="1"/>
    <row r="465" ht="24.0" customHeight="1"/>
    <row r="466" ht="24.0" customHeight="1"/>
    <row r="467" ht="24.0" customHeight="1"/>
    <row r="468" ht="24.0" customHeight="1"/>
    <row r="469" ht="24.0" customHeight="1"/>
    <row r="470" ht="24.0" customHeight="1"/>
    <row r="471" ht="24.0" customHeight="1"/>
    <row r="472" ht="24.0" customHeight="1"/>
    <row r="473" ht="24.0" customHeight="1"/>
    <row r="474" ht="24.0" customHeight="1"/>
    <row r="475" ht="24.0" customHeight="1"/>
    <row r="476" ht="24.0" customHeight="1"/>
    <row r="477" ht="24.0" customHeight="1"/>
    <row r="478" ht="24.0" customHeight="1"/>
    <row r="479" ht="24.0" customHeight="1"/>
    <row r="480" ht="24.0" customHeight="1"/>
    <row r="481" ht="24.0" customHeight="1"/>
    <row r="482" ht="24.0" customHeight="1"/>
    <row r="483" ht="24.0" customHeight="1"/>
    <row r="484" ht="24.0" customHeight="1"/>
    <row r="485" ht="24.0" customHeight="1"/>
    <row r="486" ht="24.0" customHeight="1"/>
    <row r="487" ht="24.0" customHeight="1"/>
    <row r="488" ht="24.0" customHeight="1"/>
    <row r="489" ht="24.0" customHeight="1"/>
    <row r="490" ht="24.0" customHeight="1"/>
    <row r="491" ht="24.0" customHeight="1"/>
    <row r="492" ht="24.0" customHeight="1"/>
    <row r="493" ht="24.0" customHeight="1"/>
    <row r="494" ht="24.0" customHeight="1"/>
    <row r="495" ht="24.0" customHeight="1"/>
    <row r="496" ht="24.0" customHeight="1"/>
    <row r="497" ht="24.0" customHeight="1"/>
    <row r="498" ht="24.0" customHeight="1"/>
    <row r="499" ht="24.0" customHeight="1"/>
    <row r="500" ht="24.0" customHeight="1"/>
    <row r="501" ht="24.0" customHeight="1"/>
    <row r="502" ht="24.0" customHeight="1"/>
    <row r="503" ht="24.0" customHeight="1"/>
    <row r="504" ht="24.0" customHeight="1"/>
    <row r="505" ht="24.0" customHeight="1"/>
    <row r="506" ht="24.0" customHeight="1"/>
    <row r="507" ht="24.0" customHeight="1"/>
    <row r="508" ht="24.0" customHeight="1"/>
    <row r="509" ht="24.0" customHeight="1"/>
    <row r="510" ht="24.0" customHeight="1"/>
    <row r="511" ht="24.0" customHeight="1"/>
    <row r="512" ht="24.0" customHeight="1"/>
    <row r="513" ht="24.0" customHeight="1"/>
    <row r="514" ht="24.0" customHeight="1"/>
    <row r="515" ht="24.0" customHeight="1"/>
    <row r="516" ht="24.0" customHeight="1"/>
    <row r="517" ht="24.0" customHeight="1"/>
    <row r="518" ht="24.0" customHeight="1"/>
    <row r="519" ht="24.0" customHeight="1"/>
    <row r="520" ht="24.0" customHeight="1"/>
    <row r="521" ht="24.0" customHeight="1"/>
    <row r="522" ht="24.0" customHeight="1"/>
    <row r="523" ht="24.0" customHeight="1"/>
    <row r="524" ht="24.0" customHeight="1"/>
    <row r="525" ht="24.0" customHeight="1"/>
    <row r="526" ht="24.0" customHeight="1"/>
    <row r="527" ht="24.0" customHeight="1"/>
    <row r="528" ht="24.0" customHeight="1"/>
    <row r="529" ht="24.0" customHeight="1"/>
    <row r="530" ht="24.0" customHeight="1"/>
    <row r="531" ht="24.0" customHeight="1"/>
    <row r="532" ht="24.0" customHeight="1"/>
    <row r="533" ht="24.0" customHeight="1"/>
    <row r="534" ht="24.0" customHeight="1"/>
    <row r="535" ht="24.0" customHeight="1"/>
    <row r="536" ht="24.0" customHeight="1"/>
    <row r="537" ht="24.0" customHeight="1"/>
    <row r="538" ht="24.0" customHeight="1"/>
    <row r="539" ht="24.0" customHeight="1"/>
    <row r="540" ht="24.0" customHeight="1"/>
    <row r="541" ht="24.0" customHeight="1"/>
    <row r="542" ht="24.0" customHeight="1"/>
    <row r="543" ht="24.0" customHeight="1"/>
    <row r="544" ht="24.0" customHeight="1"/>
    <row r="545" ht="24.0" customHeight="1"/>
    <row r="546" ht="24.0" customHeight="1"/>
    <row r="547" ht="24.0" customHeight="1"/>
    <row r="548" ht="24.0" customHeight="1"/>
    <row r="549" ht="24.0" customHeight="1"/>
    <row r="550" ht="24.0" customHeight="1"/>
    <row r="551" ht="24.0" customHeight="1"/>
    <row r="552" ht="24.0" customHeight="1"/>
    <row r="553" ht="24.0" customHeight="1"/>
    <row r="554" ht="24.0" customHeight="1"/>
    <row r="555" ht="24.0" customHeight="1"/>
    <row r="556" ht="24.0" customHeight="1"/>
    <row r="557" ht="24.0" customHeight="1"/>
    <row r="558" ht="24.0" customHeight="1"/>
    <row r="559" ht="24.0" customHeight="1"/>
    <row r="560" ht="24.0" customHeight="1"/>
    <row r="561" ht="24.0" customHeight="1"/>
    <row r="562" ht="24.0" customHeight="1"/>
    <row r="563" ht="24.0" customHeight="1"/>
    <row r="564" ht="24.0" customHeight="1"/>
    <row r="565" ht="24.0" customHeight="1"/>
    <row r="566" ht="24.0" customHeight="1"/>
    <row r="567" ht="24.0" customHeight="1"/>
    <row r="568" ht="24.0" customHeight="1"/>
    <row r="569" ht="24.0" customHeight="1"/>
    <row r="570" ht="24.0" customHeight="1"/>
    <row r="571" ht="24.0" customHeight="1"/>
    <row r="572" ht="24.0" customHeight="1"/>
    <row r="573" ht="24.0" customHeight="1"/>
    <row r="574" ht="24.0" customHeight="1"/>
    <row r="575" ht="24.0" customHeight="1"/>
    <row r="576" ht="24.0" customHeight="1"/>
    <row r="577" ht="24.0" customHeight="1"/>
    <row r="578" ht="24.0" customHeight="1"/>
    <row r="579" ht="24.0" customHeight="1"/>
    <row r="580" ht="24.0" customHeight="1"/>
    <row r="581" ht="24.0" customHeight="1"/>
    <row r="582" ht="24.0" customHeight="1"/>
    <row r="583" ht="24.0" customHeight="1"/>
    <row r="584" ht="24.0" customHeight="1"/>
    <row r="585" ht="24.0" customHeight="1"/>
    <row r="586" ht="24.0" customHeight="1"/>
    <row r="587" ht="24.0" customHeight="1"/>
    <row r="588" ht="24.0" customHeight="1"/>
    <row r="589" ht="24.0" customHeight="1"/>
    <row r="590" ht="24.0" customHeight="1"/>
    <row r="591" ht="24.0" customHeight="1"/>
    <row r="592" ht="24.0" customHeight="1"/>
    <row r="593" ht="24.0" customHeight="1"/>
    <row r="594" ht="24.0" customHeight="1"/>
    <row r="595" ht="24.0" customHeight="1"/>
    <row r="596" ht="24.0" customHeight="1"/>
    <row r="597" ht="24.0" customHeight="1"/>
    <row r="598" ht="24.0" customHeight="1"/>
    <row r="599" ht="24.0" customHeight="1"/>
    <row r="600" ht="24.0" customHeight="1"/>
    <row r="601" ht="24.0" customHeight="1"/>
    <row r="602" ht="24.0" customHeight="1"/>
    <row r="603" ht="24.0" customHeight="1"/>
    <row r="604" ht="24.0" customHeight="1"/>
    <row r="605" ht="24.0" customHeight="1"/>
    <row r="606" ht="24.0" customHeight="1"/>
    <row r="607" ht="24.0" customHeight="1"/>
    <row r="608" ht="24.0" customHeight="1"/>
    <row r="609" ht="24.0" customHeight="1"/>
    <row r="610" ht="24.0" customHeight="1"/>
    <row r="611" ht="24.0" customHeight="1"/>
    <row r="612" ht="24.0" customHeight="1"/>
    <row r="613" ht="24.0" customHeight="1"/>
    <row r="614" ht="24.0" customHeight="1"/>
    <row r="615" ht="24.0" customHeight="1"/>
    <row r="616" ht="24.0" customHeight="1"/>
    <row r="617" ht="24.0" customHeight="1"/>
    <row r="618" ht="24.0" customHeight="1"/>
    <row r="619" ht="24.0" customHeight="1"/>
    <row r="620" ht="24.0" customHeight="1"/>
    <row r="621" ht="24.0" customHeight="1"/>
    <row r="622" ht="24.0" customHeight="1"/>
    <row r="623" ht="24.0" customHeight="1"/>
    <row r="624" ht="24.0" customHeight="1"/>
    <row r="625" ht="24.0" customHeight="1"/>
    <row r="626" ht="24.0" customHeight="1"/>
    <row r="627" ht="24.0" customHeight="1"/>
    <row r="628" ht="24.0" customHeight="1"/>
    <row r="629" ht="24.0" customHeight="1"/>
    <row r="630" ht="24.0" customHeight="1"/>
    <row r="631" ht="24.0" customHeight="1"/>
    <row r="632" ht="24.0" customHeight="1"/>
    <row r="633" ht="24.0" customHeight="1"/>
    <row r="634" ht="24.0" customHeight="1"/>
    <row r="635" ht="24.0" customHeight="1"/>
    <row r="636" ht="24.0" customHeight="1"/>
    <row r="637" ht="24.0" customHeight="1"/>
    <row r="638" ht="24.0" customHeight="1"/>
    <row r="639" ht="24.0" customHeight="1"/>
    <row r="640" ht="24.0" customHeight="1"/>
    <row r="641" ht="24.0" customHeight="1"/>
    <row r="642" ht="24.0" customHeight="1"/>
    <row r="643" ht="24.0" customHeight="1"/>
    <row r="644" ht="24.0" customHeight="1"/>
    <row r="645" ht="24.0" customHeight="1"/>
    <row r="646" ht="24.0" customHeight="1"/>
    <row r="647" ht="24.0" customHeight="1"/>
    <row r="648" ht="24.0" customHeight="1"/>
    <row r="649" ht="24.0" customHeight="1"/>
    <row r="650" ht="24.0" customHeight="1"/>
    <row r="651" ht="24.0" customHeight="1"/>
    <row r="652" ht="24.0" customHeight="1"/>
    <row r="653" ht="24.0" customHeight="1"/>
    <row r="654" ht="24.0" customHeight="1"/>
    <row r="655" ht="24.0" customHeight="1"/>
    <row r="656" ht="24.0" customHeight="1"/>
    <row r="657" ht="24.0" customHeight="1"/>
    <row r="658" ht="24.0" customHeight="1"/>
    <row r="659" ht="24.0" customHeight="1"/>
    <row r="660" ht="24.0" customHeight="1"/>
    <row r="661" ht="24.0" customHeight="1"/>
    <row r="662" ht="24.0" customHeight="1"/>
    <row r="663" ht="24.0" customHeight="1"/>
    <row r="664" ht="24.0" customHeight="1"/>
    <row r="665" ht="24.0" customHeight="1"/>
    <row r="666" ht="24.0" customHeight="1"/>
    <row r="667" ht="24.0" customHeight="1"/>
    <row r="668" ht="24.0" customHeight="1"/>
    <row r="669" ht="24.0" customHeight="1"/>
    <row r="670" ht="24.0" customHeight="1"/>
    <row r="671" ht="24.0" customHeight="1"/>
    <row r="672" ht="24.0" customHeight="1"/>
    <row r="673" ht="24.0" customHeight="1"/>
    <row r="674" ht="24.0" customHeight="1"/>
    <row r="675" ht="24.0" customHeight="1"/>
    <row r="676" ht="24.0" customHeight="1"/>
    <row r="677" ht="24.0" customHeight="1"/>
    <row r="678" ht="24.0" customHeight="1"/>
    <row r="679" ht="24.0" customHeight="1"/>
    <row r="680" ht="24.0" customHeight="1"/>
    <row r="681" ht="24.0" customHeight="1"/>
    <row r="682" ht="24.0" customHeight="1"/>
    <row r="683" ht="24.0" customHeight="1"/>
    <row r="684" ht="24.0" customHeight="1"/>
    <row r="685" ht="24.0" customHeight="1"/>
    <row r="686" ht="24.0" customHeight="1"/>
    <row r="687" ht="24.0" customHeight="1"/>
    <row r="688" ht="24.0" customHeight="1"/>
    <row r="689" ht="24.0" customHeight="1"/>
    <row r="690" ht="24.0" customHeight="1"/>
    <row r="691" ht="24.0" customHeight="1"/>
    <row r="692" ht="24.0" customHeight="1"/>
    <row r="693" ht="24.0" customHeight="1"/>
    <row r="694" ht="24.0" customHeight="1"/>
    <row r="695" ht="24.0" customHeight="1"/>
    <row r="696" ht="24.0" customHeight="1"/>
    <row r="697" ht="24.0" customHeight="1"/>
    <row r="698" ht="24.0" customHeight="1"/>
    <row r="699" ht="24.0" customHeight="1"/>
    <row r="700" ht="24.0" customHeight="1"/>
    <row r="701" ht="24.0" customHeight="1"/>
    <row r="702" ht="24.0" customHeight="1"/>
    <row r="703" ht="24.0" customHeight="1"/>
    <row r="704" ht="24.0" customHeight="1"/>
    <row r="705" ht="24.0" customHeight="1"/>
    <row r="706" ht="24.0" customHeight="1"/>
    <row r="707" ht="24.0" customHeight="1"/>
    <row r="708" ht="24.0" customHeight="1"/>
    <row r="709" ht="24.0" customHeight="1"/>
    <row r="710" ht="24.0" customHeight="1"/>
    <row r="711" ht="24.0" customHeight="1"/>
    <row r="712" ht="24.0" customHeight="1"/>
    <row r="713" ht="24.0" customHeight="1"/>
    <row r="714" ht="24.0" customHeight="1"/>
    <row r="715" ht="24.0" customHeight="1"/>
    <row r="716" ht="24.0" customHeight="1"/>
    <row r="717" ht="24.0" customHeight="1"/>
    <row r="718" ht="24.0" customHeight="1"/>
    <row r="719" ht="24.0" customHeight="1"/>
    <row r="720" ht="24.0" customHeight="1"/>
    <row r="721" ht="24.0" customHeight="1"/>
    <row r="722" ht="24.0" customHeight="1"/>
    <row r="723" ht="24.0" customHeight="1"/>
    <row r="724" ht="24.0" customHeight="1"/>
    <row r="725" ht="24.0" customHeight="1"/>
    <row r="726" ht="24.0" customHeight="1"/>
    <row r="727" ht="24.0" customHeight="1"/>
    <row r="728" ht="24.0" customHeight="1"/>
    <row r="729" ht="24.0" customHeight="1"/>
    <row r="730" ht="24.0" customHeight="1"/>
    <row r="731" ht="24.0" customHeight="1"/>
    <row r="732" ht="24.0" customHeight="1"/>
    <row r="733" ht="24.0" customHeight="1"/>
    <row r="734" ht="24.0" customHeight="1"/>
    <row r="735" ht="24.0" customHeight="1"/>
    <row r="736" ht="24.0" customHeight="1"/>
    <row r="737" ht="24.0" customHeight="1"/>
    <row r="738" ht="24.0" customHeight="1"/>
    <row r="739" ht="24.0" customHeight="1"/>
    <row r="740" ht="24.0" customHeight="1"/>
    <row r="741" ht="24.0" customHeight="1"/>
    <row r="742" ht="24.0" customHeight="1"/>
    <row r="743" ht="24.0" customHeight="1"/>
    <row r="744" ht="24.0" customHeight="1"/>
    <row r="745" ht="24.0" customHeight="1"/>
    <row r="746" ht="24.0" customHeight="1"/>
    <row r="747" ht="24.0" customHeight="1"/>
    <row r="748" ht="24.0" customHeight="1"/>
    <row r="749" ht="24.0" customHeight="1"/>
    <row r="750" ht="24.0" customHeight="1"/>
    <row r="751" ht="24.0" customHeight="1"/>
    <row r="752" ht="24.0" customHeight="1"/>
    <row r="753" ht="24.0" customHeight="1"/>
    <row r="754" ht="24.0" customHeight="1"/>
    <row r="755" ht="24.0" customHeight="1"/>
    <row r="756" ht="24.0" customHeight="1"/>
    <row r="757" ht="24.0" customHeight="1"/>
    <row r="758" ht="24.0" customHeight="1"/>
    <row r="759" ht="24.0" customHeight="1"/>
    <row r="760" ht="24.0" customHeight="1"/>
    <row r="761" ht="24.0" customHeight="1"/>
    <row r="762" ht="24.0" customHeight="1"/>
    <row r="763" ht="24.0" customHeight="1"/>
    <row r="764" ht="24.0" customHeight="1"/>
    <row r="765" ht="24.0" customHeight="1"/>
    <row r="766" ht="24.0" customHeight="1"/>
    <row r="767" ht="24.0" customHeight="1"/>
    <row r="768" ht="24.0" customHeight="1"/>
    <row r="769" ht="24.0" customHeight="1"/>
    <row r="770" ht="24.0" customHeight="1"/>
    <row r="771" ht="24.0" customHeight="1"/>
    <row r="772" ht="24.0" customHeight="1"/>
    <row r="773" ht="24.0" customHeight="1"/>
    <row r="774" ht="24.0" customHeight="1"/>
    <row r="775" ht="24.0" customHeight="1"/>
    <row r="776" ht="24.0" customHeight="1"/>
    <row r="777" ht="24.0" customHeight="1"/>
    <row r="778" ht="24.0" customHeight="1"/>
    <row r="779" ht="24.0" customHeight="1"/>
    <row r="780" ht="24.0" customHeight="1"/>
    <row r="781" ht="24.0" customHeight="1"/>
    <row r="782" ht="24.0" customHeight="1"/>
    <row r="783" ht="24.0" customHeight="1"/>
    <row r="784" ht="24.0" customHeight="1"/>
    <row r="785" ht="24.0" customHeight="1"/>
    <row r="786" ht="24.0" customHeight="1"/>
    <row r="787" ht="24.0" customHeight="1"/>
    <row r="788" ht="24.0" customHeight="1"/>
    <row r="789" ht="24.0" customHeight="1"/>
    <row r="790" ht="24.0" customHeight="1"/>
    <row r="791" ht="24.0" customHeight="1"/>
    <row r="792" ht="24.0" customHeight="1"/>
    <row r="793" ht="24.0" customHeight="1"/>
    <row r="794" ht="24.0" customHeight="1"/>
    <row r="795" ht="24.0" customHeight="1"/>
    <row r="796" ht="24.0" customHeight="1"/>
    <row r="797" ht="24.0" customHeight="1"/>
    <row r="798" ht="24.0" customHeight="1"/>
    <row r="799" ht="24.0" customHeight="1"/>
    <row r="800" ht="24.0" customHeight="1"/>
    <row r="801" ht="24.0" customHeight="1"/>
    <row r="802" ht="24.0" customHeight="1"/>
    <row r="803" ht="24.0" customHeight="1"/>
    <row r="804" ht="24.0" customHeight="1"/>
    <row r="805" ht="24.0" customHeight="1"/>
    <row r="806" ht="24.0" customHeight="1"/>
    <row r="807" ht="24.0" customHeight="1"/>
    <row r="808" ht="24.0" customHeight="1"/>
    <row r="809" ht="24.0" customHeight="1"/>
    <row r="810" ht="24.0" customHeight="1"/>
    <row r="811" ht="24.0" customHeight="1"/>
    <row r="812" ht="24.0" customHeight="1"/>
    <row r="813" ht="24.0" customHeight="1"/>
    <row r="814" ht="24.0" customHeight="1"/>
    <row r="815" ht="24.0" customHeight="1"/>
    <row r="816" ht="24.0" customHeight="1"/>
    <row r="817" ht="24.0" customHeight="1"/>
    <row r="818" ht="24.0" customHeight="1"/>
    <row r="819" ht="24.0" customHeight="1"/>
    <row r="820" ht="24.0" customHeight="1"/>
    <row r="821" ht="24.0" customHeight="1"/>
    <row r="822" ht="24.0" customHeight="1"/>
    <row r="823" ht="24.0" customHeight="1"/>
    <row r="824" ht="24.0" customHeight="1"/>
    <row r="825" ht="24.0" customHeight="1"/>
    <row r="826" ht="24.0" customHeight="1"/>
    <row r="827" ht="24.0" customHeight="1"/>
    <row r="828" ht="24.0" customHeight="1"/>
    <row r="829" ht="24.0" customHeight="1"/>
    <row r="830" ht="24.0" customHeight="1"/>
    <row r="831" ht="24.0" customHeight="1"/>
    <row r="832" ht="24.0" customHeight="1"/>
    <row r="833" ht="24.0" customHeight="1"/>
    <row r="834" ht="24.0" customHeight="1"/>
    <row r="835" ht="24.0" customHeight="1"/>
    <row r="836" ht="24.0" customHeight="1"/>
    <row r="837" ht="24.0" customHeight="1"/>
    <row r="838" ht="24.0" customHeight="1"/>
    <row r="839" ht="24.0" customHeight="1"/>
    <row r="840" ht="24.0" customHeight="1"/>
    <row r="841" ht="24.0" customHeight="1"/>
    <row r="842" ht="24.0" customHeight="1"/>
    <row r="843" ht="24.0" customHeight="1"/>
    <row r="844" ht="24.0" customHeight="1"/>
    <row r="845" ht="24.0" customHeight="1"/>
    <row r="846" ht="24.0" customHeight="1"/>
    <row r="847" ht="24.0" customHeight="1"/>
    <row r="848" ht="24.0" customHeight="1"/>
    <row r="849" ht="24.0" customHeight="1"/>
    <row r="850" ht="24.0" customHeight="1"/>
    <row r="851" ht="24.0" customHeight="1"/>
    <row r="852" ht="24.0" customHeight="1"/>
    <row r="853" ht="24.0" customHeight="1"/>
    <row r="854" ht="24.0" customHeight="1"/>
    <row r="855" ht="24.0" customHeight="1"/>
    <row r="856" ht="24.0" customHeight="1"/>
    <row r="857" ht="24.0" customHeight="1"/>
    <row r="858" ht="24.0" customHeight="1"/>
    <row r="859" ht="24.0" customHeight="1"/>
    <row r="860" ht="24.0" customHeight="1"/>
    <row r="861" ht="24.0" customHeight="1"/>
    <row r="862" ht="24.0" customHeight="1"/>
    <row r="863" ht="24.0" customHeight="1"/>
    <row r="864" ht="24.0" customHeight="1"/>
    <row r="865" ht="24.0" customHeight="1"/>
    <row r="866" ht="24.0" customHeight="1"/>
    <row r="867" ht="24.0" customHeight="1"/>
    <row r="868" ht="24.0" customHeight="1"/>
    <row r="869" ht="24.0" customHeight="1"/>
    <row r="870" ht="24.0" customHeight="1"/>
    <row r="871" ht="24.0" customHeight="1"/>
    <row r="872" ht="24.0" customHeight="1"/>
    <row r="873" ht="24.0" customHeight="1"/>
    <row r="874" ht="24.0" customHeight="1"/>
    <row r="875" ht="24.0" customHeight="1"/>
    <row r="876" ht="24.0" customHeight="1"/>
    <row r="877" ht="24.0" customHeight="1"/>
    <row r="878" ht="24.0" customHeight="1"/>
    <row r="879" ht="24.0" customHeight="1"/>
    <row r="880" ht="24.0" customHeight="1"/>
    <row r="881" ht="24.0" customHeight="1"/>
    <row r="882" ht="24.0" customHeight="1"/>
    <row r="883" ht="24.0" customHeight="1"/>
    <row r="884" ht="24.0" customHeight="1"/>
    <row r="885" ht="24.0" customHeight="1"/>
    <row r="886" ht="24.0" customHeight="1"/>
    <row r="887" ht="24.0" customHeight="1"/>
    <row r="888" ht="24.0" customHeight="1"/>
    <row r="889" ht="24.0" customHeight="1"/>
    <row r="890" ht="24.0" customHeight="1"/>
    <row r="891" ht="24.0" customHeight="1"/>
    <row r="892" ht="24.0" customHeight="1"/>
    <row r="893" ht="24.0" customHeight="1"/>
    <row r="894" ht="24.0" customHeight="1"/>
    <row r="895" ht="24.0" customHeight="1"/>
    <row r="896" ht="24.0" customHeight="1"/>
    <row r="897" ht="24.0" customHeight="1"/>
    <row r="898" ht="24.0" customHeight="1"/>
    <row r="899" ht="24.0" customHeight="1"/>
    <row r="900" ht="24.0" customHeight="1"/>
    <row r="901" ht="24.0" customHeight="1"/>
    <row r="902" ht="24.0" customHeight="1"/>
    <row r="903" ht="24.0" customHeight="1"/>
    <row r="904" ht="24.0" customHeight="1"/>
    <row r="905" ht="24.0" customHeight="1"/>
    <row r="906" ht="24.0" customHeight="1"/>
    <row r="907" ht="24.0" customHeight="1"/>
    <row r="908" ht="24.0" customHeight="1"/>
    <row r="909" ht="24.0" customHeight="1"/>
    <row r="910" ht="24.0" customHeight="1"/>
    <row r="911" ht="24.0" customHeight="1"/>
    <row r="912" ht="24.0" customHeight="1"/>
    <row r="913" ht="24.0" customHeight="1"/>
    <row r="914" ht="24.0" customHeight="1"/>
    <row r="915" ht="24.0" customHeight="1"/>
    <row r="916" ht="24.0" customHeight="1"/>
    <row r="917" ht="24.0" customHeight="1"/>
    <row r="918" ht="24.0" customHeight="1"/>
    <row r="919" ht="24.0" customHeight="1"/>
    <row r="920" ht="24.0" customHeight="1"/>
    <row r="921" ht="24.0" customHeight="1"/>
    <row r="922" ht="24.0" customHeight="1"/>
    <row r="923" ht="24.0" customHeight="1"/>
    <row r="924" ht="24.0" customHeight="1"/>
    <row r="925" ht="24.0" customHeight="1"/>
    <row r="926" ht="24.0" customHeight="1"/>
    <row r="927" ht="24.0" customHeight="1"/>
    <row r="928" ht="24.0" customHeight="1"/>
    <row r="929" ht="24.0" customHeight="1"/>
    <row r="930" ht="24.0" customHeight="1"/>
    <row r="931" ht="24.0" customHeight="1"/>
    <row r="932" ht="24.0" customHeight="1"/>
    <row r="933" ht="24.0" customHeight="1"/>
    <row r="934" ht="24.0" customHeight="1"/>
    <row r="935" ht="24.0" customHeight="1"/>
    <row r="936" ht="24.0" customHeight="1"/>
    <row r="937" ht="24.0" customHeight="1"/>
    <row r="938" ht="24.0" customHeight="1"/>
    <row r="939" ht="24.0" customHeight="1"/>
    <row r="940" ht="24.0" customHeight="1"/>
    <row r="941" ht="24.0" customHeight="1"/>
    <row r="942" ht="24.0" customHeight="1"/>
    <row r="943" ht="24.0" customHeight="1"/>
    <row r="944" ht="24.0" customHeight="1"/>
    <row r="945" ht="24.0" customHeight="1"/>
    <row r="946" ht="24.0" customHeight="1"/>
    <row r="947" ht="24.0" customHeight="1"/>
    <row r="948" ht="24.0" customHeight="1"/>
    <row r="949" ht="24.0" customHeight="1"/>
    <row r="950" ht="24.0" customHeight="1"/>
    <row r="951" ht="24.0" customHeight="1"/>
    <row r="952" ht="24.0" customHeight="1"/>
    <row r="953" ht="24.0" customHeight="1"/>
    <row r="954" ht="24.0" customHeight="1"/>
    <row r="955" ht="24.0" customHeight="1"/>
    <row r="956" ht="24.0" customHeight="1"/>
    <row r="957" ht="24.0" customHeight="1"/>
    <row r="958" ht="24.0" customHeight="1"/>
    <row r="959" ht="24.0" customHeight="1"/>
    <row r="960" ht="24.0" customHeight="1"/>
    <row r="961" ht="24.0" customHeight="1"/>
    <row r="962" ht="24.0" customHeight="1"/>
    <row r="963" ht="24.0" customHeight="1"/>
    <row r="964" ht="24.0" customHeight="1"/>
    <row r="965" ht="24.0" customHeight="1"/>
    <row r="966" ht="24.0" customHeight="1"/>
    <row r="967" ht="24.0" customHeight="1"/>
    <row r="968" ht="24.0" customHeight="1"/>
    <row r="969" ht="24.0" customHeight="1"/>
    <row r="970" ht="24.0" customHeight="1"/>
    <row r="971" ht="24.0" customHeight="1"/>
    <row r="972" ht="24.0" customHeight="1"/>
    <row r="973" ht="24.0" customHeight="1"/>
    <row r="974" ht="24.0" customHeight="1"/>
    <row r="975" ht="24.0" customHeight="1"/>
    <row r="976" ht="24.0" customHeight="1"/>
    <row r="977" ht="24.0" customHeight="1"/>
    <row r="978" ht="24.0" customHeight="1"/>
    <row r="979" ht="24.0" customHeight="1"/>
    <row r="980" ht="24.0" customHeight="1"/>
    <row r="981" ht="24.0" customHeight="1"/>
    <row r="982" ht="24.0" customHeight="1"/>
    <row r="983" ht="24.0" customHeight="1"/>
    <row r="984" ht="24.0" customHeight="1"/>
    <row r="985" ht="24.0" customHeight="1"/>
    <row r="986" ht="24.0" customHeight="1"/>
    <row r="987" ht="24.0" customHeight="1"/>
    <row r="988" ht="24.0" customHeight="1"/>
    <row r="989" ht="24.0" customHeight="1"/>
    <row r="990" ht="24.0" customHeight="1"/>
    <row r="991" ht="24.0" customHeight="1"/>
    <row r="992" ht="24.0" customHeight="1"/>
    <row r="993" ht="24.0" customHeight="1"/>
    <row r="994" ht="24.0" customHeight="1"/>
    <row r="995" ht="24.0" customHeight="1"/>
    <row r="996" ht="24.0" customHeight="1"/>
    <row r="997" ht="24.0" customHeight="1"/>
    <row r="998" ht="24.0" customHeight="1"/>
    <row r="999" ht="24.0" customHeight="1"/>
    <row r="1000" ht="24.0" customHeight="1"/>
  </sheetData>
  <mergeCells count="2">
    <mergeCell ref="B1:F1"/>
    <mergeCell ref="B13:E13"/>
  </mergeCells>
  <conditionalFormatting sqref="E4">
    <cfRule type="expression" dxfId="0" priority="1">
      <formula>AND(ISNUMBER(E4),ROUND(E4,2)=INT(ROUND(E4,2)))</formula>
    </cfRule>
  </conditionalFormatting>
  <conditionalFormatting sqref="E4">
    <cfRule type="expression" dxfId="1" priority="2">
      <formula>AND(ISNUMBER(E4),ROUND(E4,2)&lt;&gt;INT(ROUND(E4,2)))</formula>
    </cfRule>
  </conditionalFormatting>
  <conditionalFormatting sqref="F4">
    <cfRule type="expression" dxfId="0" priority="3">
      <formula>AND(ISNUMBER(F4),ROUND(F4,2)=INT(ROUND(F4,2)))</formula>
    </cfRule>
  </conditionalFormatting>
  <conditionalFormatting sqref="F4">
    <cfRule type="expression" dxfId="1" priority="4">
      <formula>AND(ISNUMBER(F4),ROUND(F4,2)&lt;&gt;INT(ROUND(F4,2)))</formula>
    </cfRule>
  </conditionalFormatting>
  <conditionalFormatting sqref="E5">
    <cfRule type="expression" dxfId="0" priority="5">
      <formula>AND(ISNUMBER(E5),ROUND(E5,2)=INT(ROUND(E5,2)))</formula>
    </cfRule>
  </conditionalFormatting>
  <conditionalFormatting sqref="E5">
    <cfRule type="expression" dxfId="1" priority="6">
      <formula>AND(ISNUMBER(E5),ROUND(E5,2)&lt;&gt;INT(ROUND(E5,2)))</formula>
    </cfRule>
  </conditionalFormatting>
  <conditionalFormatting sqref="F5">
    <cfRule type="expression" dxfId="0" priority="7">
      <formula>AND(ISNUMBER(F5),ROUND(F5,2)=INT(ROUND(F5,2)))</formula>
    </cfRule>
  </conditionalFormatting>
  <conditionalFormatting sqref="F5">
    <cfRule type="expression" dxfId="1" priority="8">
      <formula>AND(ISNUMBER(F5),ROUND(F5,2)&lt;&gt;INT(ROUND(F5,2)))</formula>
    </cfRule>
  </conditionalFormatting>
  <conditionalFormatting sqref="E6">
    <cfRule type="expression" dxfId="0" priority="9">
      <formula>AND(ISNUMBER(E6),ROUND(E6,2)=INT(ROUND(E6,2)))</formula>
    </cfRule>
  </conditionalFormatting>
  <conditionalFormatting sqref="E6">
    <cfRule type="expression" dxfId="1" priority="10">
      <formula>AND(ISNUMBER(E6),ROUND(E6,2)&lt;&gt;INT(ROUND(E6,2)))</formula>
    </cfRule>
  </conditionalFormatting>
  <conditionalFormatting sqref="F6">
    <cfRule type="expression" dxfId="0" priority="11">
      <formula>AND(ISNUMBER(F6),ROUND(F6,2)=INT(ROUND(F6,2)))</formula>
    </cfRule>
  </conditionalFormatting>
  <conditionalFormatting sqref="F6">
    <cfRule type="expression" dxfId="1" priority="12">
      <formula>AND(ISNUMBER(F6),ROUND(F6,2)&lt;&gt;INT(ROUND(F6,2)))</formula>
    </cfRule>
  </conditionalFormatting>
  <conditionalFormatting sqref="E7">
    <cfRule type="expression" dxfId="0" priority="13">
      <formula>AND(ISNUMBER(E7),ROUND(E7,2)=INT(ROUND(E7,2)))</formula>
    </cfRule>
  </conditionalFormatting>
  <conditionalFormatting sqref="E7">
    <cfRule type="expression" dxfId="1" priority="14">
      <formula>AND(ISNUMBER(E7),ROUND(E7,2)&lt;&gt;INT(ROUND(E7,2)))</formula>
    </cfRule>
  </conditionalFormatting>
  <conditionalFormatting sqref="F7">
    <cfRule type="expression" dxfId="0" priority="15">
      <formula>AND(ISNUMBER(F7),ROUND(F7,2)=INT(ROUND(F7,2)))</formula>
    </cfRule>
  </conditionalFormatting>
  <conditionalFormatting sqref="F7">
    <cfRule type="expression" dxfId="1" priority="16">
      <formula>AND(ISNUMBER(F7),ROUND(F7,2)&lt;&gt;INT(ROUND(F7,2)))</formula>
    </cfRule>
  </conditionalFormatting>
  <conditionalFormatting sqref="E8">
    <cfRule type="expression" dxfId="0" priority="17">
      <formula>AND(ISNUMBER(E8),ROUND(E8,2)=INT(ROUND(E8,2)))</formula>
    </cfRule>
  </conditionalFormatting>
  <conditionalFormatting sqref="E8">
    <cfRule type="expression" dxfId="1" priority="18">
      <formula>AND(ISNUMBER(E8),ROUND(E8,2)&lt;&gt;INT(ROUND(E8,2)))</formula>
    </cfRule>
  </conditionalFormatting>
  <conditionalFormatting sqref="F8">
    <cfRule type="expression" dxfId="0" priority="19">
      <formula>AND(ISNUMBER(F8),ROUND(F8,2)=INT(ROUND(F8,2)))</formula>
    </cfRule>
  </conditionalFormatting>
  <conditionalFormatting sqref="F8">
    <cfRule type="expression" dxfId="1" priority="20">
      <formula>AND(ISNUMBER(F8),ROUND(F8,2)&lt;&gt;INT(ROUND(F8,2)))</formula>
    </cfRule>
  </conditionalFormatting>
  <conditionalFormatting sqref="E9">
    <cfRule type="expression" dxfId="0" priority="21">
      <formula>AND(ISNUMBER(E9),ROUND(E9,2)=INT(ROUND(E9,2)))</formula>
    </cfRule>
  </conditionalFormatting>
  <conditionalFormatting sqref="E9">
    <cfRule type="expression" dxfId="1" priority="22">
      <formula>AND(ISNUMBER(E9),ROUND(E9,2)&lt;&gt;INT(ROUND(E9,2)))</formula>
    </cfRule>
  </conditionalFormatting>
  <conditionalFormatting sqref="F9">
    <cfRule type="expression" dxfId="0" priority="23">
      <formula>AND(ISNUMBER(F9),ROUND(F9,2)=INT(ROUND(F9,2)))</formula>
    </cfRule>
  </conditionalFormatting>
  <conditionalFormatting sqref="F9">
    <cfRule type="expression" dxfId="1" priority="24">
      <formula>AND(ISNUMBER(F9),ROUND(F9,2)&lt;&gt;INT(ROUND(F9,2)))</formula>
    </cfRule>
  </conditionalFormatting>
  <conditionalFormatting sqref="E10">
    <cfRule type="expression" dxfId="0" priority="25">
      <formula>AND(ISNUMBER(E10),ROUND(E10,2)=INT(ROUND(E10,2)))</formula>
    </cfRule>
  </conditionalFormatting>
  <conditionalFormatting sqref="E10">
    <cfRule type="expression" dxfId="1" priority="26">
      <formula>AND(ISNUMBER(E10),ROUND(E10,2)&lt;&gt;INT(ROUND(E10,2)))</formula>
    </cfRule>
  </conditionalFormatting>
  <conditionalFormatting sqref="F10">
    <cfRule type="expression" dxfId="0" priority="27">
      <formula>AND(ISNUMBER(F10),ROUND(F10,2)=INT(ROUND(F10,2)))</formula>
    </cfRule>
  </conditionalFormatting>
  <conditionalFormatting sqref="F10">
    <cfRule type="expression" dxfId="1" priority="28">
      <formula>AND(ISNUMBER(F10),ROUND(F10,2)&lt;&gt;INT(ROUND(F10,2)))</formula>
    </cfRule>
  </conditionalFormatting>
  <conditionalFormatting sqref="E11">
    <cfRule type="expression" dxfId="0" priority="29">
      <formula>AND(ISNUMBER(E11),ROUND(E11,2)=INT(ROUND(E11,2)))</formula>
    </cfRule>
  </conditionalFormatting>
  <conditionalFormatting sqref="E11">
    <cfRule type="expression" dxfId="1" priority="30">
      <formula>AND(ISNUMBER(E11),ROUND(E11,2)&lt;&gt;INT(ROUND(E11,2)))</formula>
    </cfRule>
  </conditionalFormatting>
  <conditionalFormatting sqref="F11">
    <cfRule type="expression" dxfId="0" priority="31">
      <formula>AND(ISNUMBER(F11),ROUND(F11,2)=INT(ROUND(F11,2)))</formula>
    </cfRule>
  </conditionalFormatting>
  <conditionalFormatting sqref="F11">
    <cfRule type="expression" dxfId="1" priority="32">
      <formula>AND(ISNUMBER(F11),ROUND(F11,2)&lt;&gt;INT(ROUND(F11,2)))</formula>
    </cfRule>
  </conditionalFormatting>
  <conditionalFormatting sqref="F13">
    <cfRule type="expression" dxfId="0" priority="33">
      <formula>AND(ISNUMBER(F13),ROUND(F13,2)=INT(ROUND(F13,2)))</formula>
    </cfRule>
  </conditionalFormatting>
  <conditionalFormatting sqref="F13">
    <cfRule type="expression" dxfId="1" priority="34">
      <formula>AND(ISNUMBER(F13),ROUND(F13,2)&lt;&gt;INT(ROUND(F13,2)))</formula>
    </cfRule>
  </conditionalFormatting>
  <dataValidations>
    <dataValidation type="decimal" operator="greaterThanOrEqual" allowBlank="1" showInputMessage="1" showErrorMessage="1" prompt="יש להזין מספר לא שלילי" sqref="D4:D11">
      <formula1>0.0</formula1>
    </dataValidation>
    <dataValidation type="custom" allowBlank="1" showInputMessage="1" showErrorMessage="1" prompt="מספר לא שלילי, כלול או לא רלוונטי בלבד" sqref="E4:E11">
      <formula1>OR(ISBLANK(E4),AND(ISNUMBER(E4),E4&gt;=0),E4="כלול",E4="לא רלוונטי")</formula1>
    </dataValidation>
  </dataValidations>
  <printOptions/>
  <pageMargins bottom="0.75" footer="0.0" header="0.0" left="0.25" right="0.25" top="0.75"/>
  <pageSetup fitToHeight="0" paperSize="9" orientation="portrait"/>
  <headerFooter>
    <oddFooter>&amp;Cעמוד &amp;P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rightToLeft="1" workbookViewId="0"/>
  </sheetViews>
  <sheetFormatPr customHeight="1" defaultColWidth="14.43" defaultRowHeight="15.0"/>
  <cols>
    <col customWidth="1" min="1" max="1" width="7.29"/>
    <col customWidth="1" min="2" max="2" width="66.29"/>
    <col customWidth="1" min="3" max="6" width="8.14"/>
    <col customWidth="1" hidden="1" min="7" max="7" width="36.0"/>
    <col customWidth="1" hidden="1" min="8" max="8" width="12.0"/>
    <col customWidth="1" min="9" max="26" width="8.71"/>
  </cols>
  <sheetData>
    <row r="1" ht="31.5" customHeight="1">
      <c r="A1" s="10">
        <v>3.0</v>
      </c>
      <c r="B1" s="3" t="s">
        <v>28</v>
      </c>
      <c r="G1" s="2" t="s">
        <v>27</v>
      </c>
      <c r="H1" s="2" t="s">
        <v>53</v>
      </c>
    </row>
    <row r="2" ht="31.5" customHeight="1">
      <c r="A2" s="16" t="s">
        <v>59</v>
      </c>
      <c r="B2" s="17" t="s">
        <v>67</v>
      </c>
      <c r="C2" s="16" t="s">
        <v>72</v>
      </c>
      <c r="D2" s="16" t="s">
        <v>76</v>
      </c>
      <c r="E2" s="16" t="s">
        <v>79</v>
      </c>
      <c r="F2" s="16" t="s">
        <v>81</v>
      </c>
      <c r="G2" s="2"/>
      <c r="H2" s="2" t="s">
        <v>84</v>
      </c>
    </row>
    <row r="3" ht="81.0" customHeight="1">
      <c r="A3" s="19"/>
      <c r="B3" s="20" t="s">
        <v>139</v>
      </c>
      <c r="C3" s="19"/>
      <c r="D3" s="19"/>
      <c r="E3" s="19"/>
      <c r="F3" s="19"/>
      <c r="G3" s="12" t="s">
        <v>140</v>
      </c>
      <c r="H3" s="12" t="s">
        <v>105</v>
      </c>
    </row>
    <row r="4" ht="63.75" customHeight="1">
      <c r="A4" s="19" t="s">
        <v>142</v>
      </c>
      <c r="B4" s="20" t="s">
        <v>144</v>
      </c>
      <c r="C4" s="19" t="s">
        <v>146</v>
      </c>
      <c r="D4" s="19"/>
      <c r="E4" s="22"/>
      <c r="F4" s="22" t="str">
        <f t="shared" ref="F4:F13" si="1">IF(ISBLANK(D4),"",IF(NOT(ISNUMBER(D4)),"קלט לא תקין",IF(D4&lt;0,"קלט לא תקין",IF(ISBLANK(E4),"",IF(OR(E4="כלול",E4="לא רלוונטי"),0,IF(NOT(ISNUMBER(E4)),"קלט לא תקין",IF(E4&lt;0,"קלט לא תקין",ROUND(D4*E4,2))))))))</f>
        <v/>
      </c>
      <c r="G4" s="12" t="s">
        <v>165</v>
      </c>
      <c r="H4" s="12" t="s">
        <v>113</v>
      </c>
    </row>
    <row r="5" ht="46.5" customHeight="1">
      <c r="A5" s="19" t="s">
        <v>166</v>
      </c>
      <c r="B5" s="20" t="s">
        <v>167</v>
      </c>
      <c r="C5" s="19" t="s">
        <v>126</v>
      </c>
      <c r="D5" s="19"/>
      <c r="E5" s="22"/>
      <c r="F5" s="22" t="str">
        <f t="shared" si="1"/>
        <v/>
      </c>
      <c r="G5" s="12" t="s">
        <v>174</v>
      </c>
      <c r="H5" s="12" t="s">
        <v>113</v>
      </c>
    </row>
    <row r="6" ht="46.5" customHeight="1">
      <c r="A6" s="19" t="s">
        <v>175</v>
      </c>
      <c r="B6" s="20" t="s">
        <v>176</v>
      </c>
      <c r="C6" s="19" t="s">
        <v>126</v>
      </c>
      <c r="D6" s="19"/>
      <c r="E6" s="22"/>
      <c r="F6" s="22" t="str">
        <f t="shared" si="1"/>
        <v/>
      </c>
      <c r="G6" s="12" t="s">
        <v>180</v>
      </c>
      <c r="H6" s="12" t="s">
        <v>113</v>
      </c>
    </row>
    <row r="7" ht="46.5" customHeight="1">
      <c r="A7" s="19" t="s">
        <v>181</v>
      </c>
      <c r="B7" s="20" t="s">
        <v>183</v>
      </c>
      <c r="C7" s="19" t="s">
        <v>146</v>
      </c>
      <c r="D7" s="19"/>
      <c r="E7" s="22"/>
      <c r="F7" s="22" t="str">
        <f t="shared" si="1"/>
        <v/>
      </c>
      <c r="G7" s="12" t="s">
        <v>187</v>
      </c>
      <c r="H7" s="12" t="s">
        <v>113</v>
      </c>
    </row>
    <row r="8" ht="46.5" customHeight="1">
      <c r="A8" s="19" t="s">
        <v>190</v>
      </c>
      <c r="B8" s="20" t="s">
        <v>191</v>
      </c>
      <c r="C8" s="19" t="s">
        <v>146</v>
      </c>
      <c r="D8" s="19"/>
      <c r="E8" s="22"/>
      <c r="F8" s="22" t="str">
        <f t="shared" si="1"/>
        <v/>
      </c>
      <c r="G8" s="12" t="s">
        <v>193</v>
      </c>
      <c r="H8" s="12" t="s">
        <v>113</v>
      </c>
    </row>
    <row r="9" ht="46.5" customHeight="1">
      <c r="A9" s="19" t="s">
        <v>195</v>
      </c>
      <c r="B9" s="20" t="s">
        <v>197</v>
      </c>
      <c r="C9" s="19" t="s">
        <v>146</v>
      </c>
      <c r="D9" s="19"/>
      <c r="E9" s="22"/>
      <c r="F9" s="22" t="str">
        <f t="shared" si="1"/>
        <v/>
      </c>
      <c r="G9" s="12" t="s">
        <v>199</v>
      </c>
      <c r="H9" s="12" t="s">
        <v>113</v>
      </c>
    </row>
    <row r="10" ht="46.5" customHeight="1">
      <c r="A10" s="19" t="s">
        <v>200</v>
      </c>
      <c r="B10" s="20" t="s">
        <v>201</v>
      </c>
      <c r="C10" s="19" t="s">
        <v>146</v>
      </c>
      <c r="D10" s="19"/>
      <c r="E10" s="22"/>
      <c r="F10" s="22" t="str">
        <f t="shared" si="1"/>
        <v/>
      </c>
      <c r="G10" s="12" t="s">
        <v>203</v>
      </c>
      <c r="H10" s="12" t="s">
        <v>113</v>
      </c>
    </row>
    <row r="11" ht="63.75" customHeight="1">
      <c r="A11" s="19" t="s">
        <v>204</v>
      </c>
      <c r="B11" s="20" t="s">
        <v>205</v>
      </c>
      <c r="C11" s="19" t="s">
        <v>146</v>
      </c>
      <c r="D11" s="19"/>
      <c r="E11" s="22"/>
      <c r="F11" s="22" t="str">
        <f t="shared" si="1"/>
        <v/>
      </c>
      <c r="G11" s="12" t="s">
        <v>206</v>
      </c>
      <c r="H11" s="12" t="s">
        <v>113</v>
      </c>
    </row>
    <row r="12" ht="46.5" customHeight="1">
      <c r="A12" s="19" t="s">
        <v>207</v>
      </c>
      <c r="B12" s="20" t="s">
        <v>208</v>
      </c>
      <c r="C12" s="19" t="s">
        <v>119</v>
      </c>
      <c r="D12" s="19"/>
      <c r="E12" s="22"/>
      <c r="F12" s="22" t="str">
        <f t="shared" si="1"/>
        <v/>
      </c>
      <c r="G12" s="12" t="s">
        <v>209</v>
      </c>
      <c r="H12" s="12" t="s">
        <v>113</v>
      </c>
    </row>
    <row r="13" ht="46.5" customHeight="1">
      <c r="A13" s="19" t="s">
        <v>210</v>
      </c>
      <c r="B13" s="20" t="s">
        <v>211</v>
      </c>
      <c r="C13" s="19" t="s">
        <v>119</v>
      </c>
      <c r="D13" s="19"/>
      <c r="E13" s="22"/>
      <c r="F13" s="22" t="str">
        <f t="shared" si="1"/>
        <v/>
      </c>
      <c r="G13" s="12" t="s">
        <v>212</v>
      </c>
      <c r="H13" s="12" t="s">
        <v>113</v>
      </c>
    </row>
    <row r="14" ht="39.0" customHeight="1">
      <c r="A14" s="19"/>
      <c r="B14" s="20"/>
      <c r="C14" s="19"/>
      <c r="D14" s="19"/>
      <c r="E14" s="19"/>
      <c r="F14" s="19"/>
      <c r="G14" s="12"/>
      <c r="H14" s="12" t="s">
        <v>86</v>
      </c>
    </row>
    <row r="15" ht="31.5" customHeight="1">
      <c r="A15" s="6"/>
      <c r="B15" s="7" t="s">
        <v>213</v>
      </c>
      <c r="C15" s="8"/>
      <c r="D15" s="8"/>
      <c r="E15" s="9"/>
      <c r="F15" s="23">
        <f>SUM(F4,F5,F6,F7,F8,F9,F10,F11,F12,F13)</f>
        <v>0</v>
      </c>
      <c r="G15" s="12"/>
      <c r="H15" s="12" t="s">
        <v>136</v>
      </c>
    </row>
    <row r="16" ht="24.0" customHeight="1"/>
    <row r="17" ht="24.0" customHeight="1"/>
    <row r="18" ht="24.0" customHeight="1"/>
    <row r="19" ht="24.0" customHeight="1"/>
    <row r="20" ht="24.0" customHeight="1"/>
    <row r="21" ht="24.0" customHeight="1"/>
    <row r="22" ht="24.0" customHeight="1"/>
    <row r="23" ht="24.0" customHeight="1"/>
    <row r="24" ht="24.0" customHeight="1"/>
    <row r="25" ht="24.0" customHeight="1"/>
    <row r="26" ht="24.0" customHeight="1"/>
    <row r="27" ht="24.0" customHeight="1"/>
    <row r="28" ht="24.0" customHeight="1"/>
    <row r="29" ht="24.0" customHeight="1"/>
    <row r="30" ht="24.0" customHeight="1"/>
    <row r="31" ht="24.0" customHeight="1"/>
    <row r="32" ht="24.0" customHeight="1"/>
    <row r="33" ht="24.0" customHeight="1"/>
    <row r="34" ht="24.0" customHeight="1"/>
    <row r="35" ht="24.0" customHeight="1"/>
    <row r="36" ht="24.0" customHeight="1"/>
    <row r="37" ht="24.0" customHeight="1"/>
    <row r="38" ht="24.0" customHeight="1"/>
    <row r="39" ht="24.0" customHeight="1"/>
    <row r="40" ht="24.0" customHeight="1"/>
    <row r="41" ht="24.0" customHeight="1"/>
    <row r="42" ht="24.0" customHeight="1"/>
    <row r="43" ht="24.0" customHeight="1"/>
    <row r="44" ht="24.0" customHeight="1"/>
    <row r="45" ht="24.0" customHeight="1"/>
    <row r="46" ht="24.0" customHeight="1"/>
    <row r="47" ht="24.0" customHeight="1"/>
    <row r="48" ht="24.0" customHeight="1"/>
    <row r="49" ht="24.0" customHeight="1"/>
    <row r="50" ht="24.0" customHeight="1"/>
    <row r="51" ht="24.0" customHeight="1"/>
    <row r="52" ht="24.0" customHeight="1"/>
    <row r="53" ht="24.0" customHeight="1"/>
    <row r="54" ht="24.0" customHeight="1"/>
    <row r="55" ht="24.0" customHeight="1"/>
    <row r="56" ht="24.0" customHeight="1"/>
    <row r="57" ht="24.0" customHeight="1"/>
    <row r="58" ht="24.0" customHeight="1"/>
    <row r="59" ht="24.0" customHeight="1"/>
    <row r="60" ht="24.0" customHeight="1"/>
    <row r="61" ht="24.0" customHeight="1"/>
    <row r="62" ht="24.0" customHeight="1"/>
    <row r="63" ht="24.0" customHeight="1"/>
    <row r="64" ht="24.0" customHeight="1"/>
    <row r="65" ht="24.0" customHeight="1"/>
    <row r="66" ht="24.0" customHeight="1"/>
    <row r="67" ht="24.0" customHeight="1"/>
    <row r="68" ht="24.0" customHeight="1"/>
    <row r="69" ht="24.0" customHeight="1"/>
    <row r="70" ht="24.0" customHeight="1"/>
    <row r="71" ht="24.0" customHeight="1"/>
    <row r="72" ht="24.0" customHeight="1"/>
    <row r="73" ht="24.0" customHeight="1"/>
    <row r="74" ht="24.0" customHeight="1"/>
    <row r="75" ht="24.0" customHeight="1"/>
    <row r="76" ht="24.0" customHeight="1"/>
    <row r="77" ht="24.0" customHeight="1"/>
    <row r="78" ht="24.0" customHeight="1"/>
    <row r="79" ht="24.0" customHeight="1"/>
    <row r="80" ht="24.0" customHeight="1"/>
    <row r="81" ht="24.0" customHeight="1"/>
    <row r="82" ht="24.0" customHeight="1"/>
    <row r="83" ht="24.0" customHeight="1"/>
    <row r="84" ht="24.0" customHeight="1"/>
    <row r="85" ht="24.0" customHeight="1"/>
    <row r="86" ht="24.0" customHeight="1"/>
    <row r="87" ht="24.0" customHeight="1"/>
    <row r="88" ht="24.0" customHeight="1"/>
    <row r="89" ht="24.0" customHeight="1"/>
    <row r="90" ht="24.0" customHeight="1"/>
    <row r="91" ht="24.0" customHeight="1"/>
    <row r="92" ht="24.0" customHeight="1"/>
    <row r="93" ht="24.0" customHeight="1"/>
    <row r="94" ht="24.0" customHeight="1"/>
    <row r="95" ht="24.0" customHeight="1"/>
    <row r="96" ht="24.0" customHeight="1"/>
    <row r="97" ht="24.0" customHeight="1"/>
    <row r="98" ht="24.0" customHeight="1"/>
    <row r="99" ht="24.0" customHeight="1"/>
    <row r="100" ht="24.0" customHeight="1"/>
    <row r="101" ht="24.0" customHeight="1"/>
    <row r="102" ht="24.0" customHeight="1"/>
    <row r="103" ht="24.0" customHeight="1"/>
    <row r="104" ht="24.0" customHeight="1"/>
    <row r="105" ht="24.0" customHeight="1"/>
    <row r="106" ht="24.0" customHeight="1"/>
    <row r="107" ht="24.0" customHeight="1"/>
    <row r="108" ht="24.0" customHeight="1"/>
    <row r="109" ht="24.0" customHeight="1"/>
    <row r="110" ht="24.0" customHeight="1"/>
    <row r="111" ht="24.0" customHeight="1"/>
    <row r="112" ht="24.0" customHeight="1"/>
    <row r="113" ht="24.0" customHeight="1"/>
    <row r="114" ht="24.0" customHeight="1"/>
    <row r="115" ht="24.0" customHeight="1"/>
    <row r="116" ht="24.0" customHeight="1"/>
    <row r="117" ht="24.0" customHeight="1"/>
    <row r="118" ht="24.0" customHeight="1"/>
    <row r="119" ht="24.0" customHeight="1"/>
    <row r="120" ht="24.0" customHeight="1"/>
    <row r="121" ht="24.0" customHeight="1"/>
    <row r="122" ht="24.0" customHeight="1"/>
    <row r="123" ht="24.0" customHeight="1"/>
    <row r="124" ht="24.0" customHeight="1"/>
    <row r="125" ht="24.0" customHeight="1"/>
    <row r="126" ht="24.0" customHeight="1"/>
    <row r="127" ht="24.0" customHeight="1"/>
    <row r="128" ht="24.0" customHeight="1"/>
    <row r="129" ht="24.0" customHeight="1"/>
    <row r="130" ht="24.0" customHeight="1"/>
    <row r="131" ht="24.0" customHeight="1"/>
    <row r="132" ht="24.0" customHeight="1"/>
    <row r="133" ht="24.0" customHeight="1"/>
    <row r="134" ht="24.0" customHeight="1"/>
    <row r="135" ht="24.0" customHeight="1"/>
    <row r="136" ht="24.0" customHeight="1"/>
    <row r="137" ht="24.0" customHeight="1"/>
    <row r="138" ht="24.0" customHeight="1"/>
    <row r="139" ht="24.0" customHeight="1"/>
    <row r="140" ht="24.0" customHeight="1"/>
    <row r="141" ht="24.0" customHeight="1"/>
    <row r="142" ht="24.0" customHeight="1"/>
    <row r="143" ht="24.0" customHeight="1"/>
    <row r="144" ht="24.0" customHeight="1"/>
    <row r="145" ht="24.0" customHeight="1"/>
    <row r="146" ht="24.0" customHeight="1"/>
    <row r="147" ht="24.0" customHeight="1"/>
    <row r="148" ht="24.0" customHeight="1"/>
    <row r="149" ht="24.0" customHeight="1"/>
    <row r="150" ht="24.0" customHeight="1"/>
    <row r="151" ht="24.0" customHeight="1"/>
    <row r="152" ht="24.0" customHeight="1"/>
    <row r="153" ht="24.0" customHeight="1"/>
    <row r="154" ht="24.0" customHeight="1"/>
    <row r="155" ht="24.0" customHeight="1"/>
    <row r="156" ht="24.0" customHeight="1"/>
    <row r="157" ht="24.0" customHeight="1"/>
    <row r="158" ht="24.0" customHeight="1"/>
    <row r="159" ht="24.0" customHeight="1"/>
    <row r="160" ht="24.0" customHeight="1"/>
    <row r="161" ht="24.0" customHeight="1"/>
    <row r="162" ht="24.0" customHeight="1"/>
    <row r="163" ht="24.0" customHeight="1"/>
    <row r="164" ht="24.0" customHeight="1"/>
    <row r="165" ht="24.0" customHeight="1"/>
    <row r="166" ht="24.0" customHeight="1"/>
    <row r="167" ht="24.0" customHeight="1"/>
    <row r="168" ht="24.0" customHeight="1"/>
    <row r="169" ht="24.0" customHeight="1"/>
    <row r="170" ht="24.0" customHeight="1"/>
    <row r="171" ht="24.0" customHeight="1"/>
    <row r="172" ht="24.0" customHeight="1"/>
    <row r="173" ht="24.0" customHeight="1"/>
    <row r="174" ht="24.0" customHeight="1"/>
    <row r="175" ht="24.0" customHeight="1"/>
    <row r="176" ht="24.0" customHeight="1"/>
    <row r="177" ht="24.0" customHeight="1"/>
    <row r="178" ht="24.0" customHeight="1"/>
    <row r="179" ht="24.0" customHeight="1"/>
    <row r="180" ht="24.0" customHeight="1"/>
    <row r="181" ht="24.0" customHeight="1"/>
    <row r="182" ht="24.0" customHeight="1"/>
    <row r="183" ht="24.0" customHeight="1"/>
    <row r="184" ht="24.0" customHeight="1"/>
    <row r="185" ht="24.0" customHeight="1"/>
    <row r="186" ht="24.0" customHeight="1"/>
    <row r="187" ht="24.0" customHeight="1"/>
    <row r="188" ht="24.0" customHeight="1"/>
    <row r="189" ht="24.0" customHeight="1"/>
    <row r="190" ht="24.0" customHeight="1"/>
    <row r="191" ht="24.0" customHeight="1"/>
    <row r="192" ht="24.0" customHeight="1"/>
    <row r="193" ht="24.0" customHeight="1"/>
    <row r="194" ht="24.0" customHeight="1"/>
    <row r="195" ht="24.0" customHeight="1"/>
    <row r="196" ht="24.0" customHeight="1"/>
    <row r="197" ht="24.0" customHeight="1"/>
    <row r="198" ht="24.0" customHeight="1"/>
    <row r="199" ht="24.0" customHeight="1"/>
    <row r="200" ht="24.0" customHeight="1"/>
    <row r="201" ht="24.0" customHeight="1"/>
    <row r="202" ht="24.0" customHeight="1"/>
    <row r="203" ht="24.0" customHeight="1"/>
    <row r="204" ht="24.0" customHeight="1"/>
    <row r="205" ht="24.0" customHeight="1"/>
    <row r="206" ht="24.0" customHeight="1"/>
    <row r="207" ht="24.0" customHeight="1"/>
    <row r="208" ht="24.0" customHeight="1"/>
    <row r="209" ht="24.0" customHeight="1"/>
    <row r="210" ht="24.0" customHeight="1"/>
    <row r="211" ht="24.0" customHeight="1"/>
    <row r="212" ht="24.0" customHeight="1"/>
    <row r="213" ht="24.0" customHeight="1"/>
    <row r="214" ht="24.0" customHeight="1"/>
    <row r="215" ht="24.0" customHeight="1"/>
    <row r="216" ht="24.0" customHeight="1"/>
    <row r="217" ht="24.0" customHeight="1"/>
    <row r="218" ht="24.0" customHeight="1"/>
    <row r="219" ht="24.0" customHeight="1"/>
    <row r="220" ht="24.0" customHeight="1"/>
    <row r="221" ht="24.0" customHeight="1"/>
    <row r="222" ht="24.0" customHeight="1"/>
    <row r="223" ht="24.0" customHeight="1"/>
    <row r="224" ht="24.0" customHeight="1"/>
    <row r="225" ht="24.0" customHeight="1"/>
    <row r="226" ht="24.0" customHeight="1"/>
    <row r="227" ht="24.0" customHeight="1"/>
    <row r="228" ht="24.0" customHeight="1"/>
    <row r="229" ht="24.0" customHeight="1"/>
    <row r="230" ht="24.0" customHeight="1"/>
    <row r="231" ht="24.0" customHeight="1"/>
    <row r="232" ht="24.0" customHeight="1"/>
    <row r="233" ht="24.0" customHeight="1"/>
    <row r="234" ht="24.0" customHeight="1"/>
    <row r="235" ht="24.0" customHeight="1"/>
    <row r="236" ht="24.0" customHeight="1"/>
    <row r="237" ht="24.0" customHeight="1"/>
    <row r="238" ht="24.0" customHeight="1"/>
    <row r="239" ht="24.0" customHeight="1"/>
    <row r="240" ht="24.0" customHeight="1"/>
    <row r="241" ht="24.0" customHeight="1"/>
    <row r="242" ht="24.0" customHeight="1"/>
    <row r="243" ht="24.0" customHeight="1"/>
    <row r="244" ht="24.0" customHeight="1"/>
    <row r="245" ht="24.0" customHeight="1"/>
    <row r="246" ht="24.0" customHeight="1"/>
    <row r="247" ht="24.0" customHeight="1"/>
    <row r="248" ht="24.0" customHeight="1"/>
    <row r="249" ht="24.0" customHeight="1"/>
    <row r="250" ht="24.0" customHeight="1"/>
    <row r="251" ht="24.0" customHeight="1"/>
    <row r="252" ht="24.0" customHeight="1"/>
    <row r="253" ht="24.0" customHeight="1"/>
    <row r="254" ht="24.0" customHeight="1"/>
    <row r="255" ht="24.0" customHeight="1"/>
    <row r="256" ht="24.0" customHeight="1"/>
    <row r="257" ht="24.0" customHeight="1"/>
    <row r="258" ht="24.0" customHeight="1"/>
    <row r="259" ht="24.0" customHeight="1"/>
    <row r="260" ht="24.0" customHeight="1"/>
    <row r="261" ht="24.0" customHeight="1"/>
    <row r="262" ht="24.0" customHeight="1"/>
    <row r="263" ht="24.0" customHeight="1"/>
    <row r="264" ht="24.0" customHeight="1"/>
    <row r="265" ht="24.0" customHeight="1"/>
    <row r="266" ht="24.0" customHeight="1"/>
    <row r="267" ht="24.0" customHeight="1"/>
    <row r="268" ht="24.0" customHeight="1"/>
    <row r="269" ht="24.0" customHeight="1"/>
    <row r="270" ht="24.0" customHeight="1"/>
    <row r="271" ht="24.0" customHeight="1"/>
    <row r="272" ht="24.0" customHeight="1"/>
    <row r="273" ht="24.0" customHeight="1"/>
    <row r="274" ht="24.0" customHeight="1"/>
    <row r="275" ht="24.0" customHeight="1"/>
    <row r="276" ht="24.0" customHeight="1"/>
    <row r="277" ht="24.0" customHeight="1"/>
    <row r="278" ht="24.0" customHeight="1"/>
    <row r="279" ht="24.0" customHeight="1"/>
    <row r="280" ht="24.0" customHeight="1"/>
    <row r="281" ht="24.0" customHeight="1"/>
    <row r="282" ht="24.0" customHeight="1"/>
    <row r="283" ht="24.0" customHeight="1"/>
    <row r="284" ht="24.0" customHeight="1"/>
    <row r="285" ht="24.0" customHeight="1"/>
    <row r="286" ht="24.0" customHeight="1"/>
    <row r="287" ht="24.0" customHeight="1"/>
    <row r="288" ht="24.0" customHeight="1"/>
    <row r="289" ht="24.0" customHeight="1"/>
    <row r="290" ht="24.0" customHeight="1"/>
    <row r="291" ht="24.0" customHeight="1"/>
    <row r="292" ht="24.0" customHeight="1"/>
    <row r="293" ht="24.0" customHeight="1"/>
    <row r="294" ht="24.0" customHeight="1"/>
    <row r="295" ht="24.0" customHeight="1"/>
    <row r="296" ht="24.0" customHeight="1"/>
    <row r="297" ht="24.0" customHeight="1"/>
    <row r="298" ht="24.0" customHeight="1"/>
    <row r="299" ht="24.0" customHeight="1"/>
    <row r="300" ht="24.0" customHeight="1"/>
    <row r="301" ht="24.0" customHeight="1"/>
    <row r="302" ht="24.0" customHeight="1"/>
    <row r="303" ht="24.0" customHeight="1"/>
    <row r="304" ht="24.0" customHeight="1"/>
    <row r="305" ht="24.0" customHeight="1"/>
    <row r="306" ht="24.0" customHeight="1"/>
    <row r="307" ht="24.0" customHeight="1"/>
    <row r="308" ht="24.0" customHeight="1"/>
    <row r="309" ht="24.0" customHeight="1"/>
    <row r="310" ht="24.0" customHeight="1"/>
    <row r="311" ht="24.0" customHeight="1"/>
    <row r="312" ht="24.0" customHeight="1"/>
    <row r="313" ht="24.0" customHeight="1"/>
    <row r="314" ht="24.0" customHeight="1"/>
    <row r="315" ht="24.0" customHeight="1"/>
    <row r="316" ht="24.0" customHeight="1"/>
    <row r="317" ht="24.0" customHeight="1"/>
    <row r="318" ht="24.0" customHeight="1"/>
    <row r="319" ht="24.0" customHeight="1"/>
    <row r="320" ht="24.0" customHeight="1"/>
    <row r="321" ht="24.0" customHeight="1"/>
    <row r="322" ht="24.0" customHeight="1"/>
    <row r="323" ht="24.0" customHeight="1"/>
    <row r="324" ht="24.0" customHeight="1"/>
    <row r="325" ht="24.0" customHeight="1"/>
    <row r="326" ht="24.0" customHeight="1"/>
    <row r="327" ht="24.0" customHeight="1"/>
    <row r="328" ht="24.0" customHeight="1"/>
    <row r="329" ht="24.0" customHeight="1"/>
    <row r="330" ht="24.0" customHeight="1"/>
    <row r="331" ht="24.0" customHeight="1"/>
    <row r="332" ht="24.0" customHeight="1"/>
    <row r="333" ht="24.0" customHeight="1"/>
    <row r="334" ht="24.0" customHeight="1"/>
    <row r="335" ht="24.0" customHeight="1"/>
    <row r="336" ht="24.0" customHeight="1"/>
    <row r="337" ht="24.0" customHeight="1"/>
    <row r="338" ht="24.0" customHeight="1"/>
    <row r="339" ht="24.0" customHeight="1"/>
    <row r="340" ht="24.0" customHeight="1"/>
    <row r="341" ht="24.0" customHeight="1"/>
    <row r="342" ht="24.0" customHeight="1"/>
    <row r="343" ht="24.0" customHeight="1"/>
    <row r="344" ht="24.0" customHeight="1"/>
    <row r="345" ht="24.0" customHeight="1"/>
    <row r="346" ht="24.0" customHeight="1"/>
    <row r="347" ht="24.0" customHeight="1"/>
    <row r="348" ht="24.0" customHeight="1"/>
    <row r="349" ht="24.0" customHeight="1"/>
    <row r="350" ht="24.0" customHeight="1"/>
    <row r="351" ht="24.0" customHeight="1"/>
    <row r="352" ht="24.0" customHeight="1"/>
    <row r="353" ht="24.0" customHeight="1"/>
    <row r="354" ht="24.0" customHeight="1"/>
    <row r="355" ht="24.0" customHeight="1"/>
    <row r="356" ht="24.0" customHeight="1"/>
    <row r="357" ht="24.0" customHeight="1"/>
    <row r="358" ht="24.0" customHeight="1"/>
    <row r="359" ht="24.0" customHeight="1"/>
    <row r="360" ht="24.0" customHeight="1"/>
    <row r="361" ht="24.0" customHeight="1"/>
    <row r="362" ht="24.0" customHeight="1"/>
    <row r="363" ht="24.0" customHeight="1"/>
    <row r="364" ht="24.0" customHeight="1"/>
    <row r="365" ht="24.0" customHeight="1"/>
    <row r="366" ht="24.0" customHeight="1"/>
    <row r="367" ht="24.0" customHeight="1"/>
    <row r="368" ht="24.0" customHeight="1"/>
    <row r="369" ht="24.0" customHeight="1"/>
    <row r="370" ht="24.0" customHeight="1"/>
    <row r="371" ht="24.0" customHeight="1"/>
    <row r="372" ht="24.0" customHeight="1"/>
    <row r="373" ht="24.0" customHeight="1"/>
    <row r="374" ht="24.0" customHeight="1"/>
    <row r="375" ht="24.0" customHeight="1"/>
    <row r="376" ht="24.0" customHeight="1"/>
    <row r="377" ht="24.0" customHeight="1"/>
    <row r="378" ht="24.0" customHeight="1"/>
    <row r="379" ht="24.0" customHeight="1"/>
    <row r="380" ht="24.0" customHeight="1"/>
    <row r="381" ht="24.0" customHeight="1"/>
    <row r="382" ht="24.0" customHeight="1"/>
    <row r="383" ht="24.0" customHeight="1"/>
    <row r="384" ht="24.0" customHeight="1"/>
    <row r="385" ht="24.0" customHeight="1"/>
    <row r="386" ht="24.0" customHeight="1"/>
    <row r="387" ht="24.0" customHeight="1"/>
    <row r="388" ht="24.0" customHeight="1"/>
    <row r="389" ht="24.0" customHeight="1"/>
    <row r="390" ht="24.0" customHeight="1"/>
    <row r="391" ht="24.0" customHeight="1"/>
    <row r="392" ht="24.0" customHeight="1"/>
    <row r="393" ht="24.0" customHeight="1"/>
    <row r="394" ht="24.0" customHeight="1"/>
    <row r="395" ht="24.0" customHeight="1"/>
    <row r="396" ht="24.0" customHeight="1"/>
    <row r="397" ht="24.0" customHeight="1"/>
    <row r="398" ht="24.0" customHeight="1"/>
    <row r="399" ht="24.0" customHeight="1"/>
    <row r="400" ht="24.0" customHeight="1"/>
    <row r="401" ht="24.0" customHeight="1"/>
    <row r="402" ht="24.0" customHeight="1"/>
    <row r="403" ht="24.0" customHeight="1"/>
    <row r="404" ht="24.0" customHeight="1"/>
    <row r="405" ht="24.0" customHeight="1"/>
    <row r="406" ht="24.0" customHeight="1"/>
    <row r="407" ht="24.0" customHeight="1"/>
    <row r="408" ht="24.0" customHeight="1"/>
    <row r="409" ht="24.0" customHeight="1"/>
    <row r="410" ht="24.0" customHeight="1"/>
    <row r="411" ht="24.0" customHeight="1"/>
    <row r="412" ht="24.0" customHeight="1"/>
    <row r="413" ht="24.0" customHeight="1"/>
    <row r="414" ht="24.0" customHeight="1"/>
    <row r="415" ht="24.0" customHeight="1"/>
    <row r="416" ht="24.0" customHeight="1"/>
    <row r="417" ht="24.0" customHeight="1"/>
    <row r="418" ht="24.0" customHeight="1"/>
    <row r="419" ht="24.0" customHeight="1"/>
    <row r="420" ht="24.0" customHeight="1"/>
    <row r="421" ht="24.0" customHeight="1"/>
    <row r="422" ht="24.0" customHeight="1"/>
    <row r="423" ht="24.0" customHeight="1"/>
    <row r="424" ht="24.0" customHeight="1"/>
    <row r="425" ht="24.0" customHeight="1"/>
    <row r="426" ht="24.0" customHeight="1"/>
    <row r="427" ht="24.0" customHeight="1"/>
    <row r="428" ht="24.0" customHeight="1"/>
    <row r="429" ht="24.0" customHeight="1"/>
    <row r="430" ht="24.0" customHeight="1"/>
    <row r="431" ht="24.0" customHeight="1"/>
    <row r="432" ht="24.0" customHeight="1"/>
    <row r="433" ht="24.0" customHeight="1"/>
    <row r="434" ht="24.0" customHeight="1"/>
    <row r="435" ht="24.0" customHeight="1"/>
    <row r="436" ht="24.0" customHeight="1"/>
    <row r="437" ht="24.0" customHeight="1"/>
    <row r="438" ht="24.0" customHeight="1"/>
    <row r="439" ht="24.0" customHeight="1"/>
    <row r="440" ht="24.0" customHeight="1"/>
    <row r="441" ht="24.0" customHeight="1"/>
    <row r="442" ht="24.0" customHeight="1"/>
    <row r="443" ht="24.0" customHeight="1"/>
    <row r="444" ht="24.0" customHeight="1"/>
    <row r="445" ht="24.0" customHeight="1"/>
    <row r="446" ht="24.0" customHeight="1"/>
    <row r="447" ht="24.0" customHeight="1"/>
    <row r="448" ht="24.0" customHeight="1"/>
    <row r="449" ht="24.0" customHeight="1"/>
    <row r="450" ht="24.0" customHeight="1"/>
    <row r="451" ht="24.0" customHeight="1"/>
    <row r="452" ht="24.0" customHeight="1"/>
    <row r="453" ht="24.0" customHeight="1"/>
    <row r="454" ht="24.0" customHeight="1"/>
    <row r="455" ht="24.0" customHeight="1"/>
    <row r="456" ht="24.0" customHeight="1"/>
    <row r="457" ht="24.0" customHeight="1"/>
    <row r="458" ht="24.0" customHeight="1"/>
    <row r="459" ht="24.0" customHeight="1"/>
    <row r="460" ht="24.0" customHeight="1"/>
    <row r="461" ht="24.0" customHeight="1"/>
    <row r="462" ht="24.0" customHeight="1"/>
    <row r="463" ht="24.0" customHeight="1"/>
    <row r="464" ht="24.0" customHeight="1"/>
    <row r="465" ht="24.0" customHeight="1"/>
    <row r="466" ht="24.0" customHeight="1"/>
    <row r="467" ht="24.0" customHeight="1"/>
    <row r="468" ht="24.0" customHeight="1"/>
    <row r="469" ht="24.0" customHeight="1"/>
    <row r="470" ht="24.0" customHeight="1"/>
    <row r="471" ht="24.0" customHeight="1"/>
    <row r="472" ht="24.0" customHeight="1"/>
    <row r="473" ht="24.0" customHeight="1"/>
    <row r="474" ht="24.0" customHeight="1"/>
    <row r="475" ht="24.0" customHeight="1"/>
    <row r="476" ht="24.0" customHeight="1"/>
    <row r="477" ht="24.0" customHeight="1"/>
    <row r="478" ht="24.0" customHeight="1"/>
    <row r="479" ht="24.0" customHeight="1"/>
    <row r="480" ht="24.0" customHeight="1"/>
    <row r="481" ht="24.0" customHeight="1"/>
    <row r="482" ht="24.0" customHeight="1"/>
    <row r="483" ht="24.0" customHeight="1"/>
    <row r="484" ht="24.0" customHeight="1"/>
    <row r="485" ht="24.0" customHeight="1"/>
    <row r="486" ht="24.0" customHeight="1"/>
    <row r="487" ht="24.0" customHeight="1"/>
    <row r="488" ht="24.0" customHeight="1"/>
    <row r="489" ht="24.0" customHeight="1"/>
    <row r="490" ht="24.0" customHeight="1"/>
    <row r="491" ht="24.0" customHeight="1"/>
    <row r="492" ht="24.0" customHeight="1"/>
    <row r="493" ht="24.0" customHeight="1"/>
    <row r="494" ht="24.0" customHeight="1"/>
    <row r="495" ht="24.0" customHeight="1"/>
    <row r="496" ht="24.0" customHeight="1"/>
    <row r="497" ht="24.0" customHeight="1"/>
    <row r="498" ht="24.0" customHeight="1"/>
    <row r="499" ht="24.0" customHeight="1"/>
    <row r="500" ht="24.0" customHeight="1"/>
    <row r="501" ht="24.0" customHeight="1"/>
    <row r="502" ht="24.0" customHeight="1"/>
    <row r="503" ht="24.0" customHeight="1"/>
    <row r="504" ht="24.0" customHeight="1"/>
    <row r="505" ht="24.0" customHeight="1"/>
    <row r="506" ht="24.0" customHeight="1"/>
    <row r="507" ht="24.0" customHeight="1"/>
    <row r="508" ht="24.0" customHeight="1"/>
    <row r="509" ht="24.0" customHeight="1"/>
    <row r="510" ht="24.0" customHeight="1"/>
    <row r="511" ht="24.0" customHeight="1"/>
    <row r="512" ht="24.0" customHeight="1"/>
    <row r="513" ht="24.0" customHeight="1"/>
    <row r="514" ht="24.0" customHeight="1"/>
    <row r="515" ht="24.0" customHeight="1"/>
    <row r="516" ht="24.0" customHeight="1"/>
    <row r="517" ht="24.0" customHeight="1"/>
    <row r="518" ht="24.0" customHeight="1"/>
    <row r="519" ht="24.0" customHeight="1"/>
    <row r="520" ht="24.0" customHeight="1"/>
    <row r="521" ht="24.0" customHeight="1"/>
    <row r="522" ht="24.0" customHeight="1"/>
    <row r="523" ht="24.0" customHeight="1"/>
    <row r="524" ht="24.0" customHeight="1"/>
    <row r="525" ht="24.0" customHeight="1"/>
    <row r="526" ht="24.0" customHeight="1"/>
    <row r="527" ht="24.0" customHeight="1"/>
    <row r="528" ht="24.0" customHeight="1"/>
    <row r="529" ht="24.0" customHeight="1"/>
    <row r="530" ht="24.0" customHeight="1"/>
    <row r="531" ht="24.0" customHeight="1"/>
    <row r="532" ht="24.0" customHeight="1"/>
    <row r="533" ht="24.0" customHeight="1"/>
    <row r="534" ht="24.0" customHeight="1"/>
    <row r="535" ht="24.0" customHeight="1"/>
    <row r="536" ht="24.0" customHeight="1"/>
    <row r="537" ht="24.0" customHeight="1"/>
    <row r="538" ht="24.0" customHeight="1"/>
    <row r="539" ht="24.0" customHeight="1"/>
    <row r="540" ht="24.0" customHeight="1"/>
    <row r="541" ht="24.0" customHeight="1"/>
    <row r="542" ht="24.0" customHeight="1"/>
    <row r="543" ht="24.0" customHeight="1"/>
    <row r="544" ht="24.0" customHeight="1"/>
    <row r="545" ht="24.0" customHeight="1"/>
    <row r="546" ht="24.0" customHeight="1"/>
    <row r="547" ht="24.0" customHeight="1"/>
    <row r="548" ht="24.0" customHeight="1"/>
    <row r="549" ht="24.0" customHeight="1"/>
    <row r="550" ht="24.0" customHeight="1"/>
    <row r="551" ht="24.0" customHeight="1"/>
    <row r="552" ht="24.0" customHeight="1"/>
    <row r="553" ht="24.0" customHeight="1"/>
    <row r="554" ht="24.0" customHeight="1"/>
    <row r="555" ht="24.0" customHeight="1"/>
    <row r="556" ht="24.0" customHeight="1"/>
    <row r="557" ht="24.0" customHeight="1"/>
    <row r="558" ht="24.0" customHeight="1"/>
    <row r="559" ht="24.0" customHeight="1"/>
    <row r="560" ht="24.0" customHeight="1"/>
    <row r="561" ht="24.0" customHeight="1"/>
    <row r="562" ht="24.0" customHeight="1"/>
    <row r="563" ht="24.0" customHeight="1"/>
    <row r="564" ht="24.0" customHeight="1"/>
    <row r="565" ht="24.0" customHeight="1"/>
    <row r="566" ht="24.0" customHeight="1"/>
    <row r="567" ht="24.0" customHeight="1"/>
    <row r="568" ht="24.0" customHeight="1"/>
    <row r="569" ht="24.0" customHeight="1"/>
    <row r="570" ht="24.0" customHeight="1"/>
    <row r="571" ht="24.0" customHeight="1"/>
    <row r="572" ht="24.0" customHeight="1"/>
    <row r="573" ht="24.0" customHeight="1"/>
    <row r="574" ht="24.0" customHeight="1"/>
    <row r="575" ht="24.0" customHeight="1"/>
    <row r="576" ht="24.0" customHeight="1"/>
    <row r="577" ht="24.0" customHeight="1"/>
    <row r="578" ht="24.0" customHeight="1"/>
    <row r="579" ht="24.0" customHeight="1"/>
    <row r="580" ht="24.0" customHeight="1"/>
    <row r="581" ht="24.0" customHeight="1"/>
    <row r="582" ht="24.0" customHeight="1"/>
    <row r="583" ht="24.0" customHeight="1"/>
    <row r="584" ht="24.0" customHeight="1"/>
    <row r="585" ht="24.0" customHeight="1"/>
    <row r="586" ht="24.0" customHeight="1"/>
    <row r="587" ht="24.0" customHeight="1"/>
    <row r="588" ht="24.0" customHeight="1"/>
    <row r="589" ht="24.0" customHeight="1"/>
    <row r="590" ht="24.0" customHeight="1"/>
    <row r="591" ht="24.0" customHeight="1"/>
    <row r="592" ht="24.0" customHeight="1"/>
    <row r="593" ht="24.0" customHeight="1"/>
    <row r="594" ht="24.0" customHeight="1"/>
    <row r="595" ht="24.0" customHeight="1"/>
    <row r="596" ht="24.0" customHeight="1"/>
    <row r="597" ht="24.0" customHeight="1"/>
    <row r="598" ht="24.0" customHeight="1"/>
    <row r="599" ht="24.0" customHeight="1"/>
    <row r="600" ht="24.0" customHeight="1"/>
    <row r="601" ht="24.0" customHeight="1"/>
    <row r="602" ht="24.0" customHeight="1"/>
    <row r="603" ht="24.0" customHeight="1"/>
    <row r="604" ht="24.0" customHeight="1"/>
    <row r="605" ht="24.0" customHeight="1"/>
    <row r="606" ht="24.0" customHeight="1"/>
    <row r="607" ht="24.0" customHeight="1"/>
    <row r="608" ht="24.0" customHeight="1"/>
    <row r="609" ht="24.0" customHeight="1"/>
    <row r="610" ht="24.0" customHeight="1"/>
    <row r="611" ht="24.0" customHeight="1"/>
    <row r="612" ht="24.0" customHeight="1"/>
    <row r="613" ht="24.0" customHeight="1"/>
    <row r="614" ht="24.0" customHeight="1"/>
    <row r="615" ht="24.0" customHeight="1"/>
    <row r="616" ht="24.0" customHeight="1"/>
    <row r="617" ht="24.0" customHeight="1"/>
    <row r="618" ht="24.0" customHeight="1"/>
    <row r="619" ht="24.0" customHeight="1"/>
    <row r="620" ht="24.0" customHeight="1"/>
    <row r="621" ht="24.0" customHeight="1"/>
    <row r="622" ht="24.0" customHeight="1"/>
    <row r="623" ht="24.0" customHeight="1"/>
    <row r="624" ht="24.0" customHeight="1"/>
    <row r="625" ht="24.0" customHeight="1"/>
    <row r="626" ht="24.0" customHeight="1"/>
    <row r="627" ht="24.0" customHeight="1"/>
    <row r="628" ht="24.0" customHeight="1"/>
    <row r="629" ht="24.0" customHeight="1"/>
    <row r="630" ht="24.0" customHeight="1"/>
    <row r="631" ht="24.0" customHeight="1"/>
    <row r="632" ht="24.0" customHeight="1"/>
    <row r="633" ht="24.0" customHeight="1"/>
    <row r="634" ht="24.0" customHeight="1"/>
    <row r="635" ht="24.0" customHeight="1"/>
    <row r="636" ht="24.0" customHeight="1"/>
    <row r="637" ht="24.0" customHeight="1"/>
    <row r="638" ht="24.0" customHeight="1"/>
    <row r="639" ht="24.0" customHeight="1"/>
    <row r="640" ht="24.0" customHeight="1"/>
    <row r="641" ht="24.0" customHeight="1"/>
    <row r="642" ht="24.0" customHeight="1"/>
    <row r="643" ht="24.0" customHeight="1"/>
    <row r="644" ht="24.0" customHeight="1"/>
    <row r="645" ht="24.0" customHeight="1"/>
    <row r="646" ht="24.0" customHeight="1"/>
    <row r="647" ht="24.0" customHeight="1"/>
    <row r="648" ht="24.0" customHeight="1"/>
    <row r="649" ht="24.0" customHeight="1"/>
    <row r="650" ht="24.0" customHeight="1"/>
    <row r="651" ht="24.0" customHeight="1"/>
    <row r="652" ht="24.0" customHeight="1"/>
    <row r="653" ht="24.0" customHeight="1"/>
    <row r="654" ht="24.0" customHeight="1"/>
    <row r="655" ht="24.0" customHeight="1"/>
    <row r="656" ht="24.0" customHeight="1"/>
    <row r="657" ht="24.0" customHeight="1"/>
    <row r="658" ht="24.0" customHeight="1"/>
    <row r="659" ht="24.0" customHeight="1"/>
    <row r="660" ht="24.0" customHeight="1"/>
    <row r="661" ht="24.0" customHeight="1"/>
    <row r="662" ht="24.0" customHeight="1"/>
    <row r="663" ht="24.0" customHeight="1"/>
    <row r="664" ht="24.0" customHeight="1"/>
    <row r="665" ht="24.0" customHeight="1"/>
    <row r="666" ht="24.0" customHeight="1"/>
    <row r="667" ht="24.0" customHeight="1"/>
    <row r="668" ht="24.0" customHeight="1"/>
    <row r="669" ht="24.0" customHeight="1"/>
    <row r="670" ht="24.0" customHeight="1"/>
    <row r="671" ht="24.0" customHeight="1"/>
    <row r="672" ht="24.0" customHeight="1"/>
    <row r="673" ht="24.0" customHeight="1"/>
    <row r="674" ht="24.0" customHeight="1"/>
    <row r="675" ht="24.0" customHeight="1"/>
    <row r="676" ht="24.0" customHeight="1"/>
    <row r="677" ht="24.0" customHeight="1"/>
    <row r="678" ht="24.0" customHeight="1"/>
    <row r="679" ht="24.0" customHeight="1"/>
    <row r="680" ht="24.0" customHeight="1"/>
    <row r="681" ht="24.0" customHeight="1"/>
    <row r="682" ht="24.0" customHeight="1"/>
    <row r="683" ht="24.0" customHeight="1"/>
    <row r="684" ht="24.0" customHeight="1"/>
    <row r="685" ht="24.0" customHeight="1"/>
    <row r="686" ht="24.0" customHeight="1"/>
    <row r="687" ht="24.0" customHeight="1"/>
    <row r="688" ht="24.0" customHeight="1"/>
    <row r="689" ht="24.0" customHeight="1"/>
    <row r="690" ht="24.0" customHeight="1"/>
    <row r="691" ht="24.0" customHeight="1"/>
    <row r="692" ht="24.0" customHeight="1"/>
    <row r="693" ht="24.0" customHeight="1"/>
    <row r="694" ht="24.0" customHeight="1"/>
    <row r="695" ht="24.0" customHeight="1"/>
    <row r="696" ht="24.0" customHeight="1"/>
    <row r="697" ht="24.0" customHeight="1"/>
    <row r="698" ht="24.0" customHeight="1"/>
    <row r="699" ht="24.0" customHeight="1"/>
    <row r="700" ht="24.0" customHeight="1"/>
    <row r="701" ht="24.0" customHeight="1"/>
    <row r="702" ht="24.0" customHeight="1"/>
    <row r="703" ht="24.0" customHeight="1"/>
    <row r="704" ht="24.0" customHeight="1"/>
    <row r="705" ht="24.0" customHeight="1"/>
    <row r="706" ht="24.0" customHeight="1"/>
    <row r="707" ht="24.0" customHeight="1"/>
    <row r="708" ht="24.0" customHeight="1"/>
    <row r="709" ht="24.0" customHeight="1"/>
    <row r="710" ht="24.0" customHeight="1"/>
    <row r="711" ht="24.0" customHeight="1"/>
    <row r="712" ht="24.0" customHeight="1"/>
    <row r="713" ht="24.0" customHeight="1"/>
    <row r="714" ht="24.0" customHeight="1"/>
    <row r="715" ht="24.0" customHeight="1"/>
    <row r="716" ht="24.0" customHeight="1"/>
    <row r="717" ht="24.0" customHeight="1"/>
    <row r="718" ht="24.0" customHeight="1"/>
    <row r="719" ht="24.0" customHeight="1"/>
    <row r="720" ht="24.0" customHeight="1"/>
    <row r="721" ht="24.0" customHeight="1"/>
    <row r="722" ht="24.0" customHeight="1"/>
    <row r="723" ht="24.0" customHeight="1"/>
    <row r="724" ht="24.0" customHeight="1"/>
    <row r="725" ht="24.0" customHeight="1"/>
    <row r="726" ht="24.0" customHeight="1"/>
    <row r="727" ht="24.0" customHeight="1"/>
    <row r="728" ht="24.0" customHeight="1"/>
    <row r="729" ht="24.0" customHeight="1"/>
    <row r="730" ht="24.0" customHeight="1"/>
    <row r="731" ht="24.0" customHeight="1"/>
    <row r="732" ht="24.0" customHeight="1"/>
    <row r="733" ht="24.0" customHeight="1"/>
    <row r="734" ht="24.0" customHeight="1"/>
    <row r="735" ht="24.0" customHeight="1"/>
    <row r="736" ht="24.0" customHeight="1"/>
    <row r="737" ht="24.0" customHeight="1"/>
    <row r="738" ht="24.0" customHeight="1"/>
    <row r="739" ht="24.0" customHeight="1"/>
    <row r="740" ht="24.0" customHeight="1"/>
    <row r="741" ht="24.0" customHeight="1"/>
    <row r="742" ht="24.0" customHeight="1"/>
    <row r="743" ht="24.0" customHeight="1"/>
    <row r="744" ht="24.0" customHeight="1"/>
    <row r="745" ht="24.0" customHeight="1"/>
    <row r="746" ht="24.0" customHeight="1"/>
    <row r="747" ht="24.0" customHeight="1"/>
    <row r="748" ht="24.0" customHeight="1"/>
    <row r="749" ht="24.0" customHeight="1"/>
    <row r="750" ht="24.0" customHeight="1"/>
    <row r="751" ht="24.0" customHeight="1"/>
    <row r="752" ht="24.0" customHeight="1"/>
    <row r="753" ht="24.0" customHeight="1"/>
    <row r="754" ht="24.0" customHeight="1"/>
    <row r="755" ht="24.0" customHeight="1"/>
    <row r="756" ht="24.0" customHeight="1"/>
    <row r="757" ht="24.0" customHeight="1"/>
    <row r="758" ht="24.0" customHeight="1"/>
    <row r="759" ht="24.0" customHeight="1"/>
    <row r="760" ht="24.0" customHeight="1"/>
    <row r="761" ht="24.0" customHeight="1"/>
    <row r="762" ht="24.0" customHeight="1"/>
    <row r="763" ht="24.0" customHeight="1"/>
    <row r="764" ht="24.0" customHeight="1"/>
    <row r="765" ht="24.0" customHeight="1"/>
    <row r="766" ht="24.0" customHeight="1"/>
    <row r="767" ht="24.0" customHeight="1"/>
    <row r="768" ht="24.0" customHeight="1"/>
    <row r="769" ht="24.0" customHeight="1"/>
    <row r="770" ht="24.0" customHeight="1"/>
    <row r="771" ht="24.0" customHeight="1"/>
    <row r="772" ht="24.0" customHeight="1"/>
    <row r="773" ht="24.0" customHeight="1"/>
    <row r="774" ht="24.0" customHeight="1"/>
    <row r="775" ht="24.0" customHeight="1"/>
    <row r="776" ht="24.0" customHeight="1"/>
    <row r="777" ht="24.0" customHeight="1"/>
    <row r="778" ht="24.0" customHeight="1"/>
    <row r="779" ht="24.0" customHeight="1"/>
    <row r="780" ht="24.0" customHeight="1"/>
    <row r="781" ht="24.0" customHeight="1"/>
    <row r="782" ht="24.0" customHeight="1"/>
    <row r="783" ht="24.0" customHeight="1"/>
    <row r="784" ht="24.0" customHeight="1"/>
    <row r="785" ht="24.0" customHeight="1"/>
    <row r="786" ht="24.0" customHeight="1"/>
    <row r="787" ht="24.0" customHeight="1"/>
    <row r="788" ht="24.0" customHeight="1"/>
    <row r="789" ht="24.0" customHeight="1"/>
    <row r="790" ht="24.0" customHeight="1"/>
    <row r="791" ht="24.0" customHeight="1"/>
    <row r="792" ht="24.0" customHeight="1"/>
    <row r="793" ht="24.0" customHeight="1"/>
    <row r="794" ht="24.0" customHeight="1"/>
    <row r="795" ht="24.0" customHeight="1"/>
    <row r="796" ht="24.0" customHeight="1"/>
    <row r="797" ht="24.0" customHeight="1"/>
    <row r="798" ht="24.0" customHeight="1"/>
    <row r="799" ht="24.0" customHeight="1"/>
    <row r="800" ht="24.0" customHeight="1"/>
    <row r="801" ht="24.0" customHeight="1"/>
    <row r="802" ht="24.0" customHeight="1"/>
    <row r="803" ht="24.0" customHeight="1"/>
    <row r="804" ht="24.0" customHeight="1"/>
    <row r="805" ht="24.0" customHeight="1"/>
    <row r="806" ht="24.0" customHeight="1"/>
    <row r="807" ht="24.0" customHeight="1"/>
    <row r="808" ht="24.0" customHeight="1"/>
    <row r="809" ht="24.0" customHeight="1"/>
    <row r="810" ht="24.0" customHeight="1"/>
    <row r="811" ht="24.0" customHeight="1"/>
    <row r="812" ht="24.0" customHeight="1"/>
    <row r="813" ht="24.0" customHeight="1"/>
    <row r="814" ht="24.0" customHeight="1"/>
    <row r="815" ht="24.0" customHeight="1"/>
    <row r="816" ht="24.0" customHeight="1"/>
    <row r="817" ht="24.0" customHeight="1"/>
    <row r="818" ht="24.0" customHeight="1"/>
    <row r="819" ht="24.0" customHeight="1"/>
    <row r="820" ht="24.0" customHeight="1"/>
    <row r="821" ht="24.0" customHeight="1"/>
    <row r="822" ht="24.0" customHeight="1"/>
    <row r="823" ht="24.0" customHeight="1"/>
    <row r="824" ht="24.0" customHeight="1"/>
    <row r="825" ht="24.0" customHeight="1"/>
    <row r="826" ht="24.0" customHeight="1"/>
    <row r="827" ht="24.0" customHeight="1"/>
    <row r="828" ht="24.0" customHeight="1"/>
    <row r="829" ht="24.0" customHeight="1"/>
    <row r="830" ht="24.0" customHeight="1"/>
    <row r="831" ht="24.0" customHeight="1"/>
    <row r="832" ht="24.0" customHeight="1"/>
    <row r="833" ht="24.0" customHeight="1"/>
    <row r="834" ht="24.0" customHeight="1"/>
    <row r="835" ht="24.0" customHeight="1"/>
    <row r="836" ht="24.0" customHeight="1"/>
    <row r="837" ht="24.0" customHeight="1"/>
    <row r="838" ht="24.0" customHeight="1"/>
    <row r="839" ht="24.0" customHeight="1"/>
    <row r="840" ht="24.0" customHeight="1"/>
    <row r="841" ht="24.0" customHeight="1"/>
    <row r="842" ht="24.0" customHeight="1"/>
    <row r="843" ht="24.0" customHeight="1"/>
    <row r="844" ht="24.0" customHeight="1"/>
    <row r="845" ht="24.0" customHeight="1"/>
    <row r="846" ht="24.0" customHeight="1"/>
    <row r="847" ht="24.0" customHeight="1"/>
    <row r="848" ht="24.0" customHeight="1"/>
    <row r="849" ht="24.0" customHeight="1"/>
    <row r="850" ht="24.0" customHeight="1"/>
    <row r="851" ht="24.0" customHeight="1"/>
    <row r="852" ht="24.0" customHeight="1"/>
    <row r="853" ht="24.0" customHeight="1"/>
    <row r="854" ht="24.0" customHeight="1"/>
    <row r="855" ht="24.0" customHeight="1"/>
    <row r="856" ht="24.0" customHeight="1"/>
    <row r="857" ht="24.0" customHeight="1"/>
    <row r="858" ht="24.0" customHeight="1"/>
    <row r="859" ht="24.0" customHeight="1"/>
    <row r="860" ht="24.0" customHeight="1"/>
    <row r="861" ht="24.0" customHeight="1"/>
    <row r="862" ht="24.0" customHeight="1"/>
    <row r="863" ht="24.0" customHeight="1"/>
    <row r="864" ht="24.0" customHeight="1"/>
    <row r="865" ht="24.0" customHeight="1"/>
    <row r="866" ht="24.0" customHeight="1"/>
    <row r="867" ht="24.0" customHeight="1"/>
    <row r="868" ht="24.0" customHeight="1"/>
    <row r="869" ht="24.0" customHeight="1"/>
    <row r="870" ht="24.0" customHeight="1"/>
    <row r="871" ht="24.0" customHeight="1"/>
    <row r="872" ht="24.0" customHeight="1"/>
    <row r="873" ht="24.0" customHeight="1"/>
    <row r="874" ht="24.0" customHeight="1"/>
    <row r="875" ht="24.0" customHeight="1"/>
    <row r="876" ht="24.0" customHeight="1"/>
    <row r="877" ht="24.0" customHeight="1"/>
    <row r="878" ht="24.0" customHeight="1"/>
    <row r="879" ht="24.0" customHeight="1"/>
    <row r="880" ht="24.0" customHeight="1"/>
    <row r="881" ht="24.0" customHeight="1"/>
    <row r="882" ht="24.0" customHeight="1"/>
    <row r="883" ht="24.0" customHeight="1"/>
    <row r="884" ht="24.0" customHeight="1"/>
    <row r="885" ht="24.0" customHeight="1"/>
    <row r="886" ht="24.0" customHeight="1"/>
    <row r="887" ht="24.0" customHeight="1"/>
    <row r="888" ht="24.0" customHeight="1"/>
    <row r="889" ht="24.0" customHeight="1"/>
    <row r="890" ht="24.0" customHeight="1"/>
    <row r="891" ht="24.0" customHeight="1"/>
    <row r="892" ht="24.0" customHeight="1"/>
    <row r="893" ht="24.0" customHeight="1"/>
    <row r="894" ht="24.0" customHeight="1"/>
    <row r="895" ht="24.0" customHeight="1"/>
    <row r="896" ht="24.0" customHeight="1"/>
    <row r="897" ht="24.0" customHeight="1"/>
    <row r="898" ht="24.0" customHeight="1"/>
    <row r="899" ht="24.0" customHeight="1"/>
    <row r="900" ht="24.0" customHeight="1"/>
    <row r="901" ht="24.0" customHeight="1"/>
    <row r="902" ht="24.0" customHeight="1"/>
    <row r="903" ht="24.0" customHeight="1"/>
    <row r="904" ht="24.0" customHeight="1"/>
    <row r="905" ht="24.0" customHeight="1"/>
    <row r="906" ht="24.0" customHeight="1"/>
    <row r="907" ht="24.0" customHeight="1"/>
    <row r="908" ht="24.0" customHeight="1"/>
    <row r="909" ht="24.0" customHeight="1"/>
    <row r="910" ht="24.0" customHeight="1"/>
    <row r="911" ht="24.0" customHeight="1"/>
    <row r="912" ht="24.0" customHeight="1"/>
    <row r="913" ht="24.0" customHeight="1"/>
    <row r="914" ht="24.0" customHeight="1"/>
    <row r="915" ht="24.0" customHeight="1"/>
    <row r="916" ht="24.0" customHeight="1"/>
    <row r="917" ht="24.0" customHeight="1"/>
    <row r="918" ht="24.0" customHeight="1"/>
    <row r="919" ht="24.0" customHeight="1"/>
    <row r="920" ht="24.0" customHeight="1"/>
    <row r="921" ht="24.0" customHeight="1"/>
    <row r="922" ht="24.0" customHeight="1"/>
    <row r="923" ht="24.0" customHeight="1"/>
    <row r="924" ht="24.0" customHeight="1"/>
    <row r="925" ht="24.0" customHeight="1"/>
    <row r="926" ht="24.0" customHeight="1"/>
    <row r="927" ht="24.0" customHeight="1"/>
    <row r="928" ht="24.0" customHeight="1"/>
    <row r="929" ht="24.0" customHeight="1"/>
    <row r="930" ht="24.0" customHeight="1"/>
    <row r="931" ht="24.0" customHeight="1"/>
    <row r="932" ht="24.0" customHeight="1"/>
    <row r="933" ht="24.0" customHeight="1"/>
    <row r="934" ht="24.0" customHeight="1"/>
    <row r="935" ht="24.0" customHeight="1"/>
    <row r="936" ht="24.0" customHeight="1"/>
    <row r="937" ht="24.0" customHeight="1"/>
    <row r="938" ht="24.0" customHeight="1"/>
    <row r="939" ht="24.0" customHeight="1"/>
    <row r="940" ht="24.0" customHeight="1"/>
    <row r="941" ht="24.0" customHeight="1"/>
    <row r="942" ht="24.0" customHeight="1"/>
    <row r="943" ht="24.0" customHeight="1"/>
    <row r="944" ht="24.0" customHeight="1"/>
    <row r="945" ht="24.0" customHeight="1"/>
    <row r="946" ht="24.0" customHeight="1"/>
    <row r="947" ht="24.0" customHeight="1"/>
    <row r="948" ht="24.0" customHeight="1"/>
    <row r="949" ht="24.0" customHeight="1"/>
    <row r="950" ht="24.0" customHeight="1"/>
    <row r="951" ht="24.0" customHeight="1"/>
    <row r="952" ht="24.0" customHeight="1"/>
    <row r="953" ht="24.0" customHeight="1"/>
    <row r="954" ht="24.0" customHeight="1"/>
    <row r="955" ht="24.0" customHeight="1"/>
    <row r="956" ht="24.0" customHeight="1"/>
    <row r="957" ht="24.0" customHeight="1"/>
    <row r="958" ht="24.0" customHeight="1"/>
    <row r="959" ht="24.0" customHeight="1"/>
    <row r="960" ht="24.0" customHeight="1"/>
    <row r="961" ht="24.0" customHeight="1"/>
    <row r="962" ht="24.0" customHeight="1"/>
    <row r="963" ht="24.0" customHeight="1"/>
    <row r="964" ht="24.0" customHeight="1"/>
    <row r="965" ht="24.0" customHeight="1"/>
    <row r="966" ht="24.0" customHeight="1"/>
    <row r="967" ht="24.0" customHeight="1"/>
    <row r="968" ht="24.0" customHeight="1"/>
    <row r="969" ht="24.0" customHeight="1"/>
    <row r="970" ht="24.0" customHeight="1"/>
    <row r="971" ht="24.0" customHeight="1"/>
    <row r="972" ht="24.0" customHeight="1"/>
    <row r="973" ht="24.0" customHeight="1"/>
    <row r="974" ht="24.0" customHeight="1"/>
    <row r="975" ht="24.0" customHeight="1"/>
    <row r="976" ht="24.0" customHeight="1"/>
    <row r="977" ht="24.0" customHeight="1"/>
    <row r="978" ht="24.0" customHeight="1"/>
    <row r="979" ht="24.0" customHeight="1"/>
    <row r="980" ht="24.0" customHeight="1"/>
    <row r="981" ht="24.0" customHeight="1"/>
    <row r="982" ht="24.0" customHeight="1"/>
    <row r="983" ht="24.0" customHeight="1"/>
    <row r="984" ht="24.0" customHeight="1"/>
    <row r="985" ht="24.0" customHeight="1"/>
    <row r="986" ht="24.0" customHeight="1"/>
    <row r="987" ht="24.0" customHeight="1"/>
    <row r="988" ht="24.0" customHeight="1"/>
    <row r="989" ht="24.0" customHeight="1"/>
    <row r="990" ht="24.0" customHeight="1"/>
    <row r="991" ht="24.0" customHeight="1"/>
    <row r="992" ht="24.0" customHeight="1"/>
    <row r="993" ht="24.0" customHeight="1"/>
    <row r="994" ht="24.0" customHeight="1"/>
    <row r="995" ht="24.0" customHeight="1"/>
    <row r="996" ht="24.0" customHeight="1"/>
    <row r="997" ht="24.0" customHeight="1"/>
    <row r="998" ht="24.0" customHeight="1"/>
    <row r="999" ht="24.0" customHeight="1"/>
    <row r="1000" ht="24.0" customHeight="1"/>
  </sheetData>
  <mergeCells count="2">
    <mergeCell ref="B1:F1"/>
    <mergeCell ref="B15:E15"/>
  </mergeCells>
  <conditionalFormatting sqref="E4">
    <cfRule type="expression" dxfId="0" priority="1">
      <formula>AND(ISNUMBER(E4),ROUND(E4,2)=INT(ROUND(E4,2)))</formula>
    </cfRule>
  </conditionalFormatting>
  <conditionalFormatting sqref="E4">
    <cfRule type="expression" dxfId="1" priority="2">
      <formula>AND(ISNUMBER(E4),ROUND(E4,2)&lt;&gt;INT(ROUND(E4,2)))</formula>
    </cfRule>
  </conditionalFormatting>
  <conditionalFormatting sqref="F4">
    <cfRule type="expression" dxfId="0" priority="3">
      <formula>AND(ISNUMBER(F4),ROUND(F4,2)=INT(ROUND(F4,2)))</formula>
    </cfRule>
  </conditionalFormatting>
  <conditionalFormatting sqref="F4">
    <cfRule type="expression" dxfId="1" priority="4">
      <formula>AND(ISNUMBER(F4),ROUND(F4,2)&lt;&gt;INT(ROUND(F4,2)))</formula>
    </cfRule>
  </conditionalFormatting>
  <conditionalFormatting sqref="E5">
    <cfRule type="expression" dxfId="0" priority="5">
      <formula>AND(ISNUMBER(E5),ROUND(E5,2)=INT(ROUND(E5,2)))</formula>
    </cfRule>
  </conditionalFormatting>
  <conditionalFormatting sqref="E5">
    <cfRule type="expression" dxfId="1" priority="6">
      <formula>AND(ISNUMBER(E5),ROUND(E5,2)&lt;&gt;INT(ROUND(E5,2)))</formula>
    </cfRule>
  </conditionalFormatting>
  <conditionalFormatting sqref="F5">
    <cfRule type="expression" dxfId="0" priority="7">
      <formula>AND(ISNUMBER(F5),ROUND(F5,2)=INT(ROUND(F5,2)))</formula>
    </cfRule>
  </conditionalFormatting>
  <conditionalFormatting sqref="F5">
    <cfRule type="expression" dxfId="1" priority="8">
      <formula>AND(ISNUMBER(F5),ROUND(F5,2)&lt;&gt;INT(ROUND(F5,2)))</formula>
    </cfRule>
  </conditionalFormatting>
  <conditionalFormatting sqref="E6">
    <cfRule type="expression" dxfId="0" priority="9">
      <formula>AND(ISNUMBER(E6),ROUND(E6,2)=INT(ROUND(E6,2)))</formula>
    </cfRule>
  </conditionalFormatting>
  <conditionalFormatting sqref="E6">
    <cfRule type="expression" dxfId="1" priority="10">
      <formula>AND(ISNUMBER(E6),ROUND(E6,2)&lt;&gt;INT(ROUND(E6,2)))</formula>
    </cfRule>
  </conditionalFormatting>
  <conditionalFormatting sqref="F6">
    <cfRule type="expression" dxfId="0" priority="11">
      <formula>AND(ISNUMBER(F6),ROUND(F6,2)=INT(ROUND(F6,2)))</formula>
    </cfRule>
  </conditionalFormatting>
  <conditionalFormatting sqref="F6">
    <cfRule type="expression" dxfId="1" priority="12">
      <formula>AND(ISNUMBER(F6),ROUND(F6,2)&lt;&gt;INT(ROUND(F6,2)))</formula>
    </cfRule>
  </conditionalFormatting>
  <conditionalFormatting sqref="E7">
    <cfRule type="expression" dxfId="0" priority="13">
      <formula>AND(ISNUMBER(E7),ROUND(E7,2)=INT(ROUND(E7,2)))</formula>
    </cfRule>
  </conditionalFormatting>
  <conditionalFormatting sqref="E7">
    <cfRule type="expression" dxfId="1" priority="14">
      <formula>AND(ISNUMBER(E7),ROUND(E7,2)&lt;&gt;INT(ROUND(E7,2)))</formula>
    </cfRule>
  </conditionalFormatting>
  <conditionalFormatting sqref="F7">
    <cfRule type="expression" dxfId="0" priority="15">
      <formula>AND(ISNUMBER(F7),ROUND(F7,2)=INT(ROUND(F7,2)))</formula>
    </cfRule>
  </conditionalFormatting>
  <conditionalFormatting sqref="F7">
    <cfRule type="expression" dxfId="1" priority="16">
      <formula>AND(ISNUMBER(F7),ROUND(F7,2)&lt;&gt;INT(ROUND(F7,2)))</formula>
    </cfRule>
  </conditionalFormatting>
  <conditionalFormatting sqref="E8">
    <cfRule type="expression" dxfId="0" priority="17">
      <formula>AND(ISNUMBER(E8),ROUND(E8,2)=INT(ROUND(E8,2)))</formula>
    </cfRule>
  </conditionalFormatting>
  <conditionalFormatting sqref="E8">
    <cfRule type="expression" dxfId="1" priority="18">
      <formula>AND(ISNUMBER(E8),ROUND(E8,2)&lt;&gt;INT(ROUND(E8,2)))</formula>
    </cfRule>
  </conditionalFormatting>
  <conditionalFormatting sqref="F8">
    <cfRule type="expression" dxfId="0" priority="19">
      <formula>AND(ISNUMBER(F8),ROUND(F8,2)=INT(ROUND(F8,2)))</formula>
    </cfRule>
  </conditionalFormatting>
  <conditionalFormatting sqref="F8">
    <cfRule type="expression" dxfId="1" priority="20">
      <formula>AND(ISNUMBER(F8),ROUND(F8,2)&lt;&gt;INT(ROUND(F8,2)))</formula>
    </cfRule>
  </conditionalFormatting>
  <conditionalFormatting sqref="E9">
    <cfRule type="expression" dxfId="0" priority="21">
      <formula>AND(ISNUMBER(E9),ROUND(E9,2)=INT(ROUND(E9,2)))</formula>
    </cfRule>
  </conditionalFormatting>
  <conditionalFormatting sqref="E9">
    <cfRule type="expression" dxfId="1" priority="22">
      <formula>AND(ISNUMBER(E9),ROUND(E9,2)&lt;&gt;INT(ROUND(E9,2)))</formula>
    </cfRule>
  </conditionalFormatting>
  <conditionalFormatting sqref="F9">
    <cfRule type="expression" dxfId="0" priority="23">
      <formula>AND(ISNUMBER(F9),ROUND(F9,2)=INT(ROUND(F9,2)))</formula>
    </cfRule>
  </conditionalFormatting>
  <conditionalFormatting sqref="F9">
    <cfRule type="expression" dxfId="1" priority="24">
      <formula>AND(ISNUMBER(F9),ROUND(F9,2)&lt;&gt;INT(ROUND(F9,2)))</formula>
    </cfRule>
  </conditionalFormatting>
  <conditionalFormatting sqref="E10">
    <cfRule type="expression" dxfId="0" priority="25">
      <formula>AND(ISNUMBER(E10),ROUND(E10,2)=INT(ROUND(E10,2)))</formula>
    </cfRule>
  </conditionalFormatting>
  <conditionalFormatting sqref="E10">
    <cfRule type="expression" dxfId="1" priority="26">
      <formula>AND(ISNUMBER(E10),ROUND(E10,2)&lt;&gt;INT(ROUND(E10,2)))</formula>
    </cfRule>
  </conditionalFormatting>
  <conditionalFormatting sqref="F10">
    <cfRule type="expression" dxfId="0" priority="27">
      <formula>AND(ISNUMBER(F10),ROUND(F10,2)=INT(ROUND(F10,2)))</formula>
    </cfRule>
  </conditionalFormatting>
  <conditionalFormatting sqref="F10">
    <cfRule type="expression" dxfId="1" priority="28">
      <formula>AND(ISNUMBER(F10),ROUND(F10,2)&lt;&gt;INT(ROUND(F10,2)))</formula>
    </cfRule>
  </conditionalFormatting>
  <conditionalFormatting sqref="E11">
    <cfRule type="expression" dxfId="0" priority="29">
      <formula>AND(ISNUMBER(E11),ROUND(E11,2)=INT(ROUND(E11,2)))</formula>
    </cfRule>
  </conditionalFormatting>
  <conditionalFormatting sqref="E11">
    <cfRule type="expression" dxfId="1" priority="30">
      <formula>AND(ISNUMBER(E11),ROUND(E11,2)&lt;&gt;INT(ROUND(E11,2)))</formula>
    </cfRule>
  </conditionalFormatting>
  <conditionalFormatting sqref="F11">
    <cfRule type="expression" dxfId="0" priority="31">
      <formula>AND(ISNUMBER(F11),ROUND(F11,2)=INT(ROUND(F11,2)))</formula>
    </cfRule>
  </conditionalFormatting>
  <conditionalFormatting sqref="F11">
    <cfRule type="expression" dxfId="1" priority="32">
      <formula>AND(ISNUMBER(F11),ROUND(F11,2)&lt;&gt;INT(ROUND(F11,2)))</formula>
    </cfRule>
  </conditionalFormatting>
  <conditionalFormatting sqref="E12">
    <cfRule type="expression" dxfId="0" priority="33">
      <formula>AND(ISNUMBER(E12),ROUND(E12,2)=INT(ROUND(E12,2)))</formula>
    </cfRule>
  </conditionalFormatting>
  <conditionalFormatting sqref="E12">
    <cfRule type="expression" dxfId="1" priority="34">
      <formula>AND(ISNUMBER(E12),ROUND(E12,2)&lt;&gt;INT(ROUND(E12,2)))</formula>
    </cfRule>
  </conditionalFormatting>
  <conditionalFormatting sqref="F12">
    <cfRule type="expression" dxfId="0" priority="35">
      <formula>AND(ISNUMBER(F12),ROUND(F12,2)=INT(ROUND(F12,2)))</formula>
    </cfRule>
  </conditionalFormatting>
  <conditionalFormatting sqref="F12">
    <cfRule type="expression" dxfId="1" priority="36">
      <formula>AND(ISNUMBER(F12),ROUND(F12,2)&lt;&gt;INT(ROUND(F12,2)))</formula>
    </cfRule>
  </conditionalFormatting>
  <conditionalFormatting sqref="E13">
    <cfRule type="expression" dxfId="0" priority="37">
      <formula>AND(ISNUMBER(E13),ROUND(E13,2)=INT(ROUND(E13,2)))</formula>
    </cfRule>
  </conditionalFormatting>
  <conditionalFormatting sqref="E13">
    <cfRule type="expression" dxfId="1" priority="38">
      <formula>AND(ISNUMBER(E13),ROUND(E13,2)&lt;&gt;INT(ROUND(E13,2)))</formula>
    </cfRule>
  </conditionalFormatting>
  <conditionalFormatting sqref="F13">
    <cfRule type="expression" dxfId="0" priority="39">
      <formula>AND(ISNUMBER(F13),ROUND(F13,2)=INT(ROUND(F13,2)))</formula>
    </cfRule>
  </conditionalFormatting>
  <conditionalFormatting sqref="F13">
    <cfRule type="expression" dxfId="1" priority="40">
      <formula>AND(ISNUMBER(F13),ROUND(F13,2)&lt;&gt;INT(ROUND(F13,2)))</formula>
    </cfRule>
  </conditionalFormatting>
  <conditionalFormatting sqref="F15">
    <cfRule type="expression" dxfId="0" priority="41">
      <formula>AND(ISNUMBER(F15),ROUND(F15,2)=INT(ROUND(F15,2)))</formula>
    </cfRule>
  </conditionalFormatting>
  <conditionalFormatting sqref="F15">
    <cfRule type="expression" dxfId="1" priority="42">
      <formula>AND(ISNUMBER(F15),ROUND(F15,2)&lt;&gt;INT(ROUND(F15,2)))</formula>
    </cfRule>
  </conditionalFormatting>
  <dataValidations>
    <dataValidation type="decimal" operator="greaterThanOrEqual" allowBlank="1" showInputMessage="1" showErrorMessage="1" prompt="יש להזין מספר לא שלילי" sqref="D4:D13">
      <formula1>0.0</formula1>
    </dataValidation>
    <dataValidation type="custom" allowBlank="1" showInputMessage="1" showErrorMessage="1" prompt="מספר לא שלילי, כלול או לא רלוונטי בלבד" sqref="E4:E13">
      <formula1>OR(ISBLANK(E4),AND(ISNUMBER(E4),E4&gt;=0),E4="כלול",E4="לא רלוונטי")</formula1>
    </dataValidation>
  </dataValidations>
  <printOptions/>
  <pageMargins bottom="0.75" footer="0.0" header="0.0" left="0.25" right="0.25" top="0.75"/>
  <pageSetup fitToHeight="0" paperSize="9" orientation="portrait"/>
  <headerFooter>
    <oddFooter>&amp;Cעמוד &amp;P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rightToLeft="1" workbookViewId="0"/>
  </sheetViews>
  <sheetFormatPr customHeight="1" defaultColWidth="14.43" defaultRowHeight="15.0"/>
  <cols>
    <col customWidth="1" min="1" max="1" width="7.29"/>
    <col customWidth="1" min="2" max="2" width="66.29"/>
    <col customWidth="1" min="3" max="6" width="8.14"/>
    <col customWidth="1" hidden="1" min="7" max="7" width="36.0"/>
    <col customWidth="1" hidden="1" min="8" max="8" width="12.0"/>
    <col customWidth="1" min="9" max="26" width="8.71"/>
  </cols>
  <sheetData>
    <row r="1" ht="31.5" customHeight="1">
      <c r="A1" s="10"/>
      <c r="B1" s="3" t="s">
        <v>32</v>
      </c>
      <c r="G1" s="2" t="s">
        <v>31</v>
      </c>
      <c r="H1" s="2" t="s">
        <v>53</v>
      </c>
    </row>
    <row r="2" ht="31.5" customHeight="1">
      <c r="A2" s="16" t="s">
        <v>59</v>
      </c>
      <c r="B2" s="17" t="s">
        <v>67</v>
      </c>
      <c r="C2" s="16" t="s">
        <v>72</v>
      </c>
      <c r="D2" s="16" t="s">
        <v>76</v>
      </c>
      <c r="E2" s="16" t="s">
        <v>79</v>
      </c>
      <c r="F2" s="16" t="s">
        <v>81</v>
      </c>
      <c r="G2" s="2"/>
      <c r="H2" s="2" t="s">
        <v>84</v>
      </c>
    </row>
    <row r="3" ht="63.75" customHeight="1">
      <c r="A3" s="19"/>
      <c r="B3" s="20" t="s">
        <v>218</v>
      </c>
      <c r="C3" s="19"/>
      <c r="D3" s="19"/>
      <c r="E3" s="19"/>
      <c r="F3" s="19"/>
      <c r="G3" s="12" t="s">
        <v>219</v>
      </c>
      <c r="H3" s="12" t="s">
        <v>105</v>
      </c>
    </row>
    <row r="4" ht="63.75" customHeight="1">
      <c r="A4" s="19"/>
      <c r="B4" s="20" t="s">
        <v>220</v>
      </c>
      <c r="C4" s="19" t="s">
        <v>108</v>
      </c>
      <c r="D4" s="19"/>
      <c r="E4" s="22"/>
      <c r="F4" s="22" t="str">
        <f>IF(ISBLANK(D4),"",IF(NOT(ISNUMBER(D4)),"קלט לא תקין",IF(D4&lt;0,"קלט לא תקין",IF(ISBLANK(E4),"",IF(OR(E4="כלול",E4="לא רלוונטי"),0,IF(NOT(ISNUMBER(E4)),"קלט לא תקין",IF(E4&lt;0,"קלט לא תקין",ROUND(D4*E4,2))))))))</f>
        <v/>
      </c>
      <c r="G4" s="12" t="s">
        <v>223</v>
      </c>
      <c r="H4" s="12" t="s">
        <v>113</v>
      </c>
    </row>
    <row r="5" ht="399.75" customHeight="1">
      <c r="A5" s="19"/>
      <c r="B5" s="20"/>
      <c r="C5" s="19"/>
      <c r="D5" s="19"/>
      <c r="E5" s="19"/>
      <c r="F5" s="19"/>
      <c r="G5" s="12"/>
      <c r="H5" s="12" t="s">
        <v>86</v>
      </c>
    </row>
    <row r="6" ht="95.25" customHeight="1">
      <c r="A6" s="19"/>
      <c r="B6" s="20"/>
      <c r="C6" s="19"/>
      <c r="D6" s="19"/>
      <c r="E6" s="19"/>
      <c r="F6" s="19"/>
      <c r="G6" s="12"/>
      <c r="H6" s="12" t="s">
        <v>86</v>
      </c>
    </row>
    <row r="7" ht="31.5" customHeight="1">
      <c r="A7" s="6"/>
      <c r="B7" s="7" t="s">
        <v>130</v>
      </c>
      <c r="C7" s="8"/>
      <c r="D7" s="8"/>
      <c r="E7" s="9"/>
      <c r="F7" s="23">
        <f>SUM(F4)</f>
        <v>0</v>
      </c>
      <c r="G7" s="12"/>
      <c r="H7" s="12" t="s">
        <v>136</v>
      </c>
    </row>
    <row r="8" ht="24.0" customHeight="1"/>
    <row r="9" ht="24.0" customHeight="1"/>
    <row r="10" ht="24.0" customHeight="1"/>
    <row r="11" ht="24.0" customHeight="1"/>
    <row r="12" ht="24.0" customHeight="1"/>
    <row r="13" ht="24.0" customHeight="1"/>
    <row r="14" ht="24.0" customHeight="1"/>
    <row r="15" ht="24.0" customHeight="1"/>
    <row r="16" ht="24.0" customHeight="1"/>
    <row r="17" ht="24.0" customHeight="1"/>
    <row r="18" ht="24.0" customHeight="1"/>
    <row r="19" ht="24.0" customHeight="1"/>
    <row r="20" ht="24.0" customHeight="1"/>
    <row r="21" ht="24.0" customHeight="1"/>
    <row r="22" ht="24.0" customHeight="1"/>
    <row r="23" ht="24.0" customHeight="1"/>
    <row r="24" ht="24.0" customHeight="1"/>
    <row r="25" ht="24.0" customHeight="1"/>
    <row r="26" ht="24.0" customHeight="1"/>
    <row r="27" ht="24.0" customHeight="1"/>
    <row r="28" ht="24.0" customHeight="1"/>
    <row r="29" ht="24.0" customHeight="1"/>
    <row r="30" ht="24.0" customHeight="1"/>
    <row r="31" ht="24.0" customHeight="1"/>
    <row r="32" ht="24.0" customHeight="1"/>
    <row r="33" ht="24.0" customHeight="1"/>
    <row r="34" ht="24.0" customHeight="1"/>
    <row r="35" ht="24.0" customHeight="1"/>
    <row r="36" ht="24.0" customHeight="1"/>
    <row r="37" ht="24.0" customHeight="1"/>
    <row r="38" ht="24.0" customHeight="1"/>
    <row r="39" ht="24.0" customHeight="1"/>
    <row r="40" ht="24.0" customHeight="1"/>
    <row r="41" ht="24.0" customHeight="1"/>
    <row r="42" ht="24.0" customHeight="1"/>
    <row r="43" ht="24.0" customHeight="1"/>
    <row r="44" ht="24.0" customHeight="1"/>
    <row r="45" ht="24.0" customHeight="1"/>
    <row r="46" ht="24.0" customHeight="1"/>
    <row r="47" ht="24.0" customHeight="1"/>
    <row r="48" ht="24.0" customHeight="1"/>
    <row r="49" ht="24.0" customHeight="1"/>
    <row r="50" ht="24.0" customHeight="1"/>
    <row r="51" ht="24.0" customHeight="1"/>
    <row r="52" ht="24.0" customHeight="1"/>
    <row r="53" ht="24.0" customHeight="1"/>
    <row r="54" ht="24.0" customHeight="1"/>
    <row r="55" ht="24.0" customHeight="1"/>
    <row r="56" ht="24.0" customHeight="1"/>
    <row r="57" ht="24.0" customHeight="1"/>
    <row r="58" ht="24.0" customHeight="1"/>
    <row r="59" ht="24.0" customHeight="1"/>
    <row r="60" ht="24.0" customHeight="1"/>
    <row r="61" ht="24.0" customHeight="1"/>
    <row r="62" ht="24.0" customHeight="1"/>
    <row r="63" ht="24.0" customHeight="1"/>
    <row r="64" ht="24.0" customHeight="1"/>
    <row r="65" ht="24.0" customHeight="1"/>
    <row r="66" ht="24.0" customHeight="1"/>
    <row r="67" ht="24.0" customHeight="1"/>
    <row r="68" ht="24.0" customHeight="1"/>
    <row r="69" ht="24.0" customHeight="1"/>
    <row r="70" ht="24.0" customHeight="1"/>
    <row r="71" ht="24.0" customHeight="1"/>
    <row r="72" ht="24.0" customHeight="1"/>
    <row r="73" ht="24.0" customHeight="1"/>
    <row r="74" ht="24.0" customHeight="1"/>
    <row r="75" ht="24.0" customHeight="1"/>
    <row r="76" ht="24.0" customHeight="1"/>
    <row r="77" ht="24.0" customHeight="1"/>
    <row r="78" ht="24.0" customHeight="1"/>
    <row r="79" ht="24.0" customHeight="1"/>
    <row r="80" ht="24.0" customHeight="1"/>
    <row r="81" ht="24.0" customHeight="1"/>
    <row r="82" ht="24.0" customHeight="1"/>
    <row r="83" ht="24.0" customHeight="1"/>
    <row r="84" ht="24.0" customHeight="1"/>
    <row r="85" ht="24.0" customHeight="1"/>
    <row r="86" ht="24.0" customHeight="1"/>
    <row r="87" ht="24.0" customHeight="1"/>
    <row r="88" ht="24.0" customHeight="1"/>
    <row r="89" ht="24.0" customHeight="1"/>
    <row r="90" ht="24.0" customHeight="1"/>
    <row r="91" ht="24.0" customHeight="1"/>
    <row r="92" ht="24.0" customHeight="1"/>
    <row r="93" ht="24.0" customHeight="1"/>
    <row r="94" ht="24.0" customHeight="1"/>
    <row r="95" ht="24.0" customHeight="1"/>
    <row r="96" ht="24.0" customHeight="1"/>
    <row r="97" ht="24.0" customHeight="1"/>
    <row r="98" ht="24.0" customHeight="1"/>
    <row r="99" ht="24.0" customHeight="1"/>
    <row r="100" ht="24.0" customHeight="1"/>
    <row r="101" ht="24.0" customHeight="1"/>
    <row r="102" ht="24.0" customHeight="1"/>
    <row r="103" ht="24.0" customHeight="1"/>
    <row r="104" ht="24.0" customHeight="1"/>
    <row r="105" ht="24.0" customHeight="1"/>
    <row r="106" ht="24.0" customHeight="1"/>
    <row r="107" ht="24.0" customHeight="1"/>
    <row r="108" ht="24.0" customHeight="1"/>
    <row r="109" ht="24.0" customHeight="1"/>
    <row r="110" ht="24.0" customHeight="1"/>
    <row r="111" ht="24.0" customHeight="1"/>
    <row r="112" ht="24.0" customHeight="1"/>
    <row r="113" ht="24.0" customHeight="1"/>
    <row r="114" ht="24.0" customHeight="1"/>
    <row r="115" ht="24.0" customHeight="1"/>
    <row r="116" ht="24.0" customHeight="1"/>
    <row r="117" ht="24.0" customHeight="1"/>
    <row r="118" ht="24.0" customHeight="1"/>
    <row r="119" ht="24.0" customHeight="1"/>
    <row r="120" ht="24.0" customHeight="1"/>
    <row r="121" ht="24.0" customHeight="1"/>
    <row r="122" ht="24.0" customHeight="1"/>
    <row r="123" ht="24.0" customHeight="1"/>
    <row r="124" ht="24.0" customHeight="1"/>
    <row r="125" ht="24.0" customHeight="1"/>
    <row r="126" ht="24.0" customHeight="1"/>
    <row r="127" ht="24.0" customHeight="1"/>
    <row r="128" ht="24.0" customHeight="1"/>
    <row r="129" ht="24.0" customHeight="1"/>
    <row r="130" ht="24.0" customHeight="1"/>
    <row r="131" ht="24.0" customHeight="1"/>
    <row r="132" ht="24.0" customHeight="1"/>
    <row r="133" ht="24.0" customHeight="1"/>
    <row r="134" ht="24.0" customHeight="1"/>
    <row r="135" ht="24.0" customHeight="1"/>
    <row r="136" ht="24.0" customHeight="1"/>
    <row r="137" ht="24.0" customHeight="1"/>
    <row r="138" ht="24.0" customHeight="1"/>
    <row r="139" ht="24.0" customHeight="1"/>
    <row r="140" ht="24.0" customHeight="1"/>
    <row r="141" ht="24.0" customHeight="1"/>
    <row r="142" ht="24.0" customHeight="1"/>
    <row r="143" ht="24.0" customHeight="1"/>
    <row r="144" ht="24.0" customHeight="1"/>
    <row r="145" ht="24.0" customHeight="1"/>
    <row r="146" ht="24.0" customHeight="1"/>
    <row r="147" ht="24.0" customHeight="1"/>
    <row r="148" ht="24.0" customHeight="1"/>
    <row r="149" ht="24.0" customHeight="1"/>
    <row r="150" ht="24.0" customHeight="1"/>
    <row r="151" ht="24.0" customHeight="1"/>
    <row r="152" ht="24.0" customHeight="1"/>
    <row r="153" ht="24.0" customHeight="1"/>
    <row r="154" ht="24.0" customHeight="1"/>
    <row r="155" ht="24.0" customHeight="1"/>
    <row r="156" ht="24.0" customHeight="1"/>
    <row r="157" ht="24.0" customHeight="1"/>
    <row r="158" ht="24.0" customHeight="1"/>
    <row r="159" ht="24.0" customHeight="1"/>
    <row r="160" ht="24.0" customHeight="1"/>
    <row r="161" ht="24.0" customHeight="1"/>
    <row r="162" ht="24.0" customHeight="1"/>
    <row r="163" ht="24.0" customHeight="1"/>
    <row r="164" ht="24.0" customHeight="1"/>
    <row r="165" ht="24.0" customHeight="1"/>
    <row r="166" ht="24.0" customHeight="1"/>
    <row r="167" ht="24.0" customHeight="1"/>
    <row r="168" ht="24.0" customHeight="1"/>
    <row r="169" ht="24.0" customHeight="1"/>
    <row r="170" ht="24.0" customHeight="1"/>
    <row r="171" ht="24.0" customHeight="1"/>
    <row r="172" ht="24.0" customHeight="1"/>
    <row r="173" ht="24.0" customHeight="1"/>
    <row r="174" ht="24.0" customHeight="1"/>
    <row r="175" ht="24.0" customHeight="1"/>
    <row r="176" ht="24.0" customHeight="1"/>
    <row r="177" ht="24.0" customHeight="1"/>
    <row r="178" ht="24.0" customHeight="1"/>
    <row r="179" ht="24.0" customHeight="1"/>
    <row r="180" ht="24.0" customHeight="1"/>
    <row r="181" ht="24.0" customHeight="1"/>
    <row r="182" ht="24.0" customHeight="1"/>
    <row r="183" ht="24.0" customHeight="1"/>
    <row r="184" ht="24.0" customHeight="1"/>
    <row r="185" ht="24.0" customHeight="1"/>
    <row r="186" ht="24.0" customHeight="1"/>
    <row r="187" ht="24.0" customHeight="1"/>
    <row r="188" ht="24.0" customHeight="1"/>
    <row r="189" ht="24.0" customHeight="1"/>
    <row r="190" ht="24.0" customHeight="1"/>
    <row r="191" ht="24.0" customHeight="1"/>
    <row r="192" ht="24.0" customHeight="1"/>
    <row r="193" ht="24.0" customHeight="1"/>
    <row r="194" ht="24.0" customHeight="1"/>
    <row r="195" ht="24.0" customHeight="1"/>
    <row r="196" ht="24.0" customHeight="1"/>
    <row r="197" ht="24.0" customHeight="1"/>
    <row r="198" ht="24.0" customHeight="1"/>
    <row r="199" ht="24.0" customHeight="1"/>
    <row r="200" ht="24.0" customHeight="1"/>
    <row r="201" ht="24.0" customHeight="1"/>
    <row r="202" ht="24.0" customHeight="1"/>
    <row r="203" ht="24.0" customHeight="1"/>
    <row r="204" ht="24.0" customHeight="1"/>
    <row r="205" ht="24.0" customHeight="1"/>
    <row r="206" ht="24.0" customHeight="1"/>
    <row r="207" ht="24.0" customHeight="1"/>
    <row r="208" ht="24.0" customHeight="1"/>
    <row r="209" ht="24.0" customHeight="1"/>
    <row r="210" ht="24.0" customHeight="1"/>
    <row r="211" ht="24.0" customHeight="1"/>
    <row r="212" ht="24.0" customHeight="1"/>
    <row r="213" ht="24.0" customHeight="1"/>
    <row r="214" ht="24.0" customHeight="1"/>
    <row r="215" ht="24.0" customHeight="1"/>
    <row r="216" ht="24.0" customHeight="1"/>
    <row r="217" ht="24.0" customHeight="1"/>
    <row r="218" ht="24.0" customHeight="1"/>
    <row r="219" ht="24.0" customHeight="1"/>
    <row r="220" ht="24.0" customHeight="1"/>
    <row r="221" ht="24.0" customHeight="1"/>
    <row r="222" ht="24.0" customHeight="1"/>
    <row r="223" ht="24.0" customHeight="1"/>
    <row r="224" ht="24.0" customHeight="1"/>
    <row r="225" ht="24.0" customHeight="1"/>
    <row r="226" ht="24.0" customHeight="1"/>
    <row r="227" ht="24.0" customHeight="1"/>
    <row r="228" ht="24.0" customHeight="1"/>
    <row r="229" ht="24.0" customHeight="1"/>
    <row r="230" ht="24.0" customHeight="1"/>
    <row r="231" ht="24.0" customHeight="1"/>
    <row r="232" ht="24.0" customHeight="1"/>
    <row r="233" ht="24.0" customHeight="1"/>
    <row r="234" ht="24.0" customHeight="1"/>
    <row r="235" ht="24.0" customHeight="1"/>
    <row r="236" ht="24.0" customHeight="1"/>
    <row r="237" ht="24.0" customHeight="1"/>
    <row r="238" ht="24.0" customHeight="1"/>
    <row r="239" ht="24.0" customHeight="1"/>
    <row r="240" ht="24.0" customHeight="1"/>
    <row r="241" ht="24.0" customHeight="1"/>
    <row r="242" ht="24.0" customHeight="1"/>
    <row r="243" ht="24.0" customHeight="1"/>
    <row r="244" ht="24.0" customHeight="1"/>
    <row r="245" ht="24.0" customHeight="1"/>
    <row r="246" ht="24.0" customHeight="1"/>
    <row r="247" ht="24.0" customHeight="1"/>
    <row r="248" ht="24.0" customHeight="1"/>
    <row r="249" ht="24.0" customHeight="1"/>
    <row r="250" ht="24.0" customHeight="1"/>
    <row r="251" ht="24.0" customHeight="1"/>
    <row r="252" ht="24.0" customHeight="1"/>
    <row r="253" ht="24.0" customHeight="1"/>
    <row r="254" ht="24.0" customHeight="1"/>
    <row r="255" ht="24.0" customHeight="1"/>
    <row r="256" ht="24.0" customHeight="1"/>
    <row r="257" ht="24.0" customHeight="1"/>
    <row r="258" ht="24.0" customHeight="1"/>
    <row r="259" ht="24.0" customHeight="1"/>
    <row r="260" ht="24.0" customHeight="1"/>
    <row r="261" ht="24.0" customHeight="1"/>
    <row r="262" ht="24.0" customHeight="1"/>
    <row r="263" ht="24.0" customHeight="1"/>
    <row r="264" ht="24.0" customHeight="1"/>
    <row r="265" ht="24.0" customHeight="1"/>
    <row r="266" ht="24.0" customHeight="1"/>
    <row r="267" ht="24.0" customHeight="1"/>
    <row r="268" ht="24.0" customHeight="1"/>
    <row r="269" ht="24.0" customHeight="1"/>
    <row r="270" ht="24.0" customHeight="1"/>
    <row r="271" ht="24.0" customHeight="1"/>
    <row r="272" ht="24.0" customHeight="1"/>
    <row r="273" ht="24.0" customHeight="1"/>
    <row r="274" ht="24.0" customHeight="1"/>
    <row r="275" ht="24.0" customHeight="1"/>
    <row r="276" ht="24.0" customHeight="1"/>
    <row r="277" ht="24.0" customHeight="1"/>
    <row r="278" ht="24.0" customHeight="1"/>
    <row r="279" ht="24.0" customHeight="1"/>
    <row r="280" ht="24.0" customHeight="1"/>
    <row r="281" ht="24.0" customHeight="1"/>
    <row r="282" ht="24.0" customHeight="1"/>
    <row r="283" ht="24.0" customHeight="1"/>
    <row r="284" ht="24.0" customHeight="1"/>
    <row r="285" ht="24.0" customHeight="1"/>
    <row r="286" ht="24.0" customHeight="1"/>
    <row r="287" ht="24.0" customHeight="1"/>
    <row r="288" ht="24.0" customHeight="1"/>
    <row r="289" ht="24.0" customHeight="1"/>
    <row r="290" ht="24.0" customHeight="1"/>
    <row r="291" ht="24.0" customHeight="1"/>
    <row r="292" ht="24.0" customHeight="1"/>
    <row r="293" ht="24.0" customHeight="1"/>
    <row r="294" ht="24.0" customHeight="1"/>
    <row r="295" ht="24.0" customHeight="1"/>
    <row r="296" ht="24.0" customHeight="1"/>
    <row r="297" ht="24.0" customHeight="1"/>
    <row r="298" ht="24.0" customHeight="1"/>
    <row r="299" ht="24.0" customHeight="1"/>
    <row r="300" ht="24.0" customHeight="1"/>
    <row r="301" ht="24.0" customHeight="1"/>
    <row r="302" ht="24.0" customHeight="1"/>
    <row r="303" ht="24.0" customHeight="1"/>
    <row r="304" ht="24.0" customHeight="1"/>
    <row r="305" ht="24.0" customHeight="1"/>
    <row r="306" ht="24.0" customHeight="1"/>
    <row r="307" ht="24.0" customHeight="1"/>
    <row r="308" ht="24.0" customHeight="1"/>
    <row r="309" ht="24.0" customHeight="1"/>
    <row r="310" ht="24.0" customHeight="1"/>
    <row r="311" ht="24.0" customHeight="1"/>
    <row r="312" ht="24.0" customHeight="1"/>
    <row r="313" ht="24.0" customHeight="1"/>
    <row r="314" ht="24.0" customHeight="1"/>
    <row r="315" ht="24.0" customHeight="1"/>
    <row r="316" ht="24.0" customHeight="1"/>
    <row r="317" ht="24.0" customHeight="1"/>
    <row r="318" ht="24.0" customHeight="1"/>
    <row r="319" ht="24.0" customHeight="1"/>
    <row r="320" ht="24.0" customHeight="1"/>
    <row r="321" ht="24.0" customHeight="1"/>
    <row r="322" ht="24.0" customHeight="1"/>
    <row r="323" ht="24.0" customHeight="1"/>
    <row r="324" ht="24.0" customHeight="1"/>
    <row r="325" ht="24.0" customHeight="1"/>
    <row r="326" ht="24.0" customHeight="1"/>
    <row r="327" ht="24.0" customHeight="1"/>
    <row r="328" ht="24.0" customHeight="1"/>
    <row r="329" ht="24.0" customHeight="1"/>
    <row r="330" ht="24.0" customHeight="1"/>
    <row r="331" ht="24.0" customHeight="1"/>
    <row r="332" ht="24.0" customHeight="1"/>
    <row r="333" ht="24.0" customHeight="1"/>
    <row r="334" ht="24.0" customHeight="1"/>
    <row r="335" ht="24.0" customHeight="1"/>
    <row r="336" ht="24.0" customHeight="1"/>
    <row r="337" ht="24.0" customHeight="1"/>
    <row r="338" ht="24.0" customHeight="1"/>
    <row r="339" ht="24.0" customHeight="1"/>
    <row r="340" ht="24.0" customHeight="1"/>
    <row r="341" ht="24.0" customHeight="1"/>
    <row r="342" ht="24.0" customHeight="1"/>
    <row r="343" ht="24.0" customHeight="1"/>
    <row r="344" ht="24.0" customHeight="1"/>
    <row r="345" ht="24.0" customHeight="1"/>
    <row r="346" ht="24.0" customHeight="1"/>
    <row r="347" ht="24.0" customHeight="1"/>
    <row r="348" ht="24.0" customHeight="1"/>
    <row r="349" ht="24.0" customHeight="1"/>
    <row r="350" ht="24.0" customHeight="1"/>
    <row r="351" ht="24.0" customHeight="1"/>
    <row r="352" ht="24.0" customHeight="1"/>
    <row r="353" ht="24.0" customHeight="1"/>
    <row r="354" ht="24.0" customHeight="1"/>
    <row r="355" ht="24.0" customHeight="1"/>
    <row r="356" ht="24.0" customHeight="1"/>
    <row r="357" ht="24.0" customHeight="1"/>
    <row r="358" ht="24.0" customHeight="1"/>
    <row r="359" ht="24.0" customHeight="1"/>
    <row r="360" ht="24.0" customHeight="1"/>
    <row r="361" ht="24.0" customHeight="1"/>
    <row r="362" ht="24.0" customHeight="1"/>
    <row r="363" ht="24.0" customHeight="1"/>
    <row r="364" ht="24.0" customHeight="1"/>
    <row r="365" ht="24.0" customHeight="1"/>
    <row r="366" ht="24.0" customHeight="1"/>
    <row r="367" ht="24.0" customHeight="1"/>
    <row r="368" ht="24.0" customHeight="1"/>
    <row r="369" ht="24.0" customHeight="1"/>
    <row r="370" ht="24.0" customHeight="1"/>
    <row r="371" ht="24.0" customHeight="1"/>
    <row r="372" ht="24.0" customHeight="1"/>
    <row r="373" ht="24.0" customHeight="1"/>
    <row r="374" ht="24.0" customHeight="1"/>
    <row r="375" ht="24.0" customHeight="1"/>
    <row r="376" ht="24.0" customHeight="1"/>
    <row r="377" ht="24.0" customHeight="1"/>
    <row r="378" ht="24.0" customHeight="1"/>
    <row r="379" ht="24.0" customHeight="1"/>
    <row r="380" ht="24.0" customHeight="1"/>
    <row r="381" ht="24.0" customHeight="1"/>
    <row r="382" ht="24.0" customHeight="1"/>
    <row r="383" ht="24.0" customHeight="1"/>
    <row r="384" ht="24.0" customHeight="1"/>
    <row r="385" ht="24.0" customHeight="1"/>
    <row r="386" ht="24.0" customHeight="1"/>
    <row r="387" ht="24.0" customHeight="1"/>
    <row r="388" ht="24.0" customHeight="1"/>
    <row r="389" ht="24.0" customHeight="1"/>
    <row r="390" ht="24.0" customHeight="1"/>
    <row r="391" ht="24.0" customHeight="1"/>
    <row r="392" ht="24.0" customHeight="1"/>
    <row r="393" ht="24.0" customHeight="1"/>
    <row r="394" ht="24.0" customHeight="1"/>
    <row r="395" ht="24.0" customHeight="1"/>
    <row r="396" ht="24.0" customHeight="1"/>
    <row r="397" ht="24.0" customHeight="1"/>
    <row r="398" ht="24.0" customHeight="1"/>
    <row r="399" ht="24.0" customHeight="1"/>
    <row r="400" ht="24.0" customHeight="1"/>
    <row r="401" ht="24.0" customHeight="1"/>
    <row r="402" ht="24.0" customHeight="1"/>
    <row r="403" ht="24.0" customHeight="1"/>
    <row r="404" ht="24.0" customHeight="1"/>
    <row r="405" ht="24.0" customHeight="1"/>
    <row r="406" ht="24.0" customHeight="1"/>
    <row r="407" ht="24.0" customHeight="1"/>
    <row r="408" ht="24.0" customHeight="1"/>
    <row r="409" ht="24.0" customHeight="1"/>
    <row r="410" ht="24.0" customHeight="1"/>
    <row r="411" ht="24.0" customHeight="1"/>
    <row r="412" ht="24.0" customHeight="1"/>
    <row r="413" ht="24.0" customHeight="1"/>
    <row r="414" ht="24.0" customHeight="1"/>
    <row r="415" ht="24.0" customHeight="1"/>
    <row r="416" ht="24.0" customHeight="1"/>
    <row r="417" ht="24.0" customHeight="1"/>
    <row r="418" ht="24.0" customHeight="1"/>
    <row r="419" ht="24.0" customHeight="1"/>
    <row r="420" ht="24.0" customHeight="1"/>
    <row r="421" ht="24.0" customHeight="1"/>
    <row r="422" ht="24.0" customHeight="1"/>
    <row r="423" ht="24.0" customHeight="1"/>
    <row r="424" ht="24.0" customHeight="1"/>
    <row r="425" ht="24.0" customHeight="1"/>
    <row r="426" ht="24.0" customHeight="1"/>
    <row r="427" ht="24.0" customHeight="1"/>
    <row r="428" ht="24.0" customHeight="1"/>
    <row r="429" ht="24.0" customHeight="1"/>
    <row r="430" ht="24.0" customHeight="1"/>
    <row r="431" ht="24.0" customHeight="1"/>
    <row r="432" ht="24.0" customHeight="1"/>
    <row r="433" ht="24.0" customHeight="1"/>
    <row r="434" ht="24.0" customHeight="1"/>
    <row r="435" ht="24.0" customHeight="1"/>
    <row r="436" ht="24.0" customHeight="1"/>
    <row r="437" ht="24.0" customHeight="1"/>
    <row r="438" ht="24.0" customHeight="1"/>
    <row r="439" ht="24.0" customHeight="1"/>
    <row r="440" ht="24.0" customHeight="1"/>
    <row r="441" ht="24.0" customHeight="1"/>
    <row r="442" ht="24.0" customHeight="1"/>
    <row r="443" ht="24.0" customHeight="1"/>
    <row r="444" ht="24.0" customHeight="1"/>
    <row r="445" ht="24.0" customHeight="1"/>
    <row r="446" ht="24.0" customHeight="1"/>
    <row r="447" ht="24.0" customHeight="1"/>
    <row r="448" ht="24.0" customHeight="1"/>
    <row r="449" ht="24.0" customHeight="1"/>
    <row r="450" ht="24.0" customHeight="1"/>
    <row r="451" ht="24.0" customHeight="1"/>
    <row r="452" ht="24.0" customHeight="1"/>
    <row r="453" ht="24.0" customHeight="1"/>
    <row r="454" ht="24.0" customHeight="1"/>
    <row r="455" ht="24.0" customHeight="1"/>
    <row r="456" ht="24.0" customHeight="1"/>
    <row r="457" ht="24.0" customHeight="1"/>
    <row r="458" ht="24.0" customHeight="1"/>
    <row r="459" ht="24.0" customHeight="1"/>
    <row r="460" ht="24.0" customHeight="1"/>
    <row r="461" ht="24.0" customHeight="1"/>
    <row r="462" ht="24.0" customHeight="1"/>
    <row r="463" ht="24.0" customHeight="1"/>
    <row r="464" ht="24.0" customHeight="1"/>
    <row r="465" ht="24.0" customHeight="1"/>
    <row r="466" ht="24.0" customHeight="1"/>
    <row r="467" ht="24.0" customHeight="1"/>
    <row r="468" ht="24.0" customHeight="1"/>
    <row r="469" ht="24.0" customHeight="1"/>
    <row r="470" ht="24.0" customHeight="1"/>
    <row r="471" ht="24.0" customHeight="1"/>
    <row r="472" ht="24.0" customHeight="1"/>
    <row r="473" ht="24.0" customHeight="1"/>
    <row r="474" ht="24.0" customHeight="1"/>
    <row r="475" ht="24.0" customHeight="1"/>
    <row r="476" ht="24.0" customHeight="1"/>
    <row r="477" ht="24.0" customHeight="1"/>
    <row r="478" ht="24.0" customHeight="1"/>
    <row r="479" ht="24.0" customHeight="1"/>
    <row r="480" ht="24.0" customHeight="1"/>
    <row r="481" ht="24.0" customHeight="1"/>
    <row r="482" ht="24.0" customHeight="1"/>
    <row r="483" ht="24.0" customHeight="1"/>
    <row r="484" ht="24.0" customHeight="1"/>
    <row r="485" ht="24.0" customHeight="1"/>
    <row r="486" ht="24.0" customHeight="1"/>
    <row r="487" ht="24.0" customHeight="1"/>
    <row r="488" ht="24.0" customHeight="1"/>
    <row r="489" ht="24.0" customHeight="1"/>
    <row r="490" ht="24.0" customHeight="1"/>
    <row r="491" ht="24.0" customHeight="1"/>
    <row r="492" ht="24.0" customHeight="1"/>
    <row r="493" ht="24.0" customHeight="1"/>
    <row r="494" ht="24.0" customHeight="1"/>
    <row r="495" ht="24.0" customHeight="1"/>
    <row r="496" ht="24.0" customHeight="1"/>
    <row r="497" ht="24.0" customHeight="1"/>
    <row r="498" ht="24.0" customHeight="1"/>
    <row r="499" ht="24.0" customHeight="1"/>
    <row r="500" ht="24.0" customHeight="1"/>
    <row r="501" ht="24.0" customHeight="1"/>
    <row r="502" ht="24.0" customHeight="1"/>
    <row r="503" ht="24.0" customHeight="1"/>
    <row r="504" ht="24.0" customHeight="1"/>
    <row r="505" ht="24.0" customHeight="1"/>
    <row r="506" ht="24.0" customHeight="1"/>
    <row r="507" ht="24.0" customHeight="1"/>
    <row r="508" ht="24.0" customHeight="1"/>
    <row r="509" ht="24.0" customHeight="1"/>
    <row r="510" ht="24.0" customHeight="1"/>
    <row r="511" ht="24.0" customHeight="1"/>
    <row r="512" ht="24.0" customHeight="1"/>
    <row r="513" ht="24.0" customHeight="1"/>
    <row r="514" ht="24.0" customHeight="1"/>
    <row r="515" ht="24.0" customHeight="1"/>
    <row r="516" ht="24.0" customHeight="1"/>
    <row r="517" ht="24.0" customHeight="1"/>
    <row r="518" ht="24.0" customHeight="1"/>
    <row r="519" ht="24.0" customHeight="1"/>
    <row r="520" ht="24.0" customHeight="1"/>
    <row r="521" ht="24.0" customHeight="1"/>
    <row r="522" ht="24.0" customHeight="1"/>
    <row r="523" ht="24.0" customHeight="1"/>
    <row r="524" ht="24.0" customHeight="1"/>
    <row r="525" ht="24.0" customHeight="1"/>
    <row r="526" ht="24.0" customHeight="1"/>
    <row r="527" ht="24.0" customHeight="1"/>
    <row r="528" ht="24.0" customHeight="1"/>
    <row r="529" ht="24.0" customHeight="1"/>
    <row r="530" ht="24.0" customHeight="1"/>
    <row r="531" ht="24.0" customHeight="1"/>
    <row r="532" ht="24.0" customHeight="1"/>
    <row r="533" ht="24.0" customHeight="1"/>
    <row r="534" ht="24.0" customHeight="1"/>
    <row r="535" ht="24.0" customHeight="1"/>
    <row r="536" ht="24.0" customHeight="1"/>
    <row r="537" ht="24.0" customHeight="1"/>
    <row r="538" ht="24.0" customHeight="1"/>
    <row r="539" ht="24.0" customHeight="1"/>
    <row r="540" ht="24.0" customHeight="1"/>
    <row r="541" ht="24.0" customHeight="1"/>
    <row r="542" ht="24.0" customHeight="1"/>
    <row r="543" ht="24.0" customHeight="1"/>
    <row r="544" ht="24.0" customHeight="1"/>
    <row r="545" ht="24.0" customHeight="1"/>
    <row r="546" ht="24.0" customHeight="1"/>
    <row r="547" ht="24.0" customHeight="1"/>
    <row r="548" ht="24.0" customHeight="1"/>
    <row r="549" ht="24.0" customHeight="1"/>
    <row r="550" ht="24.0" customHeight="1"/>
    <row r="551" ht="24.0" customHeight="1"/>
    <row r="552" ht="24.0" customHeight="1"/>
    <row r="553" ht="24.0" customHeight="1"/>
    <row r="554" ht="24.0" customHeight="1"/>
    <row r="555" ht="24.0" customHeight="1"/>
    <row r="556" ht="24.0" customHeight="1"/>
    <row r="557" ht="24.0" customHeight="1"/>
    <row r="558" ht="24.0" customHeight="1"/>
    <row r="559" ht="24.0" customHeight="1"/>
    <row r="560" ht="24.0" customHeight="1"/>
    <row r="561" ht="24.0" customHeight="1"/>
    <row r="562" ht="24.0" customHeight="1"/>
    <row r="563" ht="24.0" customHeight="1"/>
    <row r="564" ht="24.0" customHeight="1"/>
    <row r="565" ht="24.0" customHeight="1"/>
    <row r="566" ht="24.0" customHeight="1"/>
    <row r="567" ht="24.0" customHeight="1"/>
    <row r="568" ht="24.0" customHeight="1"/>
    <row r="569" ht="24.0" customHeight="1"/>
    <row r="570" ht="24.0" customHeight="1"/>
    <row r="571" ht="24.0" customHeight="1"/>
    <row r="572" ht="24.0" customHeight="1"/>
    <row r="573" ht="24.0" customHeight="1"/>
    <row r="574" ht="24.0" customHeight="1"/>
    <row r="575" ht="24.0" customHeight="1"/>
    <row r="576" ht="24.0" customHeight="1"/>
    <row r="577" ht="24.0" customHeight="1"/>
    <row r="578" ht="24.0" customHeight="1"/>
    <row r="579" ht="24.0" customHeight="1"/>
    <row r="580" ht="24.0" customHeight="1"/>
    <row r="581" ht="24.0" customHeight="1"/>
    <row r="582" ht="24.0" customHeight="1"/>
    <row r="583" ht="24.0" customHeight="1"/>
    <row r="584" ht="24.0" customHeight="1"/>
    <row r="585" ht="24.0" customHeight="1"/>
    <row r="586" ht="24.0" customHeight="1"/>
    <row r="587" ht="24.0" customHeight="1"/>
    <row r="588" ht="24.0" customHeight="1"/>
    <row r="589" ht="24.0" customHeight="1"/>
    <row r="590" ht="24.0" customHeight="1"/>
    <row r="591" ht="24.0" customHeight="1"/>
    <row r="592" ht="24.0" customHeight="1"/>
    <row r="593" ht="24.0" customHeight="1"/>
    <row r="594" ht="24.0" customHeight="1"/>
    <row r="595" ht="24.0" customHeight="1"/>
    <row r="596" ht="24.0" customHeight="1"/>
    <row r="597" ht="24.0" customHeight="1"/>
    <row r="598" ht="24.0" customHeight="1"/>
    <row r="599" ht="24.0" customHeight="1"/>
    <row r="600" ht="24.0" customHeight="1"/>
    <row r="601" ht="24.0" customHeight="1"/>
    <row r="602" ht="24.0" customHeight="1"/>
    <row r="603" ht="24.0" customHeight="1"/>
    <row r="604" ht="24.0" customHeight="1"/>
    <row r="605" ht="24.0" customHeight="1"/>
    <row r="606" ht="24.0" customHeight="1"/>
    <row r="607" ht="24.0" customHeight="1"/>
    <row r="608" ht="24.0" customHeight="1"/>
    <row r="609" ht="24.0" customHeight="1"/>
    <row r="610" ht="24.0" customHeight="1"/>
    <row r="611" ht="24.0" customHeight="1"/>
    <row r="612" ht="24.0" customHeight="1"/>
    <row r="613" ht="24.0" customHeight="1"/>
    <row r="614" ht="24.0" customHeight="1"/>
    <row r="615" ht="24.0" customHeight="1"/>
    <row r="616" ht="24.0" customHeight="1"/>
    <row r="617" ht="24.0" customHeight="1"/>
    <row r="618" ht="24.0" customHeight="1"/>
    <row r="619" ht="24.0" customHeight="1"/>
    <row r="620" ht="24.0" customHeight="1"/>
    <row r="621" ht="24.0" customHeight="1"/>
    <row r="622" ht="24.0" customHeight="1"/>
    <row r="623" ht="24.0" customHeight="1"/>
    <row r="624" ht="24.0" customHeight="1"/>
    <row r="625" ht="24.0" customHeight="1"/>
    <row r="626" ht="24.0" customHeight="1"/>
    <row r="627" ht="24.0" customHeight="1"/>
    <row r="628" ht="24.0" customHeight="1"/>
    <row r="629" ht="24.0" customHeight="1"/>
    <row r="630" ht="24.0" customHeight="1"/>
    <row r="631" ht="24.0" customHeight="1"/>
    <row r="632" ht="24.0" customHeight="1"/>
    <row r="633" ht="24.0" customHeight="1"/>
    <row r="634" ht="24.0" customHeight="1"/>
    <row r="635" ht="24.0" customHeight="1"/>
    <row r="636" ht="24.0" customHeight="1"/>
    <row r="637" ht="24.0" customHeight="1"/>
    <row r="638" ht="24.0" customHeight="1"/>
    <row r="639" ht="24.0" customHeight="1"/>
    <row r="640" ht="24.0" customHeight="1"/>
    <row r="641" ht="24.0" customHeight="1"/>
    <row r="642" ht="24.0" customHeight="1"/>
    <row r="643" ht="24.0" customHeight="1"/>
    <row r="644" ht="24.0" customHeight="1"/>
    <row r="645" ht="24.0" customHeight="1"/>
    <row r="646" ht="24.0" customHeight="1"/>
    <row r="647" ht="24.0" customHeight="1"/>
    <row r="648" ht="24.0" customHeight="1"/>
    <row r="649" ht="24.0" customHeight="1"/>
    <row r="650" ht="24.0" customHeight="1"/>
    <row r="651" ht="24.0" customHeight="1"/>
    <row r="652" ht="24.0" customHeight="1"/>
    <row r="653" ht="24.0" customHeight="1"/>
    <row r="654" ht="24.0" customHeight="1"/>
    <row r="655" ht="24.0" customHeight="1"/>
    <row r="656" ht="24.0" customHeight="1"/>
    <row r="657" ht="24.0" customHeight="1"/>
    <row r="658" ht="24.0" customHeight="1"/>
    <row r="659" ht="24.0" customHeight="1"/>
    <row r="660" ht="24.0" customHeight="1"/>
    <row r="661" ht="24.0" customHeight="1"/>
    <row r="662" ht="24.0" customHeight="1"/>
    <row r="663" ht="24.0" customHeight="1"/>
    <row r="664" ht="24.0" customHeight="1"/>
    <row r="665" ht="24.0" customHeight="1"/>
    <row r="666" ht="24.0" customHeight="1"/>
    <row r="667" ht="24.0" customHeight="1"/>
    <row r="668" ht="24.0" customHeight="1"/>
    <row r="669" ht="24.0" customHeight="1"/>
    <row r="670" ht="24.0" customHeight="1"/>
    <row r="671" ht="24.0" customHeight="1"/>
    <row r="672" ht="24.0" customHeight="1"/>
    <row r="673" ht="24.0" customHeight="1"/>
    <row r="674" ht="24.0" customHeight="1"/>
    <row r="675" ht="24.0" customHeight="1"/>
    <row r="676" ht="24.0" customHeight="1"/>
    <row r="677" ht="24.0" customHeight="1"/>
    <row r="678" ht="24.0" customHeight="1"/>
    <row r="679" ht="24.0" customHeight="1"/>
    <row r="680" ht="24.0" customHeight="1"/>
    <row r="681" ht="24.0" customHeight="1"/>
    <row r="682" ht="24.0" customHeight="1"/>
    <row r="683" ht="24.0" customHeight="1"/>
    <row r="684" ht="24.0" customHeight="1"/>
    <row r="685" ht="24.0" customHeight="1"/>
    <row r="686" ht="24.0" customHeight="1"/>
    <row r="687" ht="24.0" customHeight="1"/>
    <row r="688" ht="24.0" customHeight="1"/>
    <row r="689" ht="24.0" customHeight="1"/>
    <row r="690" ht="24.0" customHeight="1"/>
    <row r="691" ht="24.0" customHeight="1"/>
    <row r="692" ht="24.0" customHeight="1"/>
    <row r="693" ht="24.0" customHeight="1"/>
    <row r="694" ht="24.0" customHeight="1"/>
    <row r="695" ht="24.0" customHeight="1"/>
    <row r="696" ht="24.0" customHeight="1"/>
    <row r="697" ht="24.0" customHeight="1"/>
    <row r="698" ht="24.0" customHeight="1"/>
    <row r="699" ht="24.0" customHeight="1"/>
    <row r="700" ht="24.0" customHeight="1"/>
    <row r="701" ht="24.0" customHeight="1"/>
    <row r="702" ht="24.0" customHeight="1"/>
    <row r="703" ht="24.0" customHeight="1"/>
    <row r="704" ht="24.0" customHeight="1"/>
    <row r="705" ht="24.0" customHeight="1"/>
    <row r="706" ht="24.0" customHeight="1"/>
    <row r="707" ht="24.0" customHeight="1"/>
    <row r="708" ht="24.0" customHeight="1"/>
    <row r="709" ht="24.0" customHeight="1"/>
    <row r="710" ht="24.0" customHeight="1"/>
    <row r="711" ht="24.0" customHeight="1"/>
    <row r="712" ht="24.0" customHeight="1"/>
    <row r="713" ht="24.0" customHeight="1"/>
    <row r="714" ht="24.0" customHeight="1"/>
    <row r="715" ht="24.0" customHeight="1"/>
    <row r="716" ht="24.0" customHeight="1"/>
    <row r="717" ht="24.0" customHeight="1"/>
    <row r="718" ht="24.0" customHeight="1"/>
    <row r="719" ht="24.0" customHeight="1"/>
    <row r="720" ht="24.0" customHeight="1"/>
    <row r="721" ht="24.0" customHeight="1"/>
    <row r="722" ht="24.0" customHeight="1"/>
    <row r="723" ht="24.0" customHeight="1"/>
    <row r="724" ht="24.0" customHeight="1"/>
    <row r="725" ht="24.0" customHeight="1"/>
    <row r="726" ht="24.0" customHeight="1"/>
    <row r="727" ht="24.0" customHeight="1"/>
    <row r="728" ht="24.0" customHeight="1"/>
    <row r="729" ht="24.0" customHeight="1"/>
    <row r="730" ht="24.0" customHeight="1"/>
    <row r="731" ht="24.0" customHeight="1"/>
    <row r="732" ht="24.0" customHeight="1"/>
    <row r="733" ht="24.0" customHeight="1"/>
    <row r="734" ht="24.0" customHeight="1"/>
    <row r="735" ht="24.0" customHeight="1"/>
    <row r="736" ht="24.0" customHeight="1"/>
    <row r="737" ht="24.0" customHeight="1"/>
    <row r="738" ht="24.0" customHeight="1"/>
    <row r="739" ht="24.0" customHeight="1"/>
    <row r="740" ht="24.0" customHeight="1"/>
    <row r="741" ht="24.0" customHeight="1"/>
    <row r="742" ht="24.0" customHeight="1"/>
    <row r="743" ht="24.0" customHeight="1"/>
    <row r="744" ht="24.0" customHeight="1"/>
    <row r="745" ht="24.0" customHeight="1"/>
    <row r="746" ht="24.0" customHeight="1"/>
    <row r="747" ht="24.0" customHeight="1"/>
    <row r="748" ht="24.0" customHeight="1"/>
    <row r="749" ht="24.0" customHeight="1"/>
    <row r="750" ht="24.0" customHeight="1"/>
    <row r="751" ht="24.0" customHeight="1"/>
    <row r="752" ht="24.0" customHeight="1"/>
    <row r="753" ht="24.0" customHeight="1"/>
    <row r="754" ht="24.0" customHeight="1"/>
    <row r="755" ht="24.0" customHeight="1"/>
    <row r="756" ht="24.0" customHeight="1"/>
    <row r="757" ht="24.0" customHeight="1"/>
    <row r="758" ht="24.0" customHeight="1"/>
    <row r="759" ht="24.0" customHeight="1"/>
    <row r="760" ht="24.0" customHeight="1"/>
    <row r="761" ht="24.0" customHeight="1"/>
    <row r="762" ht="24.0" customHeight="1"/>
    <row r="763" ht="24.0" customHeight="1"/>
    <row r="764" ht="24.0" customHeight="1"/>
    <row r="765" ht="24.0" customHeight="1"/>
    <row r="766" ht="24.0" customHeight="1"/>
    <row r="767" ht="24.0" customHeight="1"/>
    <row r="768" ht="24.0" customHeight="1"/>
    <row r="769" ht="24.0" customHeight="1"/>
    <row r="770" ht="24.0" customHeight="1"/>
    <row r="771" ht="24.0" customHeight="1"/>
    <row r="772" ht="24.0" customHeight="1"/>
    <row r="773" ht="24.0" customHeight="1"/>
    <row r="774" ht="24.0" customHeight="1"/>
    <row r="775" ht="24.0" customHeight="1"/>
    <row r="776" ht="24.0" customHeight="1"/>
    <row r="777" ht="24.0" customHeight="1"/>
    <row r="778" ht="24.0" customHeight="1"/>
    <row r="779" ht="24.0" customHeight="1"/>
    <row r="780" ht="24.0" customHeight="1"/>
    <row r="781" ht="24.0" customHeight="1"/>
    <row r="782" ht="24.0" customHeight="1"/>
    <row r="783" ht="24.0" customHeight="1"/>
    <row r="784" ht="24.0" customHeight="1"/>
    <row r="785" ht="24.0" customHeight="1"/>
    <row r="786" ht="24.0" customHeight="1"/>
    <row r="787" ht="24.0" customHeight="1"/>
    <row r="788" ht="24.0" customHeight="1"/>
    <row r="789" ht="24.0" customHeight="1"/>
    <row r="790" ht="24.0" customHeight="1"/>
    <row r="791" ht="24.0" customHeight="1"/>
    <row r="792" ht="24.0" customHeight="1"/>
    <row r="793" ht="24.0" customHeight="1"/>
    <row r="794" ht="24.0" customHeight="1"/>
    <row r="795" ht="24.0" customHeight="1"/>
    <row r="796" ht="24.0" customHeight="1"/>
    <row r="797" ht="24.0" customHeight="1"/>
    <row r="798" ht="24.0" customHeight="1"/>
    <row r="799" ht="24.0" customHeight="1"/>
    <row r="800" ht="24.0" customHeight="1"/>
    <row r="801" ht="24.0" customHeight="1"/>
    <row r="802" ht="24.0" customHeight="1"/>
    <row r="803" ht="24.0" customHeight="1"/>
    <row r="804" ht="24.0" customHeight="1"/>
    <row r="805" ht="24.0" customHeight="1"/>
    <row r="806" ht="24.0" customHeight="1"/>
    <row r="807" ht="24.0" customHeight="1"/>
    <row r="808" ht="24.0" customHeight="1"/>
    <row r="809" ht="24.0" customHeight="1"/>
    <row r="810" ht="24.0" customHeight="1"/>
    <row r="811" ht="24.0" customHeight="1"/>
    <row r="812" ht="24.0" customHeight="1"/>
    <row r="813" ht="24.0" customHeight="1"/>
    <row r="814" ht="24.0" customHeight="1"/>
    <row r="815" ht="24.0" customHeight="1"/>
    <row r="816" ht="24.0" customHeight="1"/>
    <row r="817" ht="24.0" customHeight="1"/>
    <row r="818" ht="24.0" customHeight="1"/>
    <row r="819" ht="24.0" customHeight="1"/>
    <row r="820" ht="24.0" customHeight="1"/>
    <row r="821" ht="24.0" customHeight="1"/>
    <row r="822" ht="24.0" customHeight="1"/>
    <row r="823" ht="24.0" customHeight="1"/>
    <row r="824" ht="24.0" customHeight="1"/>
    <row r="825" ht="24.0" customHeight="1"/>
    <row r="826" ht="24.0" customHeight="1"/>
    <row r="827" ht="24.0" customHeight="1"/>
    <row r="828" ht="24.0" customHeight="1"/>
    <row r="829" ht="24.0" customHeight="1"/>
    <row r="830" ht="24.0" customHeight="1"/>
    <row r="831" ht="24.0" customHeight="1"/>
    <row r="832" ht="24.0" customHeight="1"/>
    <row r="833" ht="24.0" customHeight="1"/>
    <row r="834" ht="24.0" customHeight="1"/>
    <row r="835" ht="24.0" customHeight="1"/>
    <row r="836" ht="24.0" customHeight="1"/>
    <row r="837" ht="24.0" customHeight="1"/>
    <row r="838" ht="24.0" customHeight="1"/>
    <row r="839" ht="24.0" customHeight="1"/>
    <row r="840" ht="24.0" customHeight="1"/>
    <row r="841" ht="24.0" customHeight="1"/>
    <row r="842" ht="24.0" customHeight="1"/>
    <row r="843" ht="24.0" customHeight="1"/>
    <row r="844" ht="24.0" customHeight="1"/>
    <row r="845" ht="24.0" customHeight="1"/>
    <row r="846" ht="24.0" customHeight="1"/>
    <row r="847" ht="24.0" customHeight="1"/>
    <row r="848" ht="24.0" customHeight="1"/>
    <row r="849" ht="24.0" customHeight="1"/>
    <row r="850" ht="24.0" customHeight="1"/>
    <row r="851" ht="24.0" customHeight="1"/>
    <row r="852" ht="24.0" customHeight="1"/>
    <row r="853" ht="24.0" customHeight="1"/>
    <row r="854" ht="24.0" customHeight="1"/>
    <row r="855" ht="24.0" customHeight="1"/>
    <row r="856" ht="24.0" customHeight="1"/>
    <row r="857" ht="24.0" customHeight="1"/>
    <row r="858" ht="24.0" customHeight="1"/>
    <row r="859" ht="24.0" customHeight="1"/>
    <row r="860" ht="24.0" customHeight="1"/>
    <row r="861" ht="24.0" customHeight="1"/>
    <row r="862" ht="24.0" customHeight="1"/>
    <row r="863" ht="24.0" customHeight="1"/>
    <row r="864" ht="24.0" customHeight="1"/>
    <row r="865" ht="24.0" customHeight="1"/>
    <row r="866" ht="24.0" customHeight="1"/>
    <row r="867" ht="24.0" customHeight="1"/>
    <row r="868" ht="24.0" customHeight="1"/>
    <row r="869" ht="24.0" customHeight="1"/>
    <row r="870" ht="24.0" customHeight="1"/>
    <row r="871" ht="24.0" customHeight="1"/>
    <row r="872" ht="24.0" customHeight="1"/>
    <row r="873" ht="24.0" customHeight="1"/>
    <row r="874" ht="24.0" customHeight="1"/>
    <row r="875" ht="24.0" customHeight="1"/>
    <row r="876" ht="24.0" customHeight="1"/>
    <row r="877" ht="24.0" customHeight="1"/>
    <row r="878" ht="24.0" customHeight="1"/>
    <row r="879" ht="24.0" customHeight="1"/>
    <row r="880" ht="24.0" customHeight="1"/>
    <row r="881" ht="24.0" customHeight="1"/>
    <row r="882" ht="24.0" customHeight="1"/>
    <row r="883" ht="24.0" customHeight="1"/>
    <row r="884" ht="24.0" customHeight="1"/>
    <row r="885" ht="24.0" customHeight="1"/>
    <row r="886" ht="24.0" customHeight="1"/>
    <row r="887" ht="24.0" customHeight="1"/>
    <row r="888" ht="24.0" customHeight="1"/>
    <row r="889" ht="24.0" customHeight="1"/>
    <row r="890" ht="24.0" customHeight="1"/>
    <row r="891" ht="24.0" customHeight="1"/>
    <row r="892" ht="24.0" customHeight="1"/>
    <row r="893" ht="24.0" customHeight="1"/>
    <row r="894" ht="24.0" customHeight="1"/>
    <row r="895" ht="24.0" customHeight="1"/>
    <row r="896" ht="24.0" customHeight="1"/>
    <row r="897" ht="24.0" customHeight="1"/>
    <row r="898" ht="24.0" customHeight="1"/>
    <row r="899" ht="24.0" customHeight="1"/>
    <row r="900" ht="24.0" customHeight="1"/>
    <row r="901" ht="24.0" customHeight="1"/>
    <row r="902" ht="24.0" customHeight="1"/>
    <row r="903" ht="24.0" customHeight="1"/>
    <row r="904" ht="24.0" customHeight="1"/>
    <row r="905" ht="24.0" customHeight="1"/>
    <row r="906" ht="24.0" customHeight="1"/>
    <row r="907" ht="24.0" customHeight="1"/>
    <row r="908" ht="24.0" customHeight="1"/>
    <row r="909" ht="24.0" customHeight="1"/>
    <row r="910" ht="24.0" customHeight="1"/>
    <row r="911" ht="24.0" customHeight="1"/>
    <row r="912" ht="24.0" customHeight="1"/>
    <row r="913" ht="24.0" customHeight="1"/>
    <row r="914" ht="24.0" customHeight="1"/>
    <row r="915" ht="24.0" customHeight="1"/>
    <row r="916" ht="24.0" customHeight="1"/>
    <row r="917" ht="24.0" customHeight="1"/>
    <row r="918" ht="24.0" customHeight="1"/>
    <row r="919" ht="24.0" customHeight="1"/>
    <row r="920" ht="24.0" customHeight="1"/>
    <row r="921" ht="24.0" customHeight="1"/>
    <row r="922" ht="24.0" customHeight="1"/>
    <row r="923" ht="24.0" customHeight="1"/>
    <row r="924" ht="24.0" customHeight="1"/>
    <row r="925" ht="24.0" customHeight="1"/>
    <row r="926" ht="24.0" customHeight="1"/>
    <row r="927" ht="24.0" customHeight="1"/>
    <row r="928" ht="24.0" customHeight="1"/>
    <row r="929" ht="24.0" customHeight="1"/>
    <row r="930" ht="24.0" customHeight="1"/>
    <row r="931" ht="24.0" customHeight="1"/>
    <row r="932" ht="24.0" customHeight="1"/>
    <row r="933" ht="24.0" customHeight="1"/>
    <row r="934" ht="24.0" customHeight="1"/>
    <row r="935" ht="24.0" customHeight="1"/>
    <row r="936" ht="24.0" customHeight="1"/>
    <row r="937" ht="24.0" customHeight="1"/>
    <row r="938" ht="24.0" customHeight="1"/>
    <row r="939" ht="24.0" customHeight="1"/>
    <row r="940" ht="24.0" customHeight="1"/>
    <row r="941" ht="24.0" customHeight="1"/>
    <row r="942" ht="24.0" customHeight="1"/>
    <row r="943" ht="24.0" customHeight="1"/>
    <row r="944" ht="24.0" customHeight="1"/>
    <row r="945" ht="24.0" customHeight="1"/>
    <row r="946" ht="24.0" customHeight="1"/>
    <row r="947" ht="24.0" customHeight="1"/>
    <row r="948" ht="24.0" customHeight="1"/>
    <row r="949" ht="24.0" customHeight="1"/>
    <row r="950" ht="24.0" customHeight="1"/>
    <row r="951" ht="24.0" customHeight="1"/>
    <row r="952" ht="24.0" customHeight="1"/>
    <row r="953" ht="24.0" customHeight="1"/>
    <row r="954" ht="24.0" customHeight="1"/>
    <row r="955" ht="24.0" customHeight="1"/>
    <row r="956" ht="24.0" customHeight="1"/>
    <row r="957" ht="24.0" customHeight="1"/>
    <row r="958" ht="24.0" customHeight="1"/>
    <row r="959" ht="24.0" customHeight="1"/>
    <row r="960" ht="24.0" customHeight="1"/>
    <row r="961" ht="24.0" customHeight="1"/>
    <row r="962" ht="24.0" customHeight="1"/>
    <row r="963" ht="24.0" customHeight="1"/>
    <row r="964" ht="24.0" customHeight="1"/>
    <row r="965" ht="24.0" customHeight="1"/>
    <row r="966" ht="24.0" customHeight="1"/>
    <row r="967" ht="24.0" customHeight="1"/>
    <row r="968" ht="24.0" customHeight="1"/>
    <row r="969" ht="24.0" customHeight="1"/>
    <row r="970" ht="24.0" customHeight="1"/>
    <row r="971" ht="24.0" customHeight="1"/>
    <row r="972" ht="24.0" customHeight="1"/>
    <row r="973" ht="24.0" customHeight="1"/>
    <row r="974" ht="24.0" customHeight="1"/>
    <row r="975" ht="24.0" customHeight="1"/>
    <row r="976" ht="24.0" customHeight="1"/>
    <row r="977" ht="24.0" customHeight="1"/>
    <row r="978" ht="24.0" customHeight="1"/>
    <row r="979" ht="24.0" customHeight="1"/>
    <row r="980" ht="24.0" customHeight="1"/>
    <row r="981" ht="24.0" customHeight="1"/>
    <row r="982" ht="24.0" customHeight="1"/>
    <row r="983" ht="24.0" customHeight="1"/>
    <row r="984" ht="24.0" customHeight="1"/>
    <row r="985" ht="24.0" customHeight="1"/>
    <row r="986" ht="24.0" customHeight="1"/>
    <row r="987" ht="24.0" customHeight="1"/>
    <row r="988" ht="24.0" customHeight="1"/>
    <row r="989" ht="24.0" customHeight="1"/>
    <row r="990" ht="24.0" customHeight="1"/>
    <row r="991" ht="24.0" customHeight="1"/>
    <row r="992" ht="24.0" customHeight="1"/>
    <row r="993" ht="24.0" customHeight="1"/>
    <row r="994" ht="24.0" customHeight="1"/>
    <row r="995" ht="24.0" customHeight="1"/>
    <row r="996" ht="24.0" customHeight="1"/>
    <row r="997" ht="24.0" customHeight="1"/>
    <row r="998" ht="24.0" customHeight="1"/>
    <row r="999" ht="24.0" customHeight="1"/>
    <row r="1000" ht="24.0" customHeight="1"/>
  </sheetData>
  <mergeCells count="2">
    <mergeCell ref="B1:F1"/>
    <mergeCell ref="B7:E7"/>
  </mergeCells>
  <conditionalFormatting sqref="E4">
    <cfRule type="expression" dxfId="0" priority="1">
      <formula>AND(ISNUMBER(E4),ROUND(E4,2)=INT(ROUND(E4,2)))</formula>
    </cfRule>
  </conditionalFormatting>
  <conditionalFormatting sqref="E4">
    <cfRule type="expression" dxfId="1" priority="2">
      <formula>AND(ISNUMBER(E4),ROUND(E4,2)&lt;&gt;INT(ROUND(E4,2)))</formula>
    </cfRule>
  </conditionalFormatting>
  <conditionalFormatting sqref="F4">
    <cfRule type="expression" dxfId="0" priority="3">
      <formula>AND(ISNUMBER(F4),ROUND(F4,2)=INT(ROUND(F4,2)))</formula>
    </cfRule>
  </conditionalFormatting>
  <conditionalFormatting sqref="F4">
    <cfRule type="expression" dxfId="1" priority="4">
      <formula>AND(ISNUMBER(F4),ROUND(F4,2)&lt;&gt;INT(ROUND(F4,2)))</formula>
    </cfRule>
  </conditionalFormatting>
  <conditionalFormatting sqref="F7">
    <cfRule type="expression" dxfId="0" priority="5">
      <formula>AND(ISNUMBER(F7),ROUND(F7,2)=INT(ROUND(F7,2)))</formula>
    </cfRule>
  </conditionalFormatting>
  <conditionalFormatting sqref="F7">
    <cfRule type="expression" dxfId="1" priority="6">
      <formula>AND(ISNUMBER(F7),ROUND(F7,2)&lt;&gt;INT(ROUND(F7,2)))</formula>
    </cfRule>
  </conditionalFormatting>
  <dataValidations>
    <dataValidation type="decimal" operator="greaterThanOrEqual" allowBlank="1" showInputMessage="1" showErrorMessage="1" prompt="יש להזין מספר לא שלילי" sqref="D4">
      <formula1>0.0</formula1>
    </dataValidation>
    <dataValidation type="custom" allowBlank="1" showInputMessage="1" showErrorMessage="1" prompt="מספר לא שלילי, כלול או לא רלוונטי בלבד" sqref="E4">
      <formula1>OR(ISBLANK(E4),AND(ISNUMBER(E4),E4&gt;=0),E4="כלול",E4="לא רלוונטי")</formula1>
    </dataValidation>
  </dataValidations>
  <printOptions/>
  <pageMargins bottom="0.75" footer="0.0" header="0.0" left="0.25" right="0.25" top="0.75"/>
  <pageSetup fitToHeight="0" paperSize="9" orientation="portrait"/>
  <headerFooter>
    <oddFooter>&amp;Cעמוד &amp;P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rightToLeft="1" workbookViewId="0"/>
  </sheetViews>
  <sheetFormatPr customHeight="1" defaultColWidth="14.43" defaultRowHeight="15.0"/>
  <cols>
    <col customWidth="1" min="1" max="1" width="7.29"/>
    <col customWidth="1" min="2" max="2" width="66.29"/>
    <col customWidth="1" min="3" max="6" width="8.14"/>
    <col customWidth="1" hidden="1" min="7" max="7" width="36.0"/>
    <col customWidth="1" hidden="1" min="8" max="8" width="12.0"/>
    <col customWidth="1" min="9" max="26" width="8.71"/>
  </cols>
  <sheetData>
    <row r="1" ht="31.5" customHeight="1">
      <c r="A1" s="10">
        <v>4.0</v>
      </c>
      <c r="B1" s="3" t="s">
        <v>35</v>
      </c>
      <c r="G1" s="2" t="s">
        <v>34</v>
      </c>
      <c r="H1" s="2" t="s">
        <v>53</v>
      </c>
    </row>
    <row r="2" ht="31.5" customHeight="1">
      <c r="A2" s="16" t="s">
        <v>59</v>
      </c>
      <c r="B2" s="17" t="s">
        <v>67</v>
      </c>
      <c r="C2" s="16" t="s">
        <v>72</v>
      </c>
      <c r="D2" s="16" t="s">
        <v>76</v>
      </c>
      <c r="E2" s="16" t="s">
        <v>79</v>
      </c>
      <c r="F2" s="16" t="s">
        <v>81</v>
      </c>
      <c r="G2" s="2"/>
      <c r="H2" s="2" t="s">
        <v>84</v>
      </c>
    </row>
    <row r="3" ht="81.0" customHeight="1">
      <c r="A3" s="19"/>
      <c r="B3" s="20" t="s">
        <v>214</v>
      </c>
      <c r="C3" s="19"/>
      <c r="D3" s="19"/>
      <c r="E3" s="19"/>
      <c r="F3" s="19"/>
      <c r="G3" s="12" t="s">
        <v>215</v>
      </c>
      <c r="H3" s="12" t="s">
        <v>105</v>
      </c>
    </row>
    <row r="4" ht="63.75" customHeight="1">
      <c r="A4" s="19" t="s">
        <v>216</v>
      </c>
      <c r="B4" s="20" t="s">
        <v>217</v>
      </c>
      <c r="C4" s="19" t="s">
        <v>108</v>
      </c>
      <c r="D4" s="19"/>
      <c r="E4" s="22"/>
      <c r="F4" s="22" t="str">
        <f>IF(ISBLANK(D4),"",IF(NOT(ISNUMBER(D4)),"קלט לא תקין",IF(D4&lt;0,"קלט לא תקין",IF(ISBLANK(E4),"",IF(OR(E4="כלול",E4="לא רלוונטי"),0,IF(NOT(ISNUMBER(E4)),"קלט לא תקין",IF(E4&lt;0,"קלט לא תקין",ROUND(D4*E4,2))))))))</f>
        <v/>
      </c>
      <c r="G4" s="12" t="s">
        <v>221</v>
      </c>
      <c r="H4" s="12" t="s">
        <v>113</v>
      </c>
    </row>
    <row r="5" ht="399.75" customHeight="1">
      <c r="A5" s="19"/>
      <c r="B5" s="20"/>
      <c r="C5" s="19"/>
      <c r="D5" s="19"/>
      <c r="E5" s="19"/>
      <c r="F5" s="19"/>
      <c r="G5" s="12"/>
      <c r="H5" s="12" t="s">
        <v>86</v>
      </c>
    </row>
    <row r="6" ht="78.0" customHeight="1">
      <c r="A6" s="19"/>
      <c r="B6" s="20"/>
      <c r="C6" s="19"/>
      <c r="D6" s="19"/>
      <c r="E6" s="19"/>
      <c r="F6" s="19"/>
      <c r="G6" s="12"/>
      <c r="H6" s="12" t="s">
        <v>86</v>
      </c>
    </row>
    <row r="7" ht="31.5" customHeight="1">
      <c r="A7" s="6"/>
      <c r="B7" s="7" t="s">
        <v>222</v>
      </c>
      <c r="C7" s="8"/>
      <c r="D7" s="8"/>
      <c r="E7" s="9"/>
      <c r="F7" s="23">
        <f>SUM(F4)</f>
        <v>0</v>
      </c>
      <c r="G7" s="12"/>
      <c r="H7" s="12" t="s">
        <v>136</v>
      </c>
    </row>
    <row r="8" ht="24.0" customHeight="1"/>
    <row r="9" ht="24.0" customHeight="1"/>
    <row r="10" ht="24.0" customHeight="1"/>
    <row r="11" ht="24.0" customHeight="1"/>
    <row r="12" ht="24.0" customHeight="1"/>
    <row r="13" ht="24.0" customHeight="1"/>
    <row r="14" ht="24.0" customHeight="1"/>
    <row r="15" ht="24.0" customHeight="1"/>
    <row r="16" ht="24.0" customHeight="1"/>
    <row r="17" ht="24.0" customHeight="1"/>
    <row r="18" ht="24.0" customHeight="1"/>
    <row r="19" ht="24.0" customHeight="1"/>
    <row r="20" ht="24.0" customHeight="1"/>
    <row r="21" ht="24.0" customHeight="1"/>
    <row r="22" ht="24.0" customHeight="1"/>
    <row r="23" ht="24.0" customHeight="1"/>
    <row r="24" ht="24.0" customHeight="1"/>
    <row r="25" ht="24.0" customHeight="1"/>
    <row r="26" ht="24.0" customHeight="1"/>
    <row r="27" ht="24.0" customHeight="1"/>
    <row r="28" ht="24.0" customHeight="1"/>
    <row r="29" ht="24.0" customHeight="1"/>
    <row r="30" ht="24.0" customHeight="1"/>
    <row r="31" ht="24.0" customHeight="1"/>
    <row r="32" ht="24.0" customHeight="1"/>
    <row r="33" ht="24.0" customHeight="1"/>
    <row r="34" ht="24.0" customHeight="1"/>
    <row r="35" ht="24.0" customHeight="1"/>
    <row r="36" ht="24.0" customHeight="1"/>
    <row r="37" ht="24.0" customHeight="1"/>
    <row r="38" ht="24.0" customHeight="1"/>
    <row r="39" ht="24.0" customHeight="1"/>
    <row r="40" ht="24.0" customHeight="1"/>
    <row r="41" ht="24.0" customHeight="1"/>
    <row r="42" ht="24.0" customHeight="1"/>
    <row r="43" ht="24.0" customHeight="1"/>
    <row r="44" ht="24.0" customHeight="1"/>
    <row r="45" ht="24.0" customHeight="1"/>
    <row r="46" ht="24.0" customHeight="1"/>
    <row r="47" ht="24.0" customHeight="1"/>
    <row r="48" ht="24.0" customHeight="1"/>
    <row r="49" ht="24.0" customHeight="1"/>
    <row r="50" ht="24.0" customHeight="1"/>
    <row r="51" ht="24.0" customHeight="1"/>
    <row r="52" ht="24.0" customHeight="1"/>
    <row r="53" ht="24.0" customHeight="1"/>
    <row r="54" ht="24.0" customHeight="1"/>
    <row r="55" ht="24.0" customHeight="1"/>
    <row r="56" ht="24.0" customHeight="1"/>
    <row r="57" ht="24.0" customHeight="1"/>
    <row r="58" ht="24.0" customHeight="1"/>
    <row r="59" ht="24.0" customHeight="1"/>
    <row r="60" ht="24.0" customHeight="1"/>
    <row r="61" ht="24.0" customHeight="1"/>
    <row r="62" ht="24.0" customHeight="1"/>
    <row r="63" ht="24.0" customHeight="1"/>
    <row r="64" ht="24.0" customHeight="1"/>
    <row r="65" ht="24.0" customHeight="1"/>
    <row r="66" ht="24.0" customHeight="1"/>
    <row r="67" ht="24.0" customHeight="1"/>
    <row r="68" ht="24.0" customHeight="1"/>
    <row r="69" ht="24.0" customHeight="1"/>
    <row r="70" ht="24.0" customHeight="1"/>
    <row r="71" ht="24.0" customHeight="1"/>
    <row r="72" ht="24.0" customHeight="1"/>
    <row r="73" ht="24.0" customHeight="1"/>
    <row r="74" ht="24.0" customHeight="1"/>
    <row r="75" ht="24.0" customHeight="1"/>
    <row r="76" ht="24.0" customHeight="1"/>
    <row r="77" ht="24.0" customHeight="1"/>
    <row r="78" ht="24.0" customHeight="1"/>
    <row r="79" ht="24.0" customHeight="1"/>
    <row r="80" ht="24.0" customHeight="1"/>
    <row r="81" ht="24.0" customHeight="1"/>
    <row r="82" ht="24.0" customHeight="1"/>
    <row r="83" ht="24.0" customHeight="1"/>
    <row r="84" ht="24.0" customHeight="1"/>
    <row r="85" ht="24.0" customHeight="1"/>
    <row r="86" ht="24.0" customHeight="1"/>
    <row r="87" ht="24.0" customHeight="1"/>
    <row r="88" ht="24.0" customHeight="1"/>
    <row r="89" ht="24.0" customHeight="1"/>
    <row r="90" ht="24.0" customHeight="1"/>
    <row r="91" ht="24.0" customHeight="1"/>
    <row r="92" ht="24.0" customHeight="1"/>
    <row r="93" ht="24.0" customHeight="1"/>
    <row r="94" ht="24.0" customHeight="1"/>
    <row r="95" ht="24.0" customHeight="1"/>
    <row r="96" ht="24.0" customHeight="1"/>
    <row r="97" ht="24.0" customHeight="1"/>
    <row r="98" ht="24.0" customHeight="1"/>
    <row r="99" ht="24.0" customHeight="1"/>
    <row r="100" ht="24.0" customHeight="1"/>
    <row r="101" ht="24.0" customHeight="1"/>
    <row r="102" ht="24.0" customHeight="1"/>
    <row r="103" ht="24.0" customHeight="1"/>
    <row r="104" ht="24.0" customHeight="1"/>
    <row r="105" ht="24.0" customHeight="1"/>
    <row r="106" ht="24.0" customHeight="1"/>
    <row r="107" ht="24.0" customHeight="1"/>
    <row r="108" ht="24.0" customHeight="1"/>
    <row r="109" ht="24.0" customHeight="1"/>
    <row r="110" ht="24.0" customHeight="1"/>
    <row r="111" ht="24.0" customHeight="1"/>
    <row r="112" ht="24.0" customHeight="1"/>
    <row r="113" ht="24.0" customHeight="1"/>
    <row r="114" ht="24.0" customHeight="1"/>
    <row r="115" ht="24.0" customHeight="1"/>
    <row r="116" ht="24.0" customHeight="1"/>
    <row r="117" ht="24.0" customHeight="1"/>
    <row r="118" ht="24.0" customHeight="1"/>
    <row r="119" ht="24.0" customHeight="1"/>
    <row r="120" ht="24.0" customHeight="1"/>
    <row r="121" ht="24.0" customHeight="1"/>
    <row r="122" ht="24.0" customHeight="1"/>
    <row r="123" ht="24.0" customHeight="1"/>
    <row r="124" ht="24.0" customHeight="1"/>
    <row r="125" ht="24.0" customHeight="1"/>
    <row r="126" ht="24.0" customHeight="1"/>
    <row r="127" ht="24.0" customHeight="1"/>
    <row r="128" ht="24.0" customHeight="1"/>
    <row r="129" ht="24.0" customHeight="1"/>
    <row r="130" ht="24.0" customHeight="1"/>
    <row r="131" ht="24.0" customHeight="1"/>
    <row r="132" ht="24.0" customHeight="1"/>
    <row r="133" ht="24.0" customHeight="1"/>
    <row r="134" ht="24.0" customHeight="1"/>
    <row r="135" ht="24.0" customHeight="1"/>
    <row r="136" ht="24.0" customHeight="1"/>
    <row r="137" ht="24.0" customHeight="1"/>
    <row r="138" ht="24.0" customHeight="1"/>
    <row r="139" ht="24.0" customHeight="1"/>
    <row r="140" ht="24.0" customHeight="1"/>
    <row r="141" ht="24.0" customHeight="1"/>
    <row r="142" ht="24.0" customHeight="1"/>
    <row r="143" ht="24.0" customHeight="1"/>
    <row r="144" ht="24.0" customHeight="1"/>
    <row r="145" ht="24.0" customHeight="1"/>
    <row r="146" ht="24.0" customHeight="1"/>
    <row r="147" ht="24.0" customHeight="1"/>
    <row r="148" ht="24.0" customHeight="1"/>
    <row r="149" ht="24.0" customHeight="1"/>
    <row r="150" ht="24.0" customHeight="1"/>
    <row r="151" ht="24.0" customHeight="1"/>
    <row r="152" ht="24.0" customHeight="1"/>
    <row r="153" ht="24.0" customHeight="1"/>
    <row r="154" ht="24.0" customHeight="1"/>
    <row r="155" ht="24.0" customHeight="1"/>
    <row r="156" ht="24.0" customHeight="1"/>
    <row r="157" ht="24.0" customHeight="1"/>
    <row r="158" ht="24.0" customHeight="1"/>
    <row r="159" ht="24.0" customHeight="1"/>
    <row r="160" ht="24.0" customHeight="1"/>
    <row r="161" ht="24.0" customHeight="1"/>
    <row r="162" ht="24.0" customHeight="1"/>
    <row r="163" ht="24.0" customHeight="1"/>
    <row r="164" ht="24.0" customHeight="1"/>
    <row r="165" ht="24.0" customHeight="1"/>
    <row r="166" ht="24.0" customHeight="1"/>
    <row r="167" ht="24.0" customHeight="1"/>
    <row r="168" ht="24.0" customHeight="1"/>
    <row r="169" ht="24.0" customHeight="1"/>
    <row r="170" ht="24.0" customHeight="1"/>
    <row r="171" ht="24.0" customHeight="1"/>
    <row r="172" ht="24.0" customHeight="1"/>
    <row r="173" ht="24.0" customHeight="1"/>
    <row r="174" ht="24.0" customHeight="1"/>
    <row r="175" ht="24.0" customHeight="1"/>
    <row r="176" ht="24.0" customHeight="1"/>
    <row r="177" ht="24.0" customHeight="1"/>
    <row r="178" ht="24.0" customHeight="1"/>
    <row r="179" ht="24.0" customHeight="1"/>
    <row r="180" ht="24.0" customHeight="1"/>
    <row r="181" ht="24.0" customHeight="1"/>
    <row r="182" ht="24.0" customHeight="1"/>
    <row r="183" ht="24.0" customHeight="1"/>
    <row r="184" ht="24.0" customHeight="1"/>
    <row r="185" ht="24.0" customHeight="1"/>
    <row r="186" ht="24.0" customHeight="1"/>
    <row r="187" ht="24.0" customHeight="1"/>
    <row r="188" ht="24.0" customHeight="1"/>
    <row r="189" ht="24.0" customHeight="1"/>
    <row r="190" ht="24.0" customHeight="1"/>
    <row r="191" ht="24.0" customHeight="1"/>
    <row r="192" ht="24.0" customHeight="1"/>
    <row r="193" ht="24.0" customHeight="1"/>
    <row r="194" ht="24.0" customHeight="1"/>
    <row r="195" ht="24.0" customHeight="1"/>
    <row r="196" ht="24.0" customHeight="1"/>
    <row r="197" ht="24.0" customHeight="1"/>
    <row r="198" ht="24.0" customHeight="1"/>
    <row r="199" ht="24.0" customHeight="1"/>
    <row r="200" ht="24.0" customHeight="1"/>
    <row r="201" ht="24.0" customHeight="1"/>
    <row r="202" ht="24.0" customHeight="1"/>
    <row r="203" ht="24.0" customHeight="1"/>
    <row r="204" ht="24.0" customHeight="1"/>
    <row r="205" ht="24.0" customHeight="1"/>
    <row r="206" ht="24.0" customHeight="1"/>
    <row r="207" ht="24.0" customHeight="1"/>
    <row r="208" ht="24.0" customHeight="1"/>
    <row r="209" ht="24.0" customHeight="1"/>
    <row r="210" ht="24.0" customHeight="1"/>
    <row r="211" ht="24.0" customHeight="1"/>
    <row r="212" ht="24.0" customHeight="1"/>
    <row r="213" ht="24.0" customHeight="1"/>
    <row r="214" ht="24.0" customHeight="1"/>
    <row r="215" ht="24.0" customHeight="1"/>
    <row r="216" ht="24.0" customHeight="1"/>
    <row r="217" ht="24.0" customHeight="1"/>
    <row r="218" ht="24.0" customHeight="1"/>
    <row r="219" ht="24.0" customHeight="1"/>
    <row r="220" ht="24.0" customHeight="1"/>
    <row r="221" ht="24.0" customHeight="1"/>
    <row r="222" ht="24.0" customHeight="1"/>
    <row r="223" ht="24.0" customHeight="1"/>
    <row r="224" ht="24.0" customHeight="1"/>
    <row r="225" ht="24.0" customHeight="1"/>
    <row r="226" ht="24.0" customHeight="1"/>
    <row r="227" ht="24.0" customHeight="1"/>
    <row r="228" ht="24.0" customHeight="1"/>
    <row r="229" ht="24.0" customHeight="1"/>
    <row r="230" ht="24.0" customHeight="1"/>
    <row r="231" ht="24.0" customHeight="1"/>
    <row r="232" ht="24.0" customHeight="1"/>
    <row r="233" ht="24.0" customHeight="1"/>
    <row r="234" ht="24.0" customHeight="1"/>
    <row r="235" ht="24.0" customHeight="1"/>
    <row r="236" ht="24.0" customHeight="1"/>
    <row r="237" ht="24.0" customHeight="1"/>
    <row r="238" ht="24.0" customHeight="1"/>
    <row r="239" ht="24.0" customHeight="1"/>
    <row r="240" ht="24.0" customHeight="1"/>
    <row r="241" ht="24.0" customHeight="1"/>
    <row r="242" ht="24.0" customHeight="1"/>
    <row r="243" ht="24.0" customHeight="1"/>
    <row r="244" ht="24.0" customHeight="1"/>
    <row r="245" ht="24.0" customHeight="1"/>
    <row r="246" ht="24.0" customHeight="1"/>
    <row r="247" ht="24.0" customHeight="1"/>
    <row r="248" ht="24.0" customHeight="1"/>
    <row r="249" ht="24.0" customHeight="1"/>
    <row r="250" ht="24.0" customHeight="1"/>
    <row r="251" ht="24.0" customHeight="1"/>
    <row r="252" ht="24.0" customHeight="1"/>
    <row r="253" ht="24.0" customHeight="1"/>
    <row r="254" ht="24.0" customHeight="1"/>
    <row r="255" ht="24.0" customHeight="1"/>
    <row r="256" ht="24.0" customHeight="1"/>
    <row r="257" ht="24.0" customHeight="1"/>
    <row r="258" ht="24.0" customHeight="1"/>
    <row r="259" ht="24.0" customHeight="1"/>
    <row r="260" ht="24.0" customHeight="1"/>
    <row r="261" ht="24.0" customHeight="1"/>
    <row r="262" ht="24.0" customHeight="1"/>
    <row r="263" ht="24.0" customHeight="1"/>
    <row r="264" ht="24.0" customHeight="1"/>
    <row r="265" ht="24.0" customHeight="1"/>
    <row r="266" ht="24.0" customHeight="1"/>
    <row r="267" ht="24.0" customHeight="1"/>
    <row r="268" ht="24.0" customHeight="1"/>
    <row r="269" ht="24.0" customHeight="1"/>
    <row r="270" ht="24.0" customHeight="1"/>
    <row r="271" ht="24.0" customHeight="1"/>
    <row r="272" ht="24.0" customHeight="1"/>
    <row r="273" ht="24.0" customHeight="1"/>
    <row r="274" ht="24.0" customHeight="1"/>
    <row r="275" ht="24.0" customHeight="1"/>
    <row r="276" ht="24.0" customHeight="1"/>
    <row r="277" ht="24.0" customHeight="1"/>
    <row r="278" ht="24.0" customHeight="1"/>
    <row r="279" ht="24.0" customHeight="1"/>
    <row r="280" ht="24.0" customHeight="1"/>
    <row r="281" ht="24.0" customHeight="1"/>
    <row r="282" ht="24.0" customHeight="1"/>
    <row r="283" ht="24.0" customHeight="1"/>
    <row r="284" ht="24.0" customHeight="1"/>
    <row r="285" ht="24.0" customHeight="1"/>
    <row r="286" ht="24.0" customHeight="1"/>
    <row r="287" ht="24.0" customHeight="1"/>
    <row r="288" ht="24.0" customHeight="1"/>
    <row r="289" ht="24.0" customHeight="1"/>
    <row r="290" ht="24.0" customHeight="1"/>
    <row r="291" ht="24.0" customHeight="1"/>
    <row r="292" ht="24.0" customHeight="1"/>
    <row r="293" ht="24.0" customHeight="1"/>
    <row r="294" ht="24.0" customHeight="1"/>
    <row r="295" ht="24.0" customHeight="1"/>
    <row r="296" ht="24.0" customHeight="1"/>
    <row r="297" ht="24.0" customHeight="1"/>
    <row r="298" ht="24.0" customHeight="1"/>
    <row r="299" ht="24.0" customHeight="1"/>
    <row r="300" ht="24.0" customHeight="1"/>
    <row r="301" ht="24.0" customHeight="1"/>
    <row r="302" ht="24.0" customHeight="1"/>
    <row r="303" ht="24.0" customHeight="1"/>
    <row r="304" ht="24.0" customHeight="1"/>
    <row r="305" ht="24.0" customHeight="1"/>
    <row r="306" ht="24.0" customHeight="1"/>
    <row r="307" ht="24.0" customHeight="1"/>
    <row r="308" ht="24.0" customHeight="1"/>
    <row r="309" ht="24.0" customHeight="1"/>
    <row r="310" ht="24.0" customHeight="1"/>
    <row r="311" ht="24.0" customHeight="1"/>
    <row r="312" ht="24.0" customHeight="1"/>
    <row r="313" ht="24.0" customHeight="1"/>
    <row r="314" ht="24.0" customHeight="1"/>
    <row r="315" ht="24.0" customHeight="1"/>
    <row r="316" ht="24.0" customHeight="1"/>
    <row r="317" ht="24.0" customHeight="1"/>
    <row r="318" ht="24.0" customHeight="1"/>
    <row r="319" ht="24.0" customHeight="1"/>
    <row r="320" ht="24.0" customHeight="1"/>
    <row r="321" ht="24.0" customHeight="1"/>
    <row r="322" ht="24.0" customHeight="1"/>
    <row r="323" ht="24.0" customHeight="1"/>
    <row r="324" ht="24.0" customHeight="1"/>
    <row r="325" ht="24.0" customHeight="1"/>
    <row r="326" ht="24.0" customHeight="1"/>
    <row r="327" ht="24.0" customHeight="1"/>
    <row r="328" ht="24.0" customHeight="1"/>
    <row r="329" ht="24.0" customHeight="1"/>
    <row r="330" ht="24.0" customHeight="1"/>
    <row r="331" ht="24.0" customHeight="1"/>
    <row r="332" ht="24.0" customHeight="1"/>
    <row r="333" ht="24.0" customHeight="1"/>
    <row r="334" ht="24.0" customHeight="1"/>
    <row r="335" ht="24.0" customHeight="1"/>
    <row r="336" ht="24.0" customHeight="1"/>
    <row r="337" ht="24.0" customHeight="1"/>
    <row r="338" ht="24.0" customHeight="1"/>
    <row r="339" ht="24.0" customHeight="1"/>
    <row r="340" ht="24.0" customHeight="1"/>
    <row r="341" ht="24.0" customHeight="1"/>
    <row r="342" ht="24.0" customHeight="1"/>
    <row r="343" ht="24.0" customHeight="1"/>
    <row r="344" ht="24.0" customHeight="1"/>
    <row r="345" ht="24.0" customHeight="1"/>
    <row r="346" ht="24.0" customHeight="1"/>
    <row r="347" ht="24.0" customHeight="1"/>
    <row r="348" ht="24.0" customHeight="1"/>
    <row r="349" ht="24.0" customHeight="1"/>
    <row r="350" ht="24.0" customHeight="1"/>
    <row r="351" ht="24.0" customHeight="1"/>
    <row r="352" ht="24.0" customHeight="1"/>
    <row r="353" ht="24.0" customHeight="1"/>
    <row r="354" ht="24.0" customHeight="1"/>
    <row r="355" ht="24.0" customHeight="1"/>
    <row r="356" ht="24.0" customHeight="1"/>
    <row r="357" ht="24.0" customHeight="1"/>
    <row r="358" ht="24.0" customHeight="1"/>
    <row r="359" ht="24.0" customHeight="1"/>
    <row r="360" ht="24.0" customHeight="1"/>
    <row r="361" ht="24.0" customHeight="1"/>
    <row r="362" ht="24.0" customHeight="1"/>
    <row r="363" ht="24.0" customHeight="1"/>
    <row r="364" ht="24.0" customHeight="1"/>
    <row r="365" ht="24.0" customHeight="1"/>
    <row r="366" ht="24.0" customHeight="1"/>
    <row r="367" ht="24.0" customHeight="1"/>
    <row r="368" ht="24.0" customHeight="1"/>
    <row r="369" ht="24.0" customHeight="1"/>
    <row r="370" ht="24.0" customHeight="1"/>
    <row r="371" ht="24.0" customHeight="1"/>
    <row r="372" ht="24.0" customHeight="1"/>
    <row r="373" ht="24.0" customHeight="1"/>
    <row r="374" ht="24.0" customHeight="1"/>
    <row r="375" ht="24.0" customHeight="1"/>
    <row r="376" ht="24.0" customHeight="1"/>
    <row r="377" ht="24.0" customHeight="1"/>
    <row r="378" ht="24.0" customHeight="1"/>
    <row r="379" ht="24.0" customHeight="1"/>
    <row r="380" ht="24.0" customHeight="1"/>
    <row r="381" ht="24.0" customHeight="1"/>
    <row r="382" ht="24.0" customHeight="1"/>
    <row r="383" ht="24.0" customHeight="1"/>
    <row r="384" ht="24.0" customHeight="1"/>
    <row r="385" ht="24.0" customHeight="1"/>
    <row r="386" ht="24.0" customHeight="1"/>
    <row r="387" ht="24.0" customHeight="1"/>
    <row r="388" ht="24.0" customHeight="1"/>
    <row r="389" ht="24.0" customHeight="1"/>
    <row r="390" ht="24.0" customHeight="1"/>
    <row r="391" ht="24.0" customHeight="1"/>
    <row r="392" ht="24.0" customHeight="1"/>
    <row r="393" ht="24.0" customHeight="1"/>
    <row r="394" ht="24.0" customHeight="1"/>
    <row r="395" ht="24.0" customHeight="1"/>
    <row r="396" ht="24.0" customHeight="1"/>
    <row r="397" ht="24.0" customHeight="1"/>
    <row r="398" ht="24.0" customHeight="1"/>
    <row r="399" ht="24.0" customHeight="1"/>
    <row r="400" ht="24.0" customHeight="1"/>
    <row r="401" ht="24.0" customHeight="1"/>
    <row r="402" ht="24.0" customHeight="1"/>
    <row r="403" ht="24.0" customHeight="1"/>
    <row r="404" ht="24.0" customHeight="1"/>
    <row r="405" ht="24.0" customHeight="1"/>
    <row r="406" ht="24.0" customHeight="1"/>
    <row r="407" ht="24.0" customHeight="1"/>
    <row r="408" ht="24.0" customHeight="1"/>
    <row r="409" ht="24.0" customHeight="1"/>
    <row r="410" ht="24.0" customHeight="1"/>
    <row r="411" ht="24.0" customHeight="1"/>
    <row r="412" ht="24.0" customHeight="1"/>
    <row r="413" ht="24.0" customHeight="1"/>
    <row r="414" ht="24.0" customHeight="1"/>
    <row r="415" ht="24.0" customHeight="1"/>
    <row r="416" ht="24.0" customHeight="1"/>
    <row r="417" ht="24.0" customHeight="1"/>
    <row r="418" ht="24.0" customHeight="1"/>
    <row r="419" ht="24.0" customHeight="1"/>
    <row r="420" ht="24.0" customHeight="1"/>
    <row r="421" ht="24.0" customHeight="1"/>
    <row r="422" ht="24.0" customHeight="1"/>
    <row r="423" ht="24.0" customHeight="1"/>
    <row r="424" ht="24.0" customHeight="1"/>
    <row r="425" ht="24.0" customHeight="1"/>
    <row r="426" ht="24.0" customHeight="1"/>
    <row r="427" ht="24.0" customHeight="1"/>
    <row r="428" ht="24.0" customHeight="1"/>
    <row r="429" ht="24.0" customHeight="1"/>
    <row r="430" ht="24.0" customHeight="1"/>
    <row r="431" ht="24.0" customHeight="1"/>
    <row r="432" ht="24.0" customHeight="1"/>
    <row r="433" ht="24.0" customHeight="1"/>
    <row r="434" ht="24.0" customHeight="1"/>
    <row r="435" ht="24.0" customHeight="1"/>
    <row r="436" ht="24.0" customHeight="1"/>
    <row r="437" ht="24.0" customHeight="1"/>
    <row r="438" ht="24.0" customHeight="1"/>
    <row r="439" ht="24.0" customHeight="1"/>
    <row r="440" ht="24.0" customHeight="1"/>
    <row r="441" ht="24.0" customHeight="1"/>
    <row r="442" ht="24.0" customHeight="1"/>
    <row r="443" ht="24.0" customHeight="1"/>
    <row r="444" ht="24.0" customHeight="1"/>
    <row r="445" ht="24.0" customHeight="1"/>
    <row r="446" ht="24.0" customHeight="1"/>
    <row r="447" ht="24.0" customHeight="1"/>
    <row r="448" ht="24.0" customHeight="1"/>
    <row r="449" ht="24.0" customHeight="1"/>
    <row r="450" ht="24.0" customHeight="1"/>
    <row r="451" ht="24.0" customHeight="1"/>
    <row r="452" ht="24.0" customHeight="1"/>
    <row r="453" ht="24.0" customHeight="1"/>
    <row r="454" ht="24.0" customHeight="1"/>
    <row r="455" ht="24.0" customHeight="1"/>
    <row r="456" ht="24.0" customHeight="1"/>
    <row r="457" ht="24.0" customHeight="1"/>
    <row r="458" ht="24.0" customHeight="1"/>
    <row r="459" ht="24.0" customHeight="1"/>
    <row r="460" ht="24.0" customHeight="1"/>
    <row r="461" ht="24.0" customHeight="1"/>
    <row r="462" ht="24.0" customHeight="1"/>
    <row r="463" ht="24.0" customHeight="1"/>
    <row r="464" ht="24.0" customHeight="1"/>
    <row r="465" ht="24.0" customHeight="1"/>
    <row r="466" ht="24.0" customHeight="1"/>
    <row r="467" ht="24.0" customHeight="1"/>
    <row r="468" ht="24.0" customHeight="1"/>
    <row r="469" ht="24.0" customHeight="1"/>
    <row r="470" ht="24.0" customHeight="1"/>
    <row r="471" ht="24.0" customHeight="1"/>
    <row r="472" ht="24.0" customHeight="1"/>
    <row r="473" ht="24.0" customHeight="1"/>
    <row r="474" ht="24.0" customHeight="1"/>
    <row r="475" ht="24.0" customHeight="1"/>
    <row r="476" ht="24.0" customHeight="1"/>
    <row r="477" ht="24.0" customHeight="1"/>
    <row r="478" ht="24.0" customHeight="1"/>
    <row r="479" ht="24.0" customHeight="1"/>
    <row r="480" ht="24.0" customHeight="1"/>
    <row r="481" ht="24.0" customHeight="1"/>
    <row r="482" ht="24.0" customHeight="1"/>
    <row r="483" ht="24.0" customHeight="1"/>
    <row r="484" ht="24.0" customHeight="1"/>
    <row r="485" ht="24.0" customHeight="1"/>
    <row r="486" ht="24.0" customHeight="1"/>
    <row r="487" ht="24.0" customHeight="1"/>
    <row r="488" ht="24.0" customHeight="1"/>
    <row r="489" ht="24.0" customHeight="1"/>
    <row r="490" ht="24.0" customHeight="1"/>
    <row r="491" ht="24.0" customHeight="1"/>
    <row r="492" ht="24.0" customHeight="1"/>
    <row r="493" ht="24.0" customHeight="1"/>
    <row r="494" ht="24.0" customHeight="1"/>
    <row r="495" ht="24.0" customHeight="1"/>
    <row r="496" ht="24.0" customHeight="1"/>
    <row r="497" ht="24.0" customHeight="1"/>
    <row r="498" ht="24.0" customHeight="1"/>
    <row r="499" ht="24.0" customHeight="1"/>
    <row r="500" ht="24.0" customHeight="1"/>
    <row r="501" ht="24.0" customHeight="1"/>
    <row r="502" ht="24.0" customHeight="1"/>
    <row r="503" ht="24.0" customHeight="1"/>
    <row r="504" ht="24.0" customHeight="1"/>
    <row r="505" ht="24.0" customHeight="1"/>
    <row r="506" ht="24.0" customHeight="1"/>
    <row r="507" ht="24.0" customHeight="1"/>
    <row r="508" ht="24.0" customHeight="1"/>
    <row r="509" ht="24.0" customHeight="1"/>
    <row r="510" ht="24.0" customHeight="1"/>
    <row r="511" ht="24.0" customHeight="1"/>
    <row r="512" ht="24.0" customHeight="1"/>
    <row r="513" ht="24.0" customHeight="1"/>
    <row r="514" ht="24.0" customHeight="1"/>
    <row r="515" ht="24.0" customHeight="1"/>
    <row r="516" ht="24.0" customHeight="1"/>
    <row r="517" ht="24.0" customHeight="1"/>
    <row r="518" ht="24.0" customHeight="1"/>
    <row r="519" ht="24.0" customHeight="1"/>
    <row r="520" ht="24.0" customHeight="1"/>
    <row r="521" ht="24.0" customHeight="1"/>
    <row r="522" ht="24.0" customHeight="1"/>
    <row r="523" ht="24.0" customHeight="1"/>
    <row r="524" ht="24.0" customHeight="1"/>
    <row r="525" ht="24.0" customHeight="1"/>
    <row r="526" ht="24.0" customHeight="1"/>
    <row r="527" ht="24.0" customHeight="1"/>
    <row r="528" ht="24.0" customHeight="1"/>
    <row r="529" ht="24.0" customHeight="1"/>
    <row r="530" ht="24.0" customHeight="1"/>
    <row r="531" ht="24.0" customHeight="1"/>
    <row r="532" ht="24.0" customHeight="1"/>
    <row r="533" ht="24.0" customHeight="1"/>
    <row r="534" ht="24.0" customHeight="1"/>
    <row r="535" ht="24.0" customHeight="1"/>
    <row r="536" ht="24.0" customHeight="1"/>
    <row r="537" ht="24.0" customHeight="1"/>
    <row r="538" ht="24.0" customHeight="1"/>
    <row r="539" ht="24.0" customHeight="1"/>
    <row r="540" ht="24.0" customHeight="1"/>
    <row r="541" ht="24.0" customHeight="1"/>
    <row r="542" ht="24.0" customHeight="1"/>
    <row r="543" ht="24.0" customHeight="1"/>
    <row r="544" ht="24.0" customHeight="1"/>
    <row r="545" ht="24.0" customHeight="1"/>
    <row r="546" ht="24.0" customHeight="1"/>
    <row r="547" ht="24.0" customHeight="1"/>
    <row r="548" ht="24.0" customHeight="1"/>
    <row r="549" ht="24.0" customHeight="1"/>
    <row r="550" ht="24.0" customHeight="1"/>
    <row r="551" ht="24.0" customHeight="1"/>
    <row r="552" ht="24.0" customHeight="1"/>
    <row r="553" ht="24.0" customHeight="1"/>
    <row r="554" ht="24.0" customHeight="1"/>
    <row r="555" ht="24.0" customHeight="1"/>
    <row r="556" ht="24.0" customHeight="1"/>
    <row r="557" ht="24.0" customHeight="1"/>
    <row r="558" ht="24.0" customHeight="1"/>
    <row r="559" ht="24.0" customHeight="1"/>
    <row r="560" ht="24.0" customHeight="1"/>
    <row r="561" ht="24.0" customHeight="1"/>
    <row r="562" ht="24.0" customHeight="1"/>
    <row r="563" ht="24.0" customHeight="1"/>
    <row r="564" ht="24.0" customHeight="1"/>
    <row r="565" ht="24.0" customHeight="1"/>
    <row r="566" ht="24.0" customHeight="1"/>
    <row r="567" ht="24.0" customHeight="1"/>
    <row r="568" ht="24.0" customHeight="1"/>
    <row r="569" ht="24.0" customHeight="1"/>
    <row r="570" ht="24.0" customHeight="1"/>
    <row r="571" ht="24.0" customHeight="1"/>
    <row r="572" ht="24.0" customHeight="1"/>
    <row r="573" ht="24.0" customHeight="1"/>
    <row r="574" ht="24.0" customHeight="1"/>
    <row r="575" ht="24.0" customHeight="1"/>
    <row r="576" ht="24.0" customHeight="1"/>
    <row r="577" ht="24.0" customHeight="1"/>
    <row r="578" ht="24.0" customHeight="1"/>
    <row r="579" ht="24.0" customHeight="1"/>
    <row r="580" ht="24.0" customHeight="1"/>
    <row r="581" ht="24.0" customHeight="1"/>
    <row r="582" ht="24.0" customHeight="1"/>
    <row r="583" ht="24.0" customHeight="1"/>
    <row r="584" ht="24.0" customHeight="1"/>
    <row r="585" ht="24.0" customHeight="1"/>
    <row r="586" ht="24.0" customHeight="1"/>
    <row r="587" ht="24.0" customHeight="1"/>
    <row r="588" ht="24.0" customHeight="1"/>
    <row r="589" ht="24.0" customHeight="1"/>
    <row r="590" ht="24.0" customHeight="1"/>
    <row r="591" ht="24.0" customHeight="1"/>
    <row r="592" ht="24.0" customHeight="1"/>
    <row r="593" ht="24.0" customHeight="1"/>
    <row r="594" ht="24.0" customHeight="1"/>
    <row r="595" ht="24.0" customHeight="1"/>
    <row r="596" ht="24.0" customHeight="1"/>
    <row r="597" ht="24.0" customHeight="1"/>
    <row r="598" ht="24.0" customHeight="1"/>
    <row r="599" ht="24.0" customHeight="1"/>
    <row r="600" ht="24.0" customHeight="1"/>
    <row r="601" ht="24.0" customHeight="1"/>
    <row r="602" ht="24.0" customHeight="1"/>
    <row r="603" ht="24.0" customHeight="1"/>
    <row r="604" ht="24.0" customHeight="1"/>
    <row r="605" ht="24.0" customHeight="1"/>
    <row r="606" ht="24.0" customHeight="1"/>
    <row r="607" ht="24.0" customHeight="1"/>
    <row r="608" ht="24.0" customHeight="1"/>
    <row r="609" ht="24.0" customHeight="1"/>
    <row r="610" ht="24.0" customHeight="1"/>
    <row r="611" ht="24.0" customHeight="1"/>
    <row r="612" ht="24.0" customHeight="1"/>
    <row r="613" ht="24.0" customHeight="1"/>
    <row r="614" ht="24.0" customHeight="1"/>
    <row r="615" ht="24.0" customHeight="1"/>
    <row r="616" ht="24.0" customHeight="1"/>
    <row r="617" ht="24.0" customHeight="1"/>
    <row r="618" ht="24.0" customHeight="1"/>
    <row r="619" ht="24.0" customHeight="1"/>
    <row r="620" ht="24.0" customHeight="1"/>
    <row r="621" ht="24.0" customHeight="1"/>
    <row r="622" ht="24.0" customHeight="1"/>
    <row r="623" ht="24.0" customHeight="1"/>
    <row r="624" ht="24.0" customHeight="1"/>
    <row r="625" ht="24.0" customHeight="1"/>
    <row r="626" ht="24.0" customHeight="1"/>
    <row r="627" ht="24.0" customHeight="1"/>
    <row r="628" ht="24.0" customHeight="1"/>
    <row r="629" ht="24.0" customHeight="1"/>
    <row r="630" ht="24.0" customHeight="1"/>
    <row r="631" ht="24.0" customHeight="1"/>
    <row r="632" ht="24.0" customHeight="1"/>
    <row r="633" ht="24.0" customHeight="1"/>
    <row r="634" ht="24.0" customHeight="1"/>
    <row r="635" ht="24.0" customHeight="1"/>
    <row r="636" ht="24.0" customHeight="1"/>
    <row r="637" ht="24.0" customHeight="1"/>
    <row r="638" ht="24.0" customHeight="1"/>
    <row r="639" ht="24.0" customHeight="1"/>
    <row r="640" ht="24.0" customHeight="1"/>
    <row r="641" ht="24.0" customHeight="1"/>
    <row r="642" ht="24.0" customHeight="1"/>
    <row r="643" ht="24.0" customHeight="1"/>
    <row r="644" ht="24.0" customHeight="1"/>
    <row r="645" ht="24.0" customHeight="1"/>
    <row r="646" ht="24.0" customHeight="1"/>
    <row r="647" ht="24.0" customHeight="1"/>
    <row r="648" ht="24.0" customHeight="1"/>
    <row r="649" ht="24.0" customHeight="1"/>
    <row r="650" ht="24.0" customHeight="1"/>
    <row r="651" ht="24.0" customHeight="1"/>
    <row r="652" ht="24.0" customHeight="1"/>
    <row r="653" ht="24.0" customHeight="1"/>
    <row r="654" ht="24.0" customHeight="1"/>
    <row r="655" ht="24.0" customHeight="1"/>
    <row r="656" ht="24.0" customHeight="1"/>
    <row r="657" ht="24.0" customHeight="1"/>
    <row r="658" ht="24.0" customHeight="1"/>
    <row r="659" ht="24.0" customHeight="1"/>
    <row r="660" ht="24.0" customHeight="1"/>
    <row r="661" ht="24.0" customHeight="1"/>
    <row r="662" ht="24.0" customHeight="1"/>
    <row r="663" ht="24.0" customHeight="1"/>
    <row r="664" ht="24.0" customHeight="1"/>
    <row r="665" ht="24.0" customHeight="1"/>
    <row r="666" ht="24.0" customHeight="1"/>
    <row r="667" ht="24.0" customHeight="1"/>
    <row r="668" ht="24.0" customHeight="1"/>
    <row r="669" ht="24.0" customHeight="1"/>
    <row r="670" ht="24.0" customHeight="1"/>
    <row r="671" ht="24.0" customHeight="1"/>
    <row r="672" ht="24.0" customHeight="1"/>
    <row r="673" ht="24.0" customHeight="1"/>
    <row r="674" ht="24.0" customHeight="1"/>
    <row r="675" ht="24.0" customHeight="1"/>
    <row r="676" ht="24.0" customHeight="1"/>
    <row r="677" ht="24.0" customHeight="1"/>
    <row r="678" ht="24.0" customHeight="1"/>
    <row r="679" ht="24.0" customHeight="1"/>
    <row r="680" ht="24.0" customHeight="1"/>
    <row r="681" ht="24.0" customHeight="1"/>
    <row r="682" ht="24.0" customHeight="1"/>
    <row r="683" ht="24.0" customHeight="1"/>
    <row r="684" ht="24.0" customHeight="1"/>
    <row r="685" ht="24.0" customHeight="1"/>
    <row r="686" ht="24.0" customHeight="1"/>
    <row r="687" ht="24.0" customHeight="1"/>
    <row r="688" ht="24.0" customHeight="1"/>
    <row r="689" ht="24.0" customHeight="1"/>
    <row r="690" ht="24.0" customHeight="1"/>
    <row r="691" ht="24.0" customHeight="1"/>
    <row r="692" ht="24.0" customHeight="1"/>
    <row r="693" ht="24.0" customHeight="1"/>
    <row r="694" ht="24.0" customHeight="1"/>
    <row r="695" ht="24.0" customHeight="1"/>
    <row r="696" ht="24.0" customHeight="1"/>
    <row r="697" ht="24.0" customHeight="1"/>
    <row r="698" ht="24.0" customHeight="1"/>
    <row r="699" ht="24.0" customHeight="1"/>
    <row r="700" ht="24.0" customHeight="1"/>
    <row r="701" ht="24.0" customHeight="1"/>
    <row r="702" ht="24.0" customHeight="1"/>
    <row r="703" ht="24.0" customHeight="1"/>
    <row r="704" ht="24.0" customHeight="1"/>
    <row r="705" ht="24.0" customHeight="1"/>
    <row r="706" ht="24.0" customHeight="1"/>
    <row r="707" ht="24.0" customHeight="1"/>
    <row r="708" ht="24.0" customHeight="1"/>
    <row r="709" ht="24.0" customHeight="1"/>
    <row r="710" ht="24.0" customHeight="1"/>
    <row r="711" ht="24.0" customHeight="1"/>
    <row r="712" ht="24.0" customHeight="1"/>
    <row r="713" ht="24.0" customHeight="1"/>
    <row r="714" ht="24.0" customHeight="1"/>
    <row r="715" ht="24.0" customHeight="1"/>
    <row r="716" ht="24.0" customHeight="1"/>
    <row r="717" ht="24.0" customHeight="1"/>
    <row r="718" ht="24.0" customHeight="1"/>
    <row r="719" ht="24.0" customHeight="1"/>
    <row r="720" ht="24.0" customHeight="1"/>
    <row r="721" ht="24.0" customHeight="1"/>
    <row r="722" ht="24.0" customHeight="1"/>
    <row r="723" ht="24.0" customHeight="1"/>
    <row r="724" ht="24.0" customHeight="1"/>
    <row r="725" ht="24.0" customHeight="1"/>
    <row r="726" ht="24.0" customHeight="1"/>
    <row r="727" ht="24.0" customHeight="1"/>
    <row r="728" ht="24.0" customHeight="1"/>
    <row r="729" ht="24.0" customHeight="1"/>
    <row r="730" ht="24.0" customHeight="1"/>
    <row r="731" ht="24.0" customHeight="1"/>
    <row r="732" ht="24.0" customHeight="1"/>
    <row r="733" ht="24.0" customHeight="1"/>
    <row r="734" ht="24.0" customHeight="1"/>
    <row r="735" ht="24.0" customHeight="1"/>
    <row r="736" ht="24.0" customHeight="1"/>
    <row r="737" ht="24.0" customHeight="1"/>
    <row r="738" ht="24.0" customHeight="1"/>
    <row r="739" ht="24.0" customHeight="1"/>
    <row r="740" ht="24.0" customHeight="1"/>
    <row r="741" ht="24.0" customHeight="1"/>
    <row r="742" ht="24.0" customHeight="1"/>
    <row r="743" ht="24.0" customHeight="1"/>
    <row r="744" ht="24.0" customHeight="1"/>
    <row r="745" ht="24.0" customHeight="1"/>
    <row r="746" ht="24.0" customHeight="1"/>
    <row r="747" ht="24.0" customHeight="1"/>
    <row r="748" ht="24.0" customHeight="1"/>
    <row r="749" ht="24.0" customHeight="1"/>
    <row r="750" ht="24.0" customHeight="1"/>
    <row r="751" ht="24.0" customHeight="1"/>
    <row r="752" ht="24.0" customHeight="1"/>
    <row r="753" ht="24.0" customHeight="1"/>
    <row r="754" ht="24.0" customHeight="1"/>
    <row r="755" ht="24.0" customHeight="1"/>
    <row r="756" ht="24.0" customHeight="1"/>
    <row r="757" ht="24.0" customHeight="1"/>
    <row r="758" ht="24.0" customHeight="1"/>
    <row r="759" ht="24.0" customHeight="1"/>
    <row r="760" ht="24.0" customHeight="1"/>
    <row r="761" ht="24.0" customHeight="1"/>
    <row r="762" ht="24.0" customHeight="1"/>
    <row r="763" ht="24.0" customHeight="1"/>
    <row r="764" ht="24.0" customHeight="1"/>
    <row r="765" ht="24.0" customHeight="1"/>
    <row r="766" ht="24.0" customHeight="1"/>
    <row r="767" ht="24.0" customHeight="1"/>
    <row r="768" ht="24.0" customHeight="1"/>
    <row r="769" ht="24.0" customHeight="1"/>
    <row r="770" ht="24.0" customHeight="1"/>
    <row r="771" ht="24.0" customHeight="1"/>
    <row r="772" ht="24.0" customHeight="1"/>
    <row r="773" ht="24.0" customHeight="1"/>
    <row r="774" ht="24.0" customHeight="1"/>
    <row r="775" ht="24.0" customHeight="1"/>
    <row r="776" ht="24.0" customHeight="1"/>
    <row r="777" ht="24.0" customHeight="1"/>
    <row r="778" ht="24.0" customHeight="1"/>
    <row r="779" ht="24.0" customHeight="1"/>
    <row r="780" ht="24.0" customHeight="1"/>
    <row r="781" ht="24.0" customHeight="1"/>
    <row r="782" ht="24.0" customHeight="1"/>
    <row r="783" ht="24.0" customHeight="1"/>
    <row r="784" ht="24.0" customHeight="1"/>
    <row r="785" ht="24.0" customHeight="1"/>
    <row r="786" ht="24.0" customHeight="1"/>
    <row r="787" ht="24.0" customHeight="1"/>
    <row r="788" ht="24.0" customHeight="1"/>
    <row r="789" ht="24.0" customHeight="1"/>
    <row r="790" ht="24.0" customHeight="1"/>
    <row r="791" ht="24.0" customHeight="1"/>
    <row r="792" ht="24.0" customHeight="1"/>
    <row r="793" ht="24.0" customHeight="1"/>
    <row r="794" ht="24.0" customHeight="1"/>
    <row r="795" ht="24.0" customHeight="1"/>
    <row r="796" ht="24.0" customHeight="1"/>
    <row r="797" ht="24.0" customHeight="1"/>
    <row r="798" ht="24.0" customHeight="1"/>
    <row r="799" ht="24.0" customHeight="1"/>
    <row r="800" ht="24.0" customHeight="1"/>
    <row r="801" ht="24.0" customHeight="1"/>
    <row r="802" ht="24.0" customHeight="1"/>
    <row r="803" ht="24.0" customHeight="1"/>
    <row r="804" ht="24.0" customHeight="1"/>
    <row r="805" ht="24.0" customHeight="1"/>
    <row r="806" ht="24.0" customHeight="1"/>
    <row r="807" ht="24.0" customHeight="1"/>
    <row r="808" ht="24.0" customHeight="1"/>
    <row r="809" ht="24.0" customHeight="1"/>
    <row r="810" ht="24.0" customHeight="1"/>
    <row r="811" ht="24.0" customHeight="1"/>
    <row r="812" ht="24.0" customHeight="1"/>
    <row r="813" ht="24.0" customHeight="1"/>
    <row r="814" ht="24.0" customHeight="1"/>
    <row r="815" ht="24.0" customHeight="1"/>
    <row r="816" ht="24.0" customHeight="1"/>
    <row r="817" ht="24.0" customHeight="1"/>
    <row r="818" ht="24.0" customHeight="1"/>
    <row r="819" ht="24.0" customHeight="1"/>
    <row r="820" ht="24.0" customHeight="1"/>
    <row r="821" ht="24.0" customHeight="1"/>
    <row r="822" ht="24.0" customHeight="1"/>
    <row r="823" ht="24.0" customHeight="1"/>
    <row r="824" ht="24.0" customHeight="1"/>
    <row r="825" ht="24.0" customHeight="1"/>
    <row r="826" ht="24.0" customHeight="1"/>
    <row r="827" ht="24.0" customHeight="1"/>
    <row r="828" ht="24.0" customHeight="1"/>
    <row r="829" ht="24.0" customHeight="1"/>
    <row r="830" ht="24.0" customHeight="1"/>
    <row r="831" ht="24.0" customHeight="1"/>
    <row r="832" ht="24.0" customHeight="1"/>
    <row r="833" ht="24.0" customHeight="1"/>
    <row r="834" ht="24.0" customHeight="1"/>
    <row r="835" ht="24.0" customHeight="1"/>
    <row r="836" ht="24.0" customHeight="1"/>
    <row r="837" ht="24.0" customHeight="1"/>
    <row r="838" ht="24.0" customHeight="1"/>
    <row r="839" ht="24.0" customHeight="1"/>
    <row r="840" ht="24.0" customHeight="1"/>
    <row r="841" ht="24.0" customHeight="1"/>
    <row r="842" ht="24.0" customHeight="1"/>
    <row r="843" ht="24.0" customHeight="1"/>
    <row r="844" ht="24.0" customHeight="1"/>
    <row r="845" ht="24.0" customHeight="1"/>
    <row r="846" ht="24.0" customHeight="1"/>
    <row r="847" ht="24.0" customHeight="1"/>
    <row r="848" ht="24.0" customHeight="1"/>
    <row r="849" ht="24.0" customHeight="1"/>
    <row r="850" ht="24.0" customHeight="1"/>
    <row r="851" ht="24.0" customHeight="1"/>
    <row r="852" ht="24.0" customHeight="1"/>
    <row r="853" ht="24.0" customHeight="1"/>
    <row r="854" ht="24.0" customHeight="1"/>
    <row r="855" ht="24.0" customHeight="1"/>
    <row r="856" ht="24.0" customHeight="1"/>
    <row r="857" ht="24.0" customHeight="1"/>
    <row r="858" ht="24.0" customHeight="1"/>
    <row r="859" ht="24.0" customHeight="1"/>
    <row r="860" ht="24.0" customHeight="1"/>
    <row r="861" ht="24.0" customHeight="1"/>
    <row r="862" ht="24.0" customHeight="1"/>
    <row r="863" ht="24.0" customHeight="1"/>
    <row r="864" ht="24.0" customHeight="1"/>
    <row r="865" ht="24.0" customHeight="1"/>
    <row r="866" ht="24.0" customHeight="1"/>
    <row r="867" ht="24.0" customHeight="1"/>
    <row r="868" ht="24.0" customHeight="1"/>
    <row r="869" ht="24.0" customHeight="1"/>
    <row r="870" ht="24.0" customHeight="1"/>
    <row r="871" ht="24.0" customHeight="1"/>
    <row r="872" ht="24.0" customHeight="1"/>
    <row r="873" ht="24.0" customHeight="1"/>
    <row r="874" ht="24.0" customHeight="1"/>
    <row r="875" ht="24.0" customHeight="1"/>
    <row r="876" ht="24.0" customHeight="1"/>
    <row r="877" ht="24.0" customHeight="1"/>
    <row r="878" ht="24.0" customHeight="1"/>
    <row r="879" ht="24.0" customHeight="1"/>
    <row r="880" ht="24.0" customHeight="1"/>
    <row r="881" ht="24.0" customHeight="1"/>
    <row r="882" ht="24.0" customHeight="1"/>
    <row r="883" ht="24.0" customHeight="1"/>
    <row r="884" ht="24.0" customHeight="1"/>
    <row r="885" ht="24.0" customHeight="1"/>
    <row r="886" ht="24.0" customHeight="1"/>
    <row r="887" ht="24.0" customHeight="1"/>
    <row r="888" ht="24.0" customHeight="1"/>
    <row r="889" ht="24.0" customHeight="1"/>
    <row r="890" ht="24.0" customHeight="1"/>
    <row r="891" ht="24.0" customHeight="1"/>
    <row r="892" ht="24.0" customHeight="1"/>
    <row r="893" ht="24.0" customHeight="1"/>
    <row r="894" ht="24.0" customHeight="1"/>
    <row r="895" ht="24.0" customHeight="1"/>
    <row r="896" ht="24.0" customHeight="1"/>
    <row r="897" ht="24.0" customHeight="1"/>
    <row r="898" ht="24.0" customHeight="1"/>
    <row r="899" ht="24.0" customHeight="1"/>
    <row r="900" ht="24.0" customHeight="1"/>
    <row r="901" ht="24.0" customHeight="1"/>
    <row r="902" ht="24.0" customHeight="1"/>
    <row r="903" ht="24.0" customHeight="1"/>
    <row r="904" ht="24.0" customHeight="1"/>
    <row r="905" ht="24.0" customHeight="1"/>
    <row r="906" ht="24.0" customHeight="1"/>
    <row r="907" ht="24.0" customHeight="1"/>
    <row r="908" ht="24.0" customHeight="1"/>
    <row r="909" ht="24.0" customHeight="1"/>
    <row r="910" ht="24.0" customHeight="1"/>
    <row r="911" ht="24.0" customHeight="1"/>
    <row r="912" ht="24.0" customHeight="1"/>
    <row r="913" ht="24.0" customHeight="1"/>
    <row r="914" ht="24.0" customHeight="1"/>
    <row r="915" ht="24.0" customHeight="1"/>
    <row r="916" ht="24.0" customHeight="1"/>
    <row r="917" ht="24.0" customHeight="1"/>
    <row r="918" ht="24.0" customHeight="1"/>
    <row r="919" ht="24.0" customHeight="1"/>
    <row r="920" ht="24.0" customHeight="1"/>
    <row r="921" ht="24.0" customHeight="1"/>
    <row r="922" ht="24.0" customHeight="1"/>
    <row r="923" ht="24.0" customHeight="1"/>
    <row r="924" ht="24.0" customHeight="1"/>
    <row r="925" ht="24.0" customHeight="1"/>
    <row r="926" ht="24.0" customHeight="1"/>
    <row r="927" ht="24.0" customHeight="1"/>
    <row r="928" ht="24.0" customHeight="1"/>
    <row r="929" ht="24.0" customHeight="1"/>
    <row r="930" ht="24.0" customHeight="1"/>
    <row r="931" ht="24.0" customHeight="1"/>
    <row r="932" ht="24.0" customHeight="1"/>
    <row r="933" ht="24.0" customHeight="1"/>
    <row r="934" ht="24.0" customHeight="1"/>
    <row r="935" ht="24.0" customHeight="1"/>
    <row r="936" ht="24.0" customHeight="1"/>
    <row r="937" ht="24.0" customHeight="1"/>
    <row r="938" ht="24.0" customHeight="1"/>
    <row r="939" ht="24.0" customHeight="1"/>
    <row r="940" ht="24.0" customHeight="1"/>
    <row r="941" ht="24.0" customHeight="1"/>
    <row r="942" ht="24.0" customHeight="1"/>
    <row r="943" ht="24.0" customHeight="1"/>
    <row r="944" ht="24.0" customHeight="1"/>
    <row r="945" ht="24.0" customHeight="1"/>
    <row r="946" ht="24.0" customHeight="1"/>
    <row r="947" ht="24.0" customHeight="1"/>
    <row r="948" ht="24.0" customHeight="1"/>
    <row r="949" ht="24.0" customHeight="1"/>
    <row r="950" ht="24.0" customHeight="1"/>
    <row r="951" ht="24.0" customHeight="1"/>
    <row r="952" ht="24.0" customHeight="1"/>
    <row r="953" ht="24.0" customHeight="1"/>
    <row r="954" ht="24.0" customHeight="1"/>
    <row r="955" ht="24.0" customHeight="1"/>
    <row r="956" ht="24.0" customHeight="1"/>
    <row r="957" ht="24.0" customHeight="1"/>
    <row r="958" ht="24.0" customHeight="1"/>
    <row r="959" ht="24.0" customHeight="1"/>
    <row r="960" ht="24.0" customHeight="1"/>
    <row r="961" ht="24.0" customHeight="1"/>
    <row r="962" ht="24.0" customHeight="1"/>
    <row r="963" ht="24.0" customHeight="1"/>
    <row r="964" ht="24.0" customHeight="1"/>
    <row r="965" ht="24.0" customHeight="1"/>
    <row r="966" ht="24.0" customHeight="1"/>
    <row r="967" ht="24.0" customHeight="1"/>
    <row r="968" ht="24.0" customHeight="1"/>
    <row r="969" ht="24.0" customHeight="1"/>
    <row r="970" ht="24.0" customHeight="1"/>
    <row r="971" ht="24.0" customHeight="1"/>
    <row r="972" ht="24.0" customHeight="1"/>
    <row r="973" ht="24.0" customHeight="1"/>
    <row r="974" ht="24.0" customHeight="1"/>
    <row r="975" ht="24.0" customHeight="1"/>
    <row r="976" ht="24.0" customHeight="1"/>
    <row r="977" ht="24.0" customHeight="1"/>
    <row r="978" ht="24.0" customHeight="1"/>
    <row r="979" ht="24.0" customHeight="1"/>
    <row r="980" ht="24.0" customHeight="1"/>
    <row r="981" ht="24.0" customHeight="1"/>
    <row r="982" ht="24.0" customHeight="1"/>
    <row r="983" ht="24.0" customHeight="1"/>
    <row r="984" ht="24.0" customHeight="1"/>
    <row r="985" ht="24.0" customHeight="1"/>
    <row r="986" ht="24.0" customHeight="1"/>
    <row r="987" ht="24.0" customHeight="1"/>
    <row r="988" ht="24.0" customHeight="1"/>
    <row r="989" ht="24.0" customHeight="1"/>
    <row r="990" ht="24.0" customHeight="1"/>
    <row r="991" ht="24.0" customHeight="1"/>
    <row r="992" ht="24.0" customHeight="1"/>
    <row r="993" ht="24.0" customHeight="1"/>
    <row r="994" ht="24.0" customHeight="1"/>
    <row r="995" ht="24.0" customHeight="1"/>
    <row r="996" ht="24.0" customHeight="1"/>
    <row r="997" ht="24.0" customHeight="1"/>
    <row r="998" ht="24.0" customHeight="1"/>
    <row r="999" ht="24.0" customHeight="1"/>
    <row r="1000" ht="24.0" customHeight="1"/>
  </sheetData>
  <mergeCells count="2">
    <mergeCell ref="B1:F1"/>
    <mergeCell ref="B7:E7"/>
  </mergeCells>
  <conditionalFormatting sqref="E4">
    <cfRule type="expression" dxfId="0" priority="1">
      <formula>AND(ISNUMBER(E4),ROUND(E4,2)=INT(ROUND(E4,2)))</formula>
    </cfRule>
  </conditionalFormatting>
  <conditionalFormatting sqref="E4">
    <cfRule type="expression" dxfId="1" priority="2">
      <formula>AND(ISNUMBER(E4),ROUND(E4,2)&lt;&gt;INT(ROUND(E4,2)))</formula>
    </cfRule>
  </conditionalFormatting>
  <conditionalFormatting sqref="F4">
    <cfRule type="expression" dxfId="0" priority="3">
      <formula>AND(ISNUMBER(F4),ROUND(F4,2)=INT(ROUND(F4,2)))</formula>
    </cfRule>
  </conditionalFormatting>
  <conditionalFormatting sqref="F4">
    <cfRule type="expression" dxfId="1" priority="4">
      <formula>AND(ISNUMBER(F4),ROUND(F4,2)&lt;&gt;INT(ROUND(F4,2)))</formula>
    </cfRule>
  </conditionalFormatting>
  <conditionalFormatting sqref="F7">
    <cfRule type="expression" dxfId="0" priority="5">
      <formula>AND(ISNUMBER(F7),ROUND(F7,2)=INT(ROUND(F7,2)))</formula>
    </cfRule>
  </conditionalFormatting>
  <conditionalFormatting sqref="F7">
    <cfRule type="expression" dxfId="1" priority="6">
      <formula>AND(ISNUMBER(F7),ROUND(F7,2)&lt;&gt;INT(ROUND(F7,2)))</formula>
    </cfRule>
  </conditionalFormatting>
  <dataValidations>
    <dataValidation type="decimal" operator="greaterThanOrEqual" allowBlank="1" showInputMessage="1" showErrorMessage="1" prompt="יש להזין מספר לא שלילי" sqref="D4">
      <formula1>0.0</formula1>
    </dataValidation>
    <dataValidation type="custom" allowBlank="1" showInputMessage="1" showErrorMessage="1" prompt="מספר לא שלילי, כלול או לא רלוונטי בלבד" sqref="E4">
      <formula1>OR(ISBLANK(E4),AND(ISNUMBER(E4),E4&gt;=0),E4="כלול",E4="לא רלוונטי")</formula1>
    </dataValidation>
  </dataValidations>
  <printOptions/>
  <pageMargins bottom="0.75" footer="0.0" header="0.0" left="0.25" right="0.25" top="0.75"/>
  <pageSetup fitToHeight="0" paperSize="9" orientation="portrait"/>
  <headerFooter>
    <oddFooter>&amp;Cעמוד &amp;P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rightToLeft="1" workbookViewId="0"/>
  </sheetViews>
  <sheetFormatPr customHeight="1" defaultColWidth="14.43" defaultRowHeight="15.0"/>
  <cols>
    <col customWidth="1" min="1" max="1" width="7.29"/>
    <col customWidth="1" min="2" max="2" width="66.29"/>
    <col customWidth="1" min="3" max="6" width="8.14"/>
    <col customWidth="1" hidden="1" min="7" max="7" width="36.0"/>
    <col customWidth="1" hidden="1" min="8" max="8" width="12.0"/>
    <col customWidth="1" min="9" max="26" width="8.71"/>
  </cols>
  <sheetData>
    <row r="1" ht="31.5" customHeight="1">
      <c r="A1" s="10">
        <v>5.0</v>
      </c>
      <c r="B1" s="3" t="s">
        <v>38</v>
      </c>
      <c r="G1" s="2" t="s">
        <v>37</v>
      </c>
      <c r="H1" s="2" t="s">
        <v>53</v>
      </c>
    </row>
    <row r="2" ht="31.5" customHeight="1">
      <c r="A2" s="16" t="s">
        <v>59</v>
      </c>
      <c r="B2" s="17" t="s">
        <v>67</v>
      </c>
      <c r="C2" s="16" t="s">
        <v>72</v>
      </c>
      <c r="D2" s="16" t="s">
        <v>76</v>
      </c>
      <c r="E2" s="16" t="s">
        <v>79</v>
      </c>
      <c r="F2" s="16" t="s">
        <v>81</v>
      </c>
      <c r="G2" s="2"/>
      <c r="H2" s="2" t="s">
        <v>84</v>
      </c>
    </row>
    <row r="3" ht="63.75" customHeight="1">
      <c r="A3" s="19"/>
      <c r="B3" s="20" t="s">
        <v>224</v>
      </c>
      <c r="C3" s="19"/>
      <c r="D3" s="19"/>
      <c r="E3" s="19"/>
      <c r="F3" s="19"/>
      <c r="G3" s="12" t="s">
        <v>225</v>
      </c>
      <c r="H3" s="12" t="s">
        <v>105</v>
      </c>
    </row>
    <row r="4" ht="63.75" customHeight="1">
      <c r="A4" s="19" t="s">
        <v>226</v>
      </c>
      <c r="B4" s="20" t="s">
        <v>227</v>
      </c>
      <c r="C4" s="19" t="s">
        <v>126</v>
      </c>
      <c r="D4" s="19"/>
      <c r="E4" s="22"/>
      <c r="F4" s="22" t="str">
        <f>IF(ISBLANK(D4),"",IF(NOT(ISNUMBER(D4)),"קלט לא תקין",IF(D4&lt;0,"קלט לא תקין",IF(ISBLANK(E4),"",IF(OR(E4="כלול",E4="לא רלוונטי"),0,IF(NOT(ISNUMBER(E4)),"קלט לא תקין",IF(E4&lt;0,"קלט לא תקין",ROUND(D4*E4,2))))))))</f>
        <v/>
      </c>
      <c r="G4" s="12" t="s">
        <v>228</v>
      </c>
      <c r="H4" s="12" t="s">
        <v>113</v>
      </c>
    </row>
    <row r="5" ht="399.75" customHeight="1">
      <c r="A5" s="19"/>
      <c r="B5" s="20"/>
      <c r="C5" s="19"/>
      <c r="D5" s="19"/>
      <c r="E5" s="19"/>
      <c r="F5" s="19"/>
      <c r="G5" s="12"/>
      <c r="H5" s="12" t="s">
        <v>86</v>
      </c>
    </row>
    <row r="6" ht="95.25" customHeight="1">
      <c r="A6" s="19"/>
      <c r="B6" s="20"/>
      <c r="C6" s="19"/>
      <c r="D6" s="19"/>
      <c r="E6" s="19"/>
      <c r="F6" s="19"/>
      <c r="G6" s="12"/>
      <c r="H6" s="12" t="s">
        <v>86</v>
      </c>
    </row>
    <row r="7" ht="31.5" customHeight="1">
      <c r="A7" s="6"/>
      <c r="B7" s="7" t="s">
        <v>229</v>
      </c>
      <c r="C7" s="8"/>
      <c r="D7" s="8"/>
      <c r="E7" s="9"/>
      <c r="F7" s="23">
        <f>SUM(F4)</f>
        <v>0</v>
      </c>
      <c r="G7" s="12"/>
      <c r="H7" s="12" t="s">
        <v>136</v>
      </c>
    </row>
    <row r="8" ht="24.0" customHeight="1"/>
    <row r="9" ht="24.0" customHeight="1"/>
    <row r="10" ht="24.0" customHeight="1"/>
    <row r="11" ht="24.0" customHeight="1"/>
    <row r="12" ht="24.0" customHeight="1"/>
    <row r="13" ht="24.0" customHeight="1"/>
    <row r="14" ht="24.0" customHeight="1"/>
    <row r="15" ht="24.0" customHeight="1"/>
    <row r="16" ht="24.0" customHeight="1"/>
    <row r="17" ht="24.0" customHeight="1"/>
    <row r="18" ht="24.0" customHeight="1"/>
    <row r="19" ht="24.0" customHeight="1"/>
    <row r="20" ht="24.0" customHeight="1"/>
    <row r="21" ht="24.0" customHeight="1"/>
    <row r="22" ht="24.0" customHeight="1"/>
    <row r="23" ht="24.0" customHeight="1"/>
    <row r="24" ht="24.0" customHeight="1"/>
    <row r="25" ht="24.0" customHeight="1"/>
    <row r="26" ht="24.0" customHeight="1"/>
    <row r="27" ht="24.0" customHeight="1"/>
    <row r="28" ht="24.0" customHeight="1"/>
    <row r="29" ht="24.0" customHeight="1"/>
    <row r="30" ht="24.0" customHeight="1"/>
    <row r="31" ht="24.0" customHeight="1"/>
    <row r="32" ht="24.0" customHeight="1"/>
    <row r="33" ht="24.0" customHeight="1"/>
    <row r="34" ht="24.0" customHeight="1"/>
    <row r="35" ht="24.0" customHeight="1"/>
    <row r="36" ht="24.0" customHeight="1"/>
    <row r="37" ht="24.0" customHeight="1"/>
    <row r="38" ht="24.0" customHeight="1"/>
    <row r="39" ht="24.0" customHeight="1"/>
    <row r="40" ht="24.0" customHeight="1"/>
    <row r="41" ht="24.0" customHeight="1"/>
    <row r="42" ht="24.0" customHeight="1"/>
    <row r="43" ht="24.0" customHeight="1"/>
    <row r="44" ht="24.0" customHeight="1"/>
    <row r="45" ht="24.0" customHeight="1"/>
    <row r="46" ht="24.0" customHeight="1"/>
    <row r="47" ht="24.0" customHeight="1"/>
    <row r="48" ht="24.0" customHeight="1"/>
    <row r="49" ht="24.0" customHeight="1"/>
    <row r="50" ht="24.0" customHeight="1"/>
    <row r="51" ht="24.0" customHeight="1"/>
    <row r="52" ht="24.0" customHeight="1"/>
    <row r="53" ht="24.0" customHeight="1"/>
    <row r="54" ht="24.0" customHeight="1"/>
    <row r="55" ht="24.0" customHeight="1"/>
    <row r="56" ht="24.0" customHeight="1"/>
    <row r="57" ht="24.0" customHeight="1"/>
    <row r="58" ht="24.0" customHeight="1"/>
    <row r="59" ht="24.0" customHeight="1"/>
    <row r="60" ht="24.0" customHeight="1"/>
    <row r="61" ht="24.0" customHeight="1"/>
    <row r="62" ht="24.0" customHeight="1"/>
    <row r="63" ht="24.0" customHeight="1"/>
    <row r="64" ht="24.0" customHeight="1"/>
    <row r="65" ht="24.0" customHeight="1"/>
    <row r="66" ht="24.0" customHeight="1"/>
    <row r="67" ht="24.0" customHeight="1"/>
    <row r="68" ht="24.0" customHeight="1"/>
    <row r="69" ht="24.0" customHeight="1"/>
    <row r="70" ht="24.0" customHeight="1"/>
    <row r="71" ht="24.0" customHeight="1"/>
    <row r="72" ht="24.0" customHeight="1"/>
    <row r="73" ht="24.0" customHeight="1"/>
    <row r="74" ht="24.0" customHeight="1"/>
    <row r="75" ht="24.0" customHeight="1"/>
    <row r="76" ht="24.0" customHeight="1"/>
    <row r="77" ht="24.0" customHeight="1"/>
    <row r="78" ht="24.0" customHeight="1"/>
    <row r="79" ht="24.0" customHeight="1"/>
    <row r="80" ht="24.0" customHeight="1"/>
    <row r="81" ht="24.0" customHeight="1"/>
    <row r="82" ht="24.0" customHeight="1"/>
    <row r="83" ht="24.0" customHeight="1"/>
    <row r="84" ht="24.0" customHeight="1"/>
    <row r="85" ht="24.0" customHeight="1"/>
    <row r="86" ht="24.0" customHeight="1"/>
    <row r="87" ht="24.0" customHeight="1"/>
    <row r="88" ht="24.0" customHeight="1"/>
    <row r="89" ht="24.0" customHeight="1"/>
    <row r="90" ht="24.0" customHeight="1"/>
    <row r="91" ht="24.0" customHeight="1"/>
    <row r="92" ht="24.0" customHeight="1"/>
    <row r="93" ht="24.0" customHeight="1"/>
    <row r="94" ht="24.0" customHeight="1"/>
    <row r="95" ht="24.0" customHeight="1"/>
    <row r="96" ht="24.0" customHeight="1"/>
    <row r="97" ht="24.0" customHeight="1"/>
    <row r="98" ht="24.0" customHeight="1"/>
    <row r="99" ht="24.0" customHeight="1"/>
    <row r="100" ht="24.0" customHeight="1"/>
    <row r="101" ht="24.0" customHeight="1"/>
    <row r="102" ht="24.0" customHeight="1"/>
    <row r="103" ht="24.0" customHeight="1"/>
    <row r="104" ht="24.0" customHeight="1"/>
    <row r="105" ht="24.0" customHeight="1"/>
    <row r="106" ht="24.0" customHeight="1"/>
    <row r="107" ht="24.0" customHeight="1"/>
    <row r="108" ht="24.0" customHeight="1"/>
    <row r="109" ht="24.0" customHeight="1"/>
    <row r="110" ht="24.0" customHeight="1"/>
    <row r="111" ht="24.0" customHeight="1"/>
    <row r="112" ht="24.0" customHeight="1"/>
    <row r="113" ht="24.0" customHeight="1"/>
    <row r="114" ht="24.0" customHeight="1"/>
    <row r="115" ht="24.0" customHeight="1"/>
    <row r="116" ht="24.0" customHeight="1"/>
    <row r="117" ht="24.0" customHeight="1"/>
    <row r="118" ht="24.0" customHeight="1"/>
    <row r="119" ht="24.0" customHeight="1"/>
    <row r="120" ht="24.0" customHeight="1"/>
    <row r="121" ht="24.0" customHeight="1"/>
    <row r="122" ht="24.0" customHeight="1"/>
    <row r="123" ht="24.0" customHeight="1"/>
    <row r="124" ht="24.0" customHeight="1"/>
    <row r="125" ht="24.0" customHeight="1"/>
    <row r="126" ht="24.0" customHeight="1"/>
    <row r="127" ht="24.0" customHeight="1"/>
    <row r="128" ht="24.0" customHeight="1"/>
    <row r="129" ht="24.0" customHeight="1"/>
    <row r="130" ht="24.0" customHeight="1"/>
    <row r="131" ht="24.0" customHeight="1"/>
    <row r="132" ht="24.0" customHeight="1"/>
    <row r="133" ht="24.0" customHeight="1"/>
    <row r="134" ht="24.0" customHeight="1"/>
    <row r="135" ht="24.0" customHeight="1"/>
    <row r="136" ht="24.0" customHeight="1"/>
    <row r="137" ht="24.0" customHeight="1"/>
    <row r="138" ht="24.0" customHeight="1"/>
    <row r="139" ht="24.0" customHeight="1"/>
    <row r="140" ht="24.0" customHeight="1"/>
    <row r="141" ht="24.0" customHeight="1"/>
    <row r="142" ht="24.0" customHeight="1"/>
    <row r="143" ht="24.0" customHeight="1"/>
    <row r="144" ht="24.0" customHeight="1"/>
    <row r="145" ht="24.0" customHeight="1"/>
    <row r="146" ht="24.0" customHeight="1"/>
    <row r="147" ht="24.0" customHeight="1"/>
    <row r="148" ht="24.0" customHeight="1"/>
    <row r="149" ht="24.0" customHeight="1"/>
    <row r="150" ht="24.0" customHeight="1"/>
    <row r="151" ht="24.0" customHeight="1"/>
    <row r="152" ht="24.0" customHeight="1"/>
    <row r="153" ht="24.0" customHeight="1"/>
    <row r="154" ht="24.0" customHeight="1"/>
    <row r="155" ht="24.0" customHeight="1"/>
    <row r="156" ht="24.0" customHeight="1"/>
    <row r="157" ht="24.0" customHeight="1"/>
    <row r="158" ht="24.0" customHeight="1"/>
    <row r="159" ht="24.0" customHeight="1"/>
    <row r="160" ht="24.0" customHeight="1"/>
    <row r="161" ht="24.0" customHeight="1"/>
    <row r="162" ht="24.0" customHeight="1"/>
    <row r="163" ht="24.0" customHeight="1"/>
    <row r="164" ht="24.0" customHeight="1"/>
    <row r="165" ht="24.0" customHeight="1"/>
    <row r="166" ht="24.0" customHeight="1"/>
    <row r="167" ht="24.0" customHeight="1"/>
    <row r="168" ht="24.0" customHeight="1"/>
    <row r="169" ht="24.0" customHeight="1"/>
    <row r="170" ht="24.0" customHeight="1"/>
    <row r="171" ht="24.0" customHeight="1"/>
    <row r="172" ht="24.0" customHeight="1"/>
    <row r="173" ht="24.0" customHeight="1"/>
    <row r="174" ht="24.0" customHeight="1"/>
    <row r="175" ht="24.0" customHeight="1"/>
    <row r="176" ht="24.0" customHeight="1"/>
    <row r="177" ht="24.0" customHeight="1"/>
    <row r="178" ht="24.0" customHeight="1"/>
    <row r="179" ht="24.0" customHeight="1"/>
    <row r="180" ht="24.0" customHeight="1"/>
    <row r="181" ht="24.0" customHeight="1"/>
    <row r="182" ht="24.0" customHeight="1"/>
    <row r="183" ht="24.0" customHeight="1"/>
    <row r="184" ht="24.0" customHeight="1"/>
    <row r="185" ht="24.0" customHeight="1"/>
    <row r="186" ht="24.0" customHeight="1"/>
    <row r="187" ht="24.0" customHeight="1"/>
    <row r="188" ht="24.0" customHeight="1"/>
    <row r="189" ht="24.0" customHeight="1"/>
    <row r="190" ht="24.0" customHeight="1"/>
    <row r="191" ht="24.0" customHeight="1"/>
    <row r="192" ht="24.0" customHeight="1"/>
    <row r="193" ht="24.0" customHeight="1"/>
    <row r="194" ht="24.0" customHeight="1"/>
    <row r="195" ht="24.0" customHeight="1"/>
    <row r="196" ht="24.0" customHeight="1"/>
    <row r="197" ht="24.0" customHeight="1"/>
    <row r="198" ht="24.0" customHeight="1"/>
    <row r="199" ht="24.0" customHeight="1"/>
    <row r="200" ht="24.0" customHeight="1"/>
    <row r="201" ht="24.0" customHeight="1"/>
    <row r="202" ht="24.0" customHeight="1"/>
    <row r="203" ht="24.0" customHeight="1"/>
    <row r="204" ht="24.0" customHeight="1"/>
    <row r="205" ht="24.0" customHeight="1"/>
    <row r="206" ht="24.0" customHeight="1"/>
    <row r="207" ht="24.0" customHeight="1"/>
    <row r="208" ht="24.0" customHeight="1"/>
    <row r="209" ht="24.0" customHeight="1"/>
    <row r="210" ht="24.0" customHeight="1"/>
    <row r="211" ht="24.0" customHeight="1"/>
    <row r="212" ht="24.0" customHeight="1"/>
    <row r="213" ht="24.0" customHeight="1"/>
    <row r="214" ht="24.0" customHeight="1"/>
    <row r="215" ht="24.0" customHeight="1"/>
    <row r="216" ht="24.0" customHeight="1"/>
    <row r="217" ht="24.0" customHeight="1"/>
    <row r="218" ht="24.0" customHeight="1"/>
    <row r="219" ht="24.0" customHeight="1"/>
    <row r="220" ht="24.0" customHeight="1"/>
    <row r="221" ht="24.0" customHeight="1"/>
    <row r="222" ht="24.0" customHeight="1"/>
    <row r="223" ht="24.0" customHeight="1"/>
    <row r="224" ht="24.0" customHeight="1"/>
    <row r="225" ht="24.0" customHeight="1"/>
    <row r="226" ht="24.0" customHeight="1"/>
    <row r="227" ht="24.0" customHeight="1"/>
    <row r="228" ht="24.0" customHeight="1"/>
    <row r="229" ht="24.0" customHeight="1"/>
    <row r="230" ht="24.0" customHeight="1"/>
    <row r="231" ht="24.0" customHeight="1"/>
    <row r="232" ht="24.0" customHeight="1"/>
    <row r="233" ht="24.0" customHeight="1"/>
    <row r="234" ht="24.0" customHeight="1"/>
    <row r="235" ht="24.0" customHeight="1"/>
    <row r="236" ht="24.0" customHeight="1"/>
    <row r="237" ht="24.0" customHeight="1"/>
    <row r="238" ht="24.0" customHeight="1"/>
    <row r="239" ht="24.0" customHeight="1"/>
    <row r="240" ht="24.0" customHeight="1"/>
    <row r="241" ht="24.0" customHeight="1"/>
    <row r="242" ht="24.0" customHeight="1"/>
    <row r="243" ht="24.0" customHeight="1"/>
    <row r="244" ht="24.0" customHeight="1"/>
    <row r="245" ht="24.0" customHeight="1"/>
    <row r="246" ht="24.0" customHeight="1"/>
    <row r="247" ht="24.0" customHeight="1"/>
    <row r="248" ht="24.0" customHeight="1"/>
    <row r="249" ht="24.0" customHeight="1"/>
    <row r="250" ht="24.0" customHeight="1"/>
    <row r="251" ht="24.0" customHeight="1"/>
    <row r="252" ht="24.0" customHeight="1"/>
    <row r="253" ht="24.0" customHeight="1"/>
    <row r="254" ht="24.0" customHeight="1"/>
    <row r="255" ht="24.0" customHeight="1"/>
    <row r="256" ht="24.0" customHeight="1"/>
    <row r="257" ht="24.0" customHeight="1"/>
    <row r="258" ht="24.0" customHeight="1"/>
    <row r="259" ht="24.0" customHeight="1"/>
    <row r="260" ht="24.0" customHeight="1"/>
    <row r="261" ht="24.0" customHeight="1"/>
    <row r="262" ht="24.0" customHeight="1"/>
    <row r="263" ht="24.0" customHeight="1"/>
    <row r="264" ht="24.0" customHeight="1"/>
    <row r="265" ht="24.0" customHeight="1"/>
    <row r="266" ht="24.0" customHeight="1"/>
    <row r="267" ht="24.0" customHeight="1"/>
    <row r="268" ht="24.0" customHeight="1"/>
    <row r="269" ht="24.0" customHeight="1"/>
    <row r="270" ht="24.0" customHeight="1"/>
    <row r="271" ht="24.0" customHeight="1"/>
    <row r="272" ht="24.0" customHeight="1"/>
    <row r="273" ht="24.0" customHeight="1"/>
    <row r="274" ht="24.0" customHeight="1"/>
    <row r="275" ht="24.0" customHeight="1"/>
    <row r="276" ht="24.0" customHeight="1"/>
    <row r="277" ht="24.0" customHeight="1"/>
    <row r="278" ht="24.0" customHeight="1"/>
    <row r="279" ht="24.0" customHeight="1"/>
    <row r="280" ht="24.0" customHeight="1"/>
    <row r="281" ht="24.0" customHeight="1"/>
    <row r="282" ht="24.0" customHeight="1"/>
    <row r="283" ht="24.0" customHeight="1"/>
    <row r="284" ht="24.0" customHeight="1"/>
    <row r="285" ht="24.0" customHeight="1"/>
    <row r="286" ht="24.0" customHeight="1"/>
    <row r="287" ht="24.0" customHeight="1"/>
    <row r="288" ht="24.0" customHeight="1"/>
    <row r="289" ht="24.0" customHeight="1"/>
    <row r="290" ht="24.0" customHeight="1"/>
    <row r="291" ht="24.0" customHeight="1"/>
    <row r="292" ht="24.0" customHeight="1"/>
    <row r="293" ht="24.0" customHeight="1"/>
    <row r="294" ht="24.0" customHeight="1"/>
    <row r="295" ht="24.0" customHeight="1"/>
    <row r="296" ht="24.0" customHeight="1"/>
    <row r="297" ht="24.0" customHeight="1"/>
    <row r="298" ht="24.0" customHeight="1"/>
    <row r="299" ht="24.0" customHeight="1"/>
    <row r="300" ht="24.0" customHeight="1"/>
    <row r="301" ht="24.0" customHeight="1"/>
    <row r="302" ht="24.0" customHeight="1"/>
    <row r="303" ht="24.0" customHeight="1"/>
    <row r="304" ht="24.0" customHeight="1"/>
    <row r="305" ht="24.0" customHeight="1"/>
    <row r="306" ht="24.0" customHeight="1"/>
    <row r="307" ht="24.0" customHeight="1"/>
    <row r="308" ht="24.0" customHeight="1"/>
    <row r="309" ht="24.0" customHeight="1"/>
    <row r="310" ht="24.0" customHeight="1"/>
    <row r="311" ht="24.0" customHeight="1"/>
    <row r="312" ht="24.0" customHeight="1"/>
    <row r="313" ht="24.0" customHeight="1"/>
    <row r="314" ht="24.0" customHeight="1"/>
    <row r="315" ht="24.0" customHeight="1"/>
    <row r="316" ht="24.0" customHeight="1"/>
    <row r="317" ht="24.0" customHeight="1"/>
    <row r="318" ht="24.0" customHeight="1"/>
    <row r="319" ht="24.0" customHeight="1"/>
    <row r="320" ht="24.0" customHeight="1"/>
    <row r="321" ht="24.0" customHeight="1"/>
    <row r="322" ht="24.0" customHeight="1"/>
    <row r="323" ht="24.0" customHeight="1"/>
    <row r="324" ht="24.0" customHeight="1"/>
    <row r="325" ht="24.0" customHeight="1"/>
    <row r="326" ht="24.0" customHeight="1"/>
    <row r="327" ht="24.0" customHeight="1"/>
    <row r="328" ht="24.0" customHeight="1"/>
    <row r="329" ht="24.0" customHeight="1"/>
    <row r="330" ht="24.0" customHeight="1"/>
    <row r="331" ht="24.0" customHeight="1"/>
    <row r="332" ht="24.0" customHeight="1"/>
    <row r="333" ht="24.0" customHeight="1"/>
    <row r="334" ht="24.0" customHeight="1"/>
    <row r="335" ht="24.0" customHeight="1"/>
    <row r="336" ht="24.0" customHeight="1"/>
    <row r="337" ht="24.0" customHeight="1"/>
    <row r="338" ht="24.0" customHeight="1"/>
    <row r="339" ht="24.0" customHeight="1"/>
    <row r="340" ht="24.0" customHeight="1"/>
    <row r="341" ht="24.0" customHeight="1"/>
    <row r="342" ht="24.0" customHeight="1"/>
    <row r="343" ht="24.0" customHeight="1"/>
    <row r="344" ht="24.0" customHeight="1"/>
    <row r="345" ht="24.0" customHeight="1"/>
    <row r="346" ht="24.0" customHeight="1"/>
    <row r="347" ht="24.0" customHeight="1"/>
    <row r="348" ht="24.0" customHeight="1"/>
    <row r="349" ht="24.0" customHeight="1"/>
    <row r="350" ht="24.0" customHeight="1"/>
    <row r="351" ht="24.0" customHeight="1"/>
    <row r="352" ht="24.0" customHeight="1"/>
    <row r="353" ht="24.0" customHeight="1"/>
    <row r="354" ht="24.0" customHeight="1"/>
    <row r="355" ht="24.0" customHeight="1"/>
    <row r="356" ht="24.0" customHeight="1"/>
    <row r="357" ht="24.0" customHeight="1"/>
    <row r="358" ht="24.0" customHeight="1"/>
    <row r="359" ht="24.0" customHeight="1"/>
    <row r="360" ht="24.0" customHeight="1"/>
    <row r="361" ht="24.0" customHeight="1"/>
    <row r="362" ht="24.0" customHeight="1"/>
    <row r="363" ht="24.0" customHeight="1"/>
    <row r="364" ht="24.0" customHeight="1"/>
    <row r="365" ht="24.0" customHeight="1"/>
    <row r="366" ht="24.0" customHeight="1"/>
    <row r="367" ht="24.0" customHeight="1"/>
    <row r="368" ht="24.0" customHeight="1"/>
    <row r="369" ht="24.0" customHeight="1"/>
    <row r="370" ht="24.0" customHeight="1"/>
    <row r="371" ht="24.0" customHeight="1"/>
    <row r="372" ht="24.0" customHeight="1"/>
    <row r="373" ht="24.0" customHeight="1"/>
    <row r="374" ht="24.0" customHeight="1"/>
    <row r="375" ht="24.0" customHeight="1"/>
    <row r="376" ht="24.0" customHeight="1"/>
    <row r="377" ht="24.0" customHeight="1"/>
    <row r="378" ht="24.0" customHeight="1"/>
    <row r="379" ht="24.0" customHeight="1"/>
    <row r="380" ht="24.0" customHeight="1"/>
    <row r="381" ht="24.0" customHeight="1"/>
    <row r="382" ht="24.0" customHeight="1"/>
    <row r="383" ht="24.0" customHeight="1"/>
    <row r="384" ht="24.0" customHeight="1"/>
    <row r="385" ht="24.0" customHeight="1"/>
    <row r="386" ht="24.0" customHeight="1"/>
    <row r="387" ht="24.0" customHeight="1"/>
    <row r="388" ht="24.0" customHeight="1"/>
    <row r="389" ht="24.0" customHeight="1"/>
    <row r="390" ht="24.0" customHeight="1"/>
    <row r="391" ht="24.0" customHeight="1"/>
    <row r="392" ht="24.0" customHeight="1"/>
    <row r="393" ht="24.0" customHeight="1"/>
    <row r="394" ht="24.0" customHeight="1"/>
    <row r="395" ht="24.0" customHeight="1"/>
    <row r="396" ht="24.0" customHeight="1"/>
    <row r="397" ht="24.0" customHeight="1"/>
    <row r="398" ht="24.0" customHeight="1"/>
    <row r="399" ht="24.0" customHeight="1"/>
    <row r="400" ht="24.0" customHeight="1"/>
    <row r="401" ht="24.0" customHeight="1"/>
    <row r="402" ht="24.0" customHeight="1"/>
    <row r="403" ht="24.0" customHeight="1"/>
    <row r="404" ht="24.0" customHeight="1"/>
    <row r="405" ht="24.0" customHeight="1"/>
    <row r="406" ht="24.0" customHeight="1"/>
    <row r="407" ht="24.0" customHeight="1"/>
    <row r="408" ht="24.0" customHeight="1"/>
    <row r="409" ht="24.0" customHeight="1"/>
    <row r="410" ht="24.0" customHeight="1"/>
    <row r="411" ht="24.0" customHeight="1"/>
    <row r="412" ht="24.0" customHeight="1"/>
    <row r="413" ht="24.0" customHeight="1"/>
    <row r="414" ht="24.0" customHeight="1"/>
    <row r="415" ht="24.0" customHeight="1"/>
    <row r="416" ht="24.0" customHeight="1"/>
    <row r="417" ht="24.0" customHeight="1"/>
    <row r="418" ht="24.0" customHeight="1"/>
    <row r="419" ht="24.0" customHeight="1"/>
    <row r="420" ht="24.0" customHeight="1"/>
    <row r="421" ht="24.0" customHeight="1"/>
    <row r="422" ht="24.0" customHeight="1"/>
    <row r="423" ht="24.0" customHeight="1"/>
    <row r="424" ht="24.0" customHeight="1"/>
    <row r="425" ht="24.0" customHeight="1"/>
    <row r="426" ht="24.0" customHeight="1"/>
    <row r="427" ht="24.0" customHeight="1"/>
    <row r="428" ht="24.0" customHeight="1"/>
    <row r="429" ht="24.0" customHeight="1"/>
    <row r="430" ht="24.0" customHeight="1"/>
    <row r="431" ht="24.0" customHeight="1"/>
    <row r="432" ht="24.0" customHeight="1"/>
    <row r="433" ht="24.0" customHeight="1"/>
    <row r="434" ht="24.0" customHeight="1"/>
    <row r="435" ht="24.0" customHeight="1"/>
    <row r="436" ht="24.0" customHeight="1"/>
    <row r="437" ht="24.0" customHeight="1"/>
    <row r="438" ht="24.0" customHeight="1"/>
    <row r="439" ht="24.0" customHeight="1"/>
    <row r="440" ht="24.0" customHeight="1"/>
    <row r="441" ht="24.0" customHeight="1"/>
    <row r="442" ht="24.0" customHeight="1"/>
    <row r="443" ht="24.0" customHeight="1"/>
    <row r="444" ht="24.0" customHeight="1"/>
    <row r="445" ht="24.0" customHeight="1"/>
    <row r="446" ht="24.0" customHeight="1"/>
    <row r="447" ht="24.0" customHeight="1"/>
    <row r="448" ht="24.0" customHeight="1"/>
    <row r="449" ht="24.0" customHeight="1"/>
    <row r="450" ht="24.0" customHeight="1"/>
    <row r="451" ht="24.0" customHeight="1"/>
    <row r="452" ht="24.0" customHeight="1"/>
    <row r="453" ht="24.0" customHeight="1"/>
    <row r="454" ht="24.0" customHeight="1"/>
    <row r="455" ht="24.0" customHeight="1"/>
    <row r="456" ht="24.0" customHeight="1"/>
    <row r="457" ht="24.0" customHeight="1"/>
    <row r="458" ht="24.0" customHeight="1"/>
    <row r="459" ht="24.0" customHeight="1"/>
    <row r="460" ht="24.0" customHeight="1"/>
    <row r="461" ht="24.0" customHeight="1"/>
    <row r="462" ht="24.0" customHeight="1"/>
    <row r="463" ht="24.0" customHeight="1"/>
    <row r="464" ht="24.0" customHeight="1"/>
    <row r="465" ht="24.0" customHeight="1"/>
    <row r="466" ht="24.0" customHeight="1"/>
    <row r="467" ht="24.0" customHeight="1"/>
    <row r="468" ht="24.0" customHeight="1"/>
    <row r="469" ht="24.0" customHeight="1"/>
    <row r="470" ht="24.0" customHeight="1"/>
    <row r="471" ht="24.0" customHeight="1"/>
    <row r="472" ht="24.0" customHeight="1"/>
    <row r="473" ht="24.0" customHeight="1"/>
    <row r="474" ht="24.0" customHeight="1"/>
    <row r="475" ht="24.0" customHeight="1"/>
    <row r="476" ht="24.0" customHeight="1"/>
    <row r="477" ht="24.0" customHeight="1"/>
    <row r="478" ht="24.0" customHeight="1"/>
    <row r="479" ht="24.0" customHeight="1"/>
    <row r="480" ht="24.0" customHeight="1"/>
    <row r="481" ht="24.0" customHeight="1"/>
    <row r="482" ht="24.0" customHeight="1"/>
    <row r="483" ht="24.0" customHeight="1"/>
    <row r="484" ht="24.0" customHeight="1"/>
    <row r="485" ht="24.0" customHeight="1"/>
    <row r="486" ht="24.0" customHeight="1"/>
    <row r="487" ht="24.0" customHeight="1"/>
    <row r="488" ht="24.0" customHeight="1"/>
    <row r="489" ht="24.0" customHeight="1"/>
    <row r="490" ht="24.0" customHeight="1"/>
    <row r="491" ht="24.0" customHeight="1"/>
    <row r="492" ht="24.0" customHeight="1"/>
    <row r="493" ht="24.0" customHeight="1"/>
    <row r="494" ht="24.0" customHeight="1"/>
    <row r="495" ht="24.0" customHeight="1"/>
    <row r="496" ht="24.0" customHeight="1"/>
    <row r="497" ht="24.0" customHeight="1"/>
    <row r="498" ht="24.0" customHeight="1"/>
    <row r="499" ht="24.0" customHeight="1"/>
    <row r="500" ht="24.0" customHeight="1"/>
    <row r="501" ht="24.0" customHeight="1"/>
    <row r="502" ht="24.0" customHeight="1"/>
    <row r="503" ht="24.0" customHeight="1"/>
    <row r="504" ht="24.0" customHeight="1"/>
    <row r="505" ht="24.0" customHeight="1"/>
    <row r="506" ht="24.0" customHeight="1"/>
    <row r="507" ht="24.0" customHeight="1"/>
    <row r="508" ht="24.0" customHeight="1"/>
    <row r="509" ht="24.0" customHeight="1"/>
    <row r="510" ht="24.0" customHeight="1"/>
    <row r="511" ht="24.0" customHeight="1"/>
    <row r="512" ht="24.0" customHeight="1"/>
    <row r="513" ht="24.0" customHeight="1"/>
    <row r="514" ht="24.0" customHeight="1"/>
    <row r="515" ht="24.0" customHeight="1"/>
    <row r="516" ht="24.0" customHeight="1"/>
    <row r="517" ht="24.0" customHeight="1"/>
    <row r="518" ht="24.0" customHeight="1"/>
    <row r="519" ht="24.0" customHeight="1"/>
    <row r="520" ht="24.0" customHeight="1"/>
    <row r="521" ht="24.0" customHeight="1"/>
    <row r="522" ht="24.0" customHeight="1"/>
    <row r="523" ht="24.0" customHeight="1"/>
    <row r="524" ht="24.0" customHeight="1"/>
    <row r="525" ht="24.0" customHeight="1"/>
    <row r="526" ht="24.0" customHeight="1"/>
    <row r="527" ht="24.0" customHeight="1"/>
    <row r="528" ht="24.0" customHeight="1"/>
    <row r="529" ht="24.0" customHeight="1"/>
    <row r="530" ht="24.0" customHeight="1"/>
    <row r="531" ht="24.0" customHeight="1"/>
    <row r="532" ht="24.0" customHeight="1"/>
    <row r="533" ht="24.0" customHeight="1"/>
    <row r="534" ht="24.0" customHeight="1"/>
    <row r="535" ht="24.0" customHeight="1"/>
    <row r="536" ht="24.0" customHeight="1"/>
    <row r="537" ht="24.0" customHeight="1"/>
    <row r="538" ht="24.0" customHeight="1"/>
    <row r="539" ht="24.0" customHeight="1"/>
    <row r="540" ht="24.0" customHeight="1"/>
    <row r="541" ht="24.0" customHeight="1"/>
    <row r="542" ht="24.0" customHeight="1"/>
    <row r="543" ht="24.0" customHeight="1"/>
    <row r="544" ht="24.0" customHeight="1"/>
    <row r="545" ht="24.0" customHeight="1"/>
    <row r="546" ht="24.0" customHeight="1"/>
    <row r="547" ht="24.0" customHeight="1"/>
    <row r="548" ht="24.0" customHeight="1"/>
    <row r="549" ht="24.0" customHeight="1"/>
    <row r="550" ht="24.0" customHeight="1"/>
    <row r="551" ht="24.0" customHeight="1"/>
    <row r="552" ht="24.0" customHeight="1"/>
    <row r="553" ht="24.0" customHeight="1"/>
    <row r="554" ht="24.0" customHeight="1"/>
    <row r="555" ht="24.0" customHeight="1"/>
    <row r="556" ht="24.0" customHeight="1"/>
    <row r="557" ht="24.0" customHeight="1"/>
    <row r="558" ht="24.0" customHeight="1"/>
    <row r="559" ht="24.0" customHeight="1"/>
    <row r="560" ht="24.0" customHeight="1"/>
    <row r="561" ht="24.0" customHeight="1"/>
    <row r="562" ht="24.0" customHeight="1"/>
    <row r="563" ht="24.0" customHeight="1"/>
    <row r="564" ht="24.0" customHeight="1"/>
    <row r="565" ht="24.0" customHeight="1"/>
    <row r="566" ht="24.0" customHeight="1"/>
    <row r="567" ht="24.0" customHeight="1"/>
    <row r="568" ht="24.0" customHeight="1"/>
    <row r="569" ht="24.0" customHeight="1"/>
    <row r="570" ht="24.0" customHeight="1"/>
    <row r="571" ht="24.0" customHeight="1"/>
    <row r="572" ht="24.0" customHeight="1"/>
    <row r="573" ht="24.0" customHeight="1"/>
    <row r="574" ht="24.0" customHeight="1"/>
    <row r="575" ht="24.0" customHeight="1"/>
    <row r="576" ht="24.0" customHeight="1"/>
    <row r="577" ht="24.0" customHeight="1"/>
    <row r="578" ht="24.0" customHeight="1"/>
    <row r="579" ht="24.0" customHeight="1"/>
    <row r="580" ht="24.0" customHeight="1"/>
    <row r="581" ht="24.0" customHeight="1"/>
    <row r="582" ht="24.0" customHeight="1"/>
    <row r="583" ht="24.0" customHeight="1"/>
    <row r="584" ht="24.0" customHeight="1"/>
    <row r="585" ht="24.0" customHeight="1"/>
    <row r="586" ht="24.0" customHeight="1"/>
    <row r="587" ht="24.0" customHeight="1"/>
    <row r="588" ht="24.0" customHeight="1"/>
    <row r="589" ht="24.0" customHeight="1"/>
    <row r="590" ht="24.0" customHeight="1"/>
    <row r="591" ht="24.0" customHeight="1"/>
    <row r="592" ht="24.0" customHeight="1"/>
    <row r="593" ht="24.0" customHeight="1"/>
    <row r="594" ht="24.0" customHeight="1"/>
    <row r="595" ht="24.0" customHeight="1"/>
    <row r="596" ht="24.0" customHeight="1"/>
    <row r="597" ht="24.0" customHeight="1"/>
    <row r="598" ht="24.0" customHeight="1"/>
    <row r="599" ht="24.0" customHeight="1"/>
    <row r="600" ht="24.0" customHeight="1"/>
    <row r="601" ht="24.0" customHeight="1"/>
    <row r="602" ht="24.0" customHeight="1"/>
    <row r="603" ht="24.0" customHeight="1"/>
    <row r="604" ht="24.0" customHeight="1"/>
    <row r="605" ht="24.0" customHeight="1"/>
    <row r="606" ht="24.0" customHeight="1"/>
    <row r="607" ht="24.0" customHeight="1"/>
    <row r="608" ht="24.0" customHeight="1"/>
    <row r="609" ht="24.0" customHeight="1"/>
    <row r="610" ht="24.0" customHeight="1"/>
    <row r="611" ht="24.0" customHeight="1"/>
    <row r="612" ht="24.0" customHeight="1"/>
    <row r="613" ht="24.0" customHeight="1"/>
    <row r="614" ht="24.0" customHeight="1"/>
    <row r="615" ht="24.0" customHeight="1"/>
    <row r="616" ht="24.0" customHeight="1"/>
    <row r="617" ht="24.0" customHeight="1"/>
    <row r="618" ht="24.0" customHeight="1"/>
    <row r="619" ht="24.0" customHeight="1"/>
    <row r="620" ht="24.0" customHeight="1"/>
    <row r="621" ht="24.0" customHeight="1"/>
    <row r="622" ht="24.0" customHeight="1"/>
    <row r="623" ht="24.0" customHeight="1"/>
    <row r="624" ht="24.0" customHeight="1"/>
    <row r="625" ht="24.0" customHeight="1"/>
    <row r="626" ht="24.0" customHeight="1"/>
    <row r="627" ht="24.0" customHeight="1"/>
    <row r="628" ht="24.0" customHeight="1"/>
    <row r="629" ht="24.0" customHeight="1"/>
    <row r="630" ht="24.0" customHeight="1"/>
    <row r="631" ht="24.0" customHeight="1"/>
    <row r="632" ht="24.0" customHeight="1"/>
    <row r="633" ht="24.0" customHeight="1"/>
    <row r="634" ht="24.0" customHeight="1"/>
    <row r="635" ht="24.0" customHeight="1"/>
    <row r="636" ht="24.0" customHeight="1"/>
    <row r="637" ht="24.0" customHeight="1"/>
    <row r="638" ht="24.0" customHeight="1"/>
    <row r="639" ht="24.0" customHeight="1"/>
    <row r="640" ht="24.0" customHeight="1"/>
    <row r="641" ht="24.0" customHeight="1"/>
    <row r="642" ht="24.0" customHeight="1"/>
    <row r="643" ht="24.0" customHeight="1"/>
    <row r="644" ht="24.0" customHeight="1"/>
    <row r="645" ht="24.0" customHeight="1"/>
    <row r="646" ht="24.0" customHeight="1"/>
    <row r="647" ht="24.0" customHeight="1"/>
    <row r="648" ht="24.0" customHeight="1"/>
    <row r="649" ht="24.0" customHeight="1"/>
    <row r="650" ht="24.0" customHeight="1"/>
    <row r="651" ht="24.0" customHeight="1"/>
    <row r="652" ht="24.0" customHeight="1"/>
    <row r="653" ht="24.0" customHeight="1"/>
    <row r="654" ht="24.0" customHeight="1"/>
    <row r="655" ht="24.0" customHeight="1"/>
    <row r="656" ht="24.0" customHeight="1"/>
    <row r="657" ht="24.0" customHeight="1"/>
    <row r="658" ht="24.0" customHeight="1"/>
    <row r="659" ht="24.0" customHeight="1"/>
    <row r="660" ht="24.0" customHeight="1"/>
    <row r="661" ht="24.0" customHeight="1"/>
    <row r="662" ht="24.0" customHeight="1"/>
    <row r="663" ht="24.0" customHeight="1"/>
    <row r="664" ht="24.0" customHeight="1"/>
    <row r="665" ht="24.0" customHeight="1"/>
    <row r="666" ht="24.0" customHeight="1"/>
    <row r="667" ht="24.0" customHeight="1"/>
    <row r="668" ht="24.0" customHeight="1"/>
    <row r="669" ht="24.0" customHeight="1"/>
    <row r="670" ht="24.0" customHeight="1"/>
    <row r="671" ht="24.0" customHeight="1"/>
    <row r="672" ht="24.0" customHeight="1"/>
    <row r="673" ht="24.0" customHeight="1"/>
    <row r="674" ht="24.0" customHeight="1"/>
    <row r="675" ht="24.0" customHeight="1"/>
    <row r="676" ht="24.0" customHeight="1"/>
    <row r="677" ht="24.0" customHeight="1"/>
    <row r="678" ht="24.0" customHeight="1"/>
    <row r="679" ht="24.0" customHeight="1"/>
    <row r="680" ht="24.0" customHeight="1"/>
    <row r="681" ht="24.0" customHeight="1"/>
    <row r="682" ht="24.0" customHeight="1"/>
    <row r="683" ht="24.0" customHeight="1"/>
    <row r="684" ht="24.0" customHeight="1"/>
    <row r="685" ht="24.0" customHeight="1"/>
    <row r="686" ht="24.0" customHeight="1"/>
    <row r="687" ht="24.0" customHeight="1"/>
    <row r="688" ht="24.0" customHeight="1"/>
    <row r="689" ht="24.0" customHeight="1"/>
    <row r="690" ht="24.0" customHeight="1"/>
    <row r="691" ht="24.0" customHeight="1"/>
    <row r="692" ht="24.0" customHeight="1"/>
    <row r="693" ht="24.0" customHeight="1"/>
    <row r="694" ht="24.0" customHeight="1"/>
    <row r="695" ht="24.0" customHeight="1"/>
    <row r="696" ht="24.0" customHeight="1"/>
    <row r="697" ht="24.0" customHeight="1"/>
    <row r="698" ht="24.0" customHeight="1"/>
    <row r="699" ht="24.0" customHeight="1"/>
    <row r="700" ht="24.0" customHeight="1"/>
    <row r="701" ht="24.0" customHeight="1"/>
    <row r="702" ht="24.0" customHeight="1"/>
    <row r="703" ht="24.0" customHeight="1"/>
    <row r="704" ht="24.0" customHeight="1"/>
    <row r="705" ht="24.0" customHeight="1"/>
    <row r="706" ht="24.0" customHeight="1"/>
    <row r="707" ht="24.0" customHeight="1"/>
    <row r="708" ht="24.0" customHeight="1"/>
    <row r="709" ht="24.0" customHeight="1"/>
    <row r="710" ht="24.0" customHeight="1"/>
    <row r="711" ht="24.0" customHeight="1"/>
    <row r="712" ht="24.0" customHeight="1"/>
    <row r="713" ht="24.0" customHeight="1"/>
    <row r="714" ht="24.0" customHeight="1"/>
    <row r="715" ht="24.0" customHeight="1"/>
    <row r="716" ht="24.0" customHeight="1"/>
    <row r="717" ht="24.0" customHeight="1"/>
    <row r="718" ht="24.0" customHeight="1"/>
    <row r="719" ht="24.0" customHeight="1"/>
    <row r="720" ht="24.0" customHeight="1"/>
    <row r="721" ht="24.0" customHeight="1"/>
    <row r="722" ht="24.0" customHeight="1"/>
    <row r="723" ht="24.0" customHeight="1"/>
    <row r="724" ht="24.0" customHeight="1"/>
    <row r="725" ht="24.0" customHeight="1"/>
    <row r="726" ht="24.0" customHeight="1"/>
    <row r="727" ht="24.0" customHeight="1"/>
    <row r="728" ht="24.0" customHeight="1"/>
    <row r="729" ht="24.0" customHeight="1"/>
    <row r="730" ht="24.0" customHeight="1"/>
    <row r="731" ht="24.0" customHeight="1"/>
    <row r="732" ht="24.0" customHeight="1"/>
    <row r="733" ht="24.0" customHeight="1"/>
    <row r="734" ht="24.0" customHeight="1"/>
    <row r="735" ht="24.0" customHeight="1"/>
    <row r="736" ht="24.0" customHeight="1"/>
    <row r="737" ht="24.0" customHeight="1"/>
    <row r="738" ht="24.0" customHeight="1"/>
    <row r="739" ht="24.0" customHeight="1"/>
    <row r="740" ht="24.0" customHeight="1"/>
    <row r="741" ht="24.0" customHeight="1"/>
    <row r="742" ht="24.0" customHeight="1"/>
    <row r="743" ht="24.0" customHeight="1"/>
    <row r="744" ht="24.0" customHeight="1"/>
    <row r="745" ht="24.0" customHeight="1"/>
    <row r="746" ht="24.0" customHeight="1"/>
    <row r="747" ht="24.0" customHeight="1"/>
    <row r="748" ht="24.0" customHeight="1"/>
    <row r="749" ht="24.0" customHeight="1"/>
    <row r="750" ht="24.0" customHeight="1"/>
    <row r="751" ht="24.0" customHeight="1"/>
    <row r="752" ht="24.0" customHeight="1"/>
    <row r="753" ht="24.0" customHeight="1"/>
    <row r="754" ht="24.0" customHeight="1"/>
    <row r="755" ht="24.0" customHeight="1"/>
    <row r="756" ht="24.0" customHeight="1"/>
    <row r="757" ht="24.0" customHeight="1"/>
    <row r="758" ht="24.0" customHeight="1"/>
    <row r="759" ht="24.0" customHeight="1"/>
    <row r="760" ht="24.0" customHeight="1"/>
    <row r="761" ht="24.0" customHeight="1"/>
    <row r="762" ht="24.0" customHeight="1"/>
    <row r="763" ht="24.0" customHeight="1"/>
    <row r="764" ht="24.0" customHeight="1"/>
    <row r="765" ht="24.0" customHeight="1"/>
    <row r="766" ht="24.0" customHeight="1"/>
    <row r="767" ht="24.0" customHeight="1"/>
    <row r="768" ht="24.0" customHeight="1"/>
    <row r="769" ht="24.0" customHeight="1"/>
    <row r="770" ht="24.0" customHeight="1"/>
    <row r="771" ht="24.0" customHeight="1"/>
    <row r="772" ht="24.0" customHeight="1"/>
    <row r="773" ht="24.0" customHeight="1"/>
    <row r="774" ht="24.0" customHeight="1"/>
    <row r="775" ht="24.0" customHeight="1"/>
    <row r="776" ht="24.0" customHeight="1"/>
    <row r="777" ht="24.0" customHeight="1"/>
    <row r="778" ht="24.0" customHeight="1"/>
    <row r="779" ht="24.0" customHeight="1"/>
    <row r="780" ht="24.0" customHeight="1"/>
    <row r="781" ht="24.0" customHeight="1"/>
    <row r="782" ht="24.0" customHeight="1"/>
    <row r="783" ht="24.0" customHeight="1"/>
    <row r="784" ht="24.0" customHeight="1"/>
    <row r="785" ht="24.0" customHeight="1"/>
    <row r="786" ht="24.0" customHeight="1"/>
    <row r="787" ht="24.0" customHeight="1"/>
    <row r="788" ht="24.0" customHeight="1"/>
    <row r="789" ht="24.0" customHeight="1"/>
    <row r="790" ht="24.0" customHeight="1"/>
    <row r="791" ht="24.0" customHeight="1"/>
    <row r="792" ht="24.0" customHeight="1"/>
    <row r="793" ht="24.0" customHeight="1"/>
    <row r="794" ht="24.0" customHeight="1"/>
    <row r="795" ht="24.0" customHeight="1"/>
    <row r="796" ht="24.0" customHeight="1"/>
    <row r="797" ht="24.0" customHeight="1"/>
    <row r="798" ht="24.0" customHeight="1"/>
    <row r="799" ht="24.0" customHeight="1"/>
    <row r="800" ht="24.0" customHeight="1"/>
    <row r="801" ht="24.0" customHeight="1"/>
    <row r="802" ht="24.0" customHeight="1"/>
    <row r="803" ht="24.0" customHeight="1"/>
    <row r="804" ht="24.0" customHeight="1"/>
    <row r="805" ht="24.0" customHeight="1"/>
    <row r="806" ht="24.0" customHeight="1"/>
    <row r="807" ht="24.0" customHeight="1"/>
    <row r="808" ht="24.0" customHeight="1"/>
    <row r="809" ht="24.0" customHeight="1"/>
    <row r="810" ht="24.0" customHeight="1"/>
    <row r="811" ht="24.0" customHeight="1"/>
    <row r="812" ht="24.0" customHeight="1"/>
    <row r="813" ht="24.0" customHeight="1"/>
    <row r="814" ht="24.0" customHeight="1"/>
    <row r="815" ht="24.0" customHeight="1"/>
    <row r="816" ht="24.0" customHeight="1"/>
    <row r="817" ht="24.0" customHeight="1"/>
    <row r="818" ht="24.0" customHeight="1"/>
    <row r="819" ht="24.0" customHeight="1"/>
    <row r="820" ht="24.0" customHeight="1"/>
    <row r="821" ht="24.0" customHeight="1"/>
    <row r="822" ht="24.0" customHeight="1"/>
    <row r="823" ht="24.0" customHeight="1"/>
    <row r="824" ht="24.0" customHeight="1"/>
    <row r="825" ht="24.0" customHeight="1"/>
    <row r="826" ht="24.0" customHeight="1"/>
    <row r="827" ht="24.0" customHeight="1"/>
    <row r="828" ht="24.0" customHeight="1"/>
    <row r="829" ht="24.0" customHeight="1"/>
    <row r="830" ht="24.0" customHeight="1"/>
    <row r="831" ht="24.0" customHeight="1"/>
    <row r="832" ht="24.0" customHeight="1"/>
    <row r="833" ht="24.0" customHeight="1"/>
    <row r="834" ht="24.0" customHeight="1"/>
    <row r="835" ht="24.0" customHeight="1"/>
    <row r="836" ht="24.0" customHeight="1"/>
    <row r="837" ht="24.0" customHeight="1"/>
    <row r="838" ht="24.0" customHeight="1"/>
    <row r="839" ht="24.0" customHeight="1"/>
    <row r="840" ht="24.0" customHeight="1"/>
    <row r="841" ht="24.0" customHeight="1"/>
    <row r="842" ht="24.0" customHeight="1"/>
    <row r="843" ht="24.0" customHeight="1"/>
    <row r="844" ht="24.0" customHeight="1"/>
    <row r="845" ht="24.0" customHeight="1"/>
    <row r="846" ht="24.0" customHeight="1"/>
    <row r="847" ht="24.0" customHeight="1"/>
    <row r="848" ht="24.0" customHeight="1"/>
    <row r="849" ht="24.0" customHeight="1"/>
    <row r="850" ht="24.0" customHeight="1"/>
    <row r="851" ht="24.0" customHeight="1"/>
    <row r="852" ht="24.0" customHeight="1"/>
    <row r="853" ht="24.0" customHeight="1"/>
    <row r="854" ht="24.0" customHeight="1"/>
    <row r="855" ht="24.0" customHeight="1"/>
    <row r="856" ht="24.0" customHeight="1"/>
    <row r="857" ht="24.0" customHeight="1"/>
    <row r="858" ht="24.0" customHeight="1"/>
    <row r="859" ht="24.0" customHeight="1"/>
    <row r="860" ht="24.0" customHeight="1"/>
    <row r="861" ht="24.0" customHeight="1"/>
    <row r="862" ht="24.0" customHeight="1"/>
    <row r="863" ht="24.0" customHeight="1"/>
    <row r="864" ht="24.0" customHeight="1"/>
    <row r="865" ht="24.0" customHeight="1"/>
    <row r="866" ht="24.0" customHeight="1"/>
    <row r="867" ht="24.0" customHeight="1"/>
    <row r="868" ht="24.0" customHeight="1"/>
    <row r="869" ht="24.0" customHeight="1"/>
    <row r="870" ht="24.0" customHeight="1"/>
    <row r="871" ht="24.0" customHeight="1"/>
    <row r="872" ht="24.0" customHeight="1"/>
    <row r="873" ht="24.0" customHeight="1"/>
    <row r="874" ht="24.0" customHeight="1"/>
    <row r="875" ht="24.0" customHeight="1"/>
    <row r="876" ht="24.0" customHeight="1"/>
    <row r="877" ht="24.0" customHeight="1"/>
    <row r="878" ht="24.0" customHeight="1"/>
    <row r="879" ht="24.0" customHeight="1"/>
    <row r="880" ht="24.0" customHeight="1"/>
    <row r="881" ht="24.0" customHeight="1"/>
    <row r="882" ht="24.0" customHeight="1"/>
    <row r="883" ht="24.0" customHeight="1"/>
    <row r="884" ht="24.0" customHeight="1"/>
    <row r="885" ht="24.0" customHeight="1"/>
    <row r="886" ht="24.0" customHeight="1"/>
    <row r="887" ht="24.0" customHeight="1"/>
    <row r="888" ht="24.0" customHeight="1"/>
    <row r="889" ht="24.0" customHeight="1"/>
    <row r="890" ht="24.0" customHeight="1"/>
    <row r="891" ht="24.0" customHeight="1"/>
    <row r="892" ht="24.0" customHeight="1"/>
    <row r="893" ht="24.0" customHeight="1"/>
    <row r="894" ht="24.0" customHeight="1"/>
    <row r="895" ht="24.0" customHeight="1"/>
    <row r="896" ht="24.0" customHeight="1"/>
    <row r="897" ht="24.0" customHeight="1"/>
    <row r="898" ht="24.0" customHeight="1"/>
    <row r="899" ht="24.0" customHeight="1"/>
    <row r="900" ht="24.0" customHeight="1"/>
    <row r="901" ht="24.0" customHeight="1"/>
    <row r="902" ht="24.0" customHeight="1"/>
    <row r="903" ht="24.0" customHeight="1"/>
    <row r="904" ht="24.0" customHeight="1"/>
    <row r="905" ht="24.0" customHeight="1"/>
    <row r="906" ht="24.0" customHeight="1"/>
    <row r="907" ht="24.0" customHeight="1"/>
    <row r="908" ht="24.0" customHeight="1"/>
    <row r="909" ht="24.0" customHeight="1"/>
    <row r="910" ht="24.0" customHeight="1"/>
    <row r="911" ht="24.0" customHeight="1"/>
    <row r="912" ht="24.0" customHeight="1"/>
    <row r="913" ht="24.0" customHeight="1"/>
    <row r="914" ht="24.0" customHeight="1"/>
    <row r="915" ht="24.0" customHeight="1"/>
    <row r="916" ht="24.0" customHeight="1"/>
    <row r="917" ht="24.0" customHeight="1"/>
    <row r="918" ht="24.0" customHeight="1"/>
    <row r="919" ht="24.0" customHeight="1"/>
    <row r="920" ht="24.0" customHeight="1"/>
    <row r="921" ht="24.0" customHeight="1"/>
    <row r="922" ht="24.0" customHeight="1"/>
    <row r="923" ht="24.0" customHeight="1"/>
    <row r="924" ht="24.0" customHeight="1"/>
    <row r="925" ht="24.0" customHeight="1"/>
    <row r="926" ht="24.0" customHeight="1"/>
    <row r="927" ht="24.0" customHeight="1"/>
    <row r="928" ht="24.0" customHeight="1"/>
    <row r="929" ht="24.0" customHeight="1"/>
    <row r="930" ht="24.0" customHeight="1"/>
    <row r="931" ht="24.0" customHeight="1"/>
    <row r="932" ht="24.0" customHeight="1"/>
    <row r="933" ht="24.0" customHeight="1"/>
    <row r="934" ht="24.0" customHeight="1"/>
    <row r="935" ht="24.0" customHeight="1"/>
    <row r="936" ht="24.0" customHeight="1"/>
    <row r="937" ht="24.0" customHeight="1"/>
    <row r="938" ht="24.0" customHeight="1"/>
    <row r="939" ht="24.0" customHeight="1"/>
    <row r="940" ht="24.0" customHeight="1"/>
    <row r="941" ht="24.0" customHeight="1"/>
    <row r="942" ht="24.0" customHeight="1"/>
    <row r="943" ht="24.0" customHeight="1"/>
    <row r="944" ht="24.0" customHeight="1"/>
    <row r="945" ht="24.0" customHeight="1"/>
    <row r="946" ht="24.0" customHeight="1"/>
    <row r="947" ht="24.0" customHeight="1"/>
    <row r="948" ht="24.0" customHeight="1"/>
    <row r="949" ht="24.0" customHeight="1"/>
    <row r="950" ht="24.0" customHeight="1"/>
    <row r="951" ht="24.0" customHeight="1"/>
    <row r="952" ht="24.0" customHeight="1"/>
    <row r="953" ht="24.0" customHeight="1"/>
    <row r="954" ht="24.0" customHeight="1"/>
    <row r="955" ht="24.0" customHeight="1"/>
    <row r="956" ht="24.0" customHeight="1"/>
    <row r="957" ht="24.0" customHeight="1"/>
    <row r="958" ht="24.0" customHeight="1"/>
    <row r="959" ht="24.0" customHeight="1"/>
    <row r="960" ht="24.0" customHeight="1"/>
    <row r="961" ht="24.0" customHeight="1"/>
    <row r="962" ht="24.0" customHeight="1"/>
    <row r="963" ht="24.0" customHeight="1"/>
    <row r="964" ht="24.0" customHeight="1"/>
    <row r="965" ht="24.0" customHeight="1"/>
    <row r="966" ht="24.0" customHeight="1"/>
    <row r="967" ht="24.0" customHeight="1"/>
    <row r="968" ht="24.0" customHeight="1"/>
    <row r="969" ht="24.0" customHeight="1"/>
    <row r="970" ht="24.0" customHeight="1"/>
    <row r="971" ht="24.0" customHeight="1"/>
    <row r="972" ht="24.0" customHeight="1"/>
    <row r="973" ht="24.0" customHeight="1"/>
    <row r="974" ht="24.0" customHeight="1"/>
    <row r="975" ht="24.0" customHeight="1"/>
    <row r="976" ht="24.0" customHeight="1"/>
    <row r="977" ht="24.0" customHeight="1"/>
    <row r="978" ht="24.0" customHeight="1"/>
    <row r="979" ht="24.0" customHeight="1"/>
    <row r="980" ht="24.0" customHeight="1"/>
    <row r="981" ht="24.0" customHeight="1"/>
    <row r="982" ht="24.0" customHeight="1"/>
    <row r="983" ht="24.0" customHeight="1"/>
    <row r="984" ht="24.0" customHeight="1"/>
    <row r="985" ht="24.0" customHeight="1"/>
    <row r="986" ht="24.0" customHeight="1"/>
    <row r="987" ht="24.0" customHeight="1"/>
    <row r="988" ht="24.0" customHeight="1"/>
    <row r="989" ht="24.0" customHeight="1"/>
    <row r="990" ht="24.0" customHeight="1"/>
    <row r="991" ht="24.0" customHeight="1"/>
    <row r="992" ht="24.0" customHeight="1"/>
    <row r="993" ht="24.0" customHeight="1"/>
    <row r="994" ht="24.0" customHeight="1"/>
    <row r="995" ht="24.0" customHeight="1"/>
    <row r="996" ht="24.0" customHeight="1"/>
    <row r="997" ht="24.0" customHeight="1"/>
    <row r="998" ht="24.0" customHeight="1"/>
    <row r="999" ht="24.0" customHeight="1"/>
    <row r="1000" ht="24.0" customHeight="1"/>
  </sheetData>
  <mergeCells count="2">
    <mergeCell ref="B1:F1"/>
    <mergeCell ref="B7:E7"/>
  </mergeCells>
  <conditionalFormatting sqref="E4">
    <cfRule type="expression" dxfId="0" priority="1">
      <formula>AND(ISNUMBER(E4),ROUND(E4,2)=INT(ROUND(E4,2)))</formula>
    </cfRule>
  </conditionalFormatting>
  <conditionalFormatting sqref="E4">
    <cfRule type="expression" dxfId="1" priority="2">
      <formula>AND(ISNUMBER(E4),ROUND(E4,2)&lt;&gt;INT(ROUND(E4,2)))</formula>
    </cfRule>
  </conditionalFormatting>
  <conditionalFormatting sqref="F4">
    <cfRule type="expression" dxfId="0" priority="3">
      <formula>AND(ISNUMBER(F4),ROUND(F4,2)=INT(ROUND(F4,2)))</formula>
    </cfRule>
  </conditionalFormatting>
  <conditionalFormatting sqref="F4">
    <cfRule type="expression" dxfId="1" priority="4">
      <formula>AND(ISNUMBER(F4),ROUND(F4,2)&lt;&gt;INT(ROUND(F4,2)))</formula>
    </cfRule>
  </conditionalFormatting>
  <conditionalFormatting sqref="F7">
    <cfRule type="expression" dxfId="0" priority="5">
      <formula>AND(ISNUMBER(F7),ROUND(F7,2)=INT(ROUND(F7,2)))</formula>
    </cfRule>
  </conditionalFormatting>
  <conditionalFormatting sqref="F7">
    <cfRule type="expression" dxfId="1" priority="6">
      <formula>AND(ISNUMBER(F7),ROUND(F7,2)&lt;&gt;INT(ROUND(F7,2)))</formula>
    </cfRule>
  </conditionalFormatting>
  <dataValidations>
    <dataValidation type="decimal" operator="greaterThanOrEqual" allowBlank="1" showInputMessage="1" showErrorMessage="1" prompt="יש להזין מספר לא שלילי" sqref="D4">
      <formula1>0.0</formula1>
    </dataValidation>
    <dataValidation type="custom" allowBlank="1" showInputMessage="1" showErrorMessage="1" prompt="מספר לא שלילי, כלול או לא רלוונטי בלבד" sqref="E4">
      <formula1>OR(ISBLANK(E4),AND(ISNUMBER(E4),E4&gt;=0),E4="כלול",E4="לא רלוונטי")</formula1>
    </dataValidation>
  </dataValidations>
  <printOptions/>
  <pageMargins bottom="0.75" footer="0.0" header="0.0" left="0.25" right="0.25" top="0.75"/>
  <pageSetup fitToHeight="0" paperSize="9" orientation="portrait"/>
  <headerFooter>
    <oddFooter>&amp;Cעמוד &amp;P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rightToLeft="1" workbookViewId="0"/>
  </sheetViews>
  <sheetFormatPr customHeight="1" defaultColWidth="14.43" defaultRowHeight="15.0"/>
  <cols>
    <col customWidth="1" min="1" max="1" width="7.29"/>
    <col customWidth="1" min="2" max="2" width="66.29"/>
    <col customWidth="1" min="3" max="6" width="8.14"/>
    <col customWidth="1" hidden="1" min="7" max="7" width="36.0"/>
    <col customWidth="1" hidden="1" min="8" max="8" width="12.0"/>
    <col customWidth="1" min="9" max="26" width="8.71"/>
  </cols>
  <sheetData>
    <row r="1" ht="31.5" customHeight="1">
      <c r="A1" s="10">
        <v>6.0</v>
      </c>
      <c r="B1" s="3" t="s">
        <v>41</v>
      </c>
      <c r="G1" s="2" t="s">
        <v>40</v>
      </c>
      <c r="H1" s="2" t="s">
        <v>53</v>
      </c>
    </row>
    <row r="2" ht="31.5" customHeight="1">
      <c r="A2" s="16" t="s">
        <v>59</v>
      </c>
      <c r="B2" s="17" t="s">
        <v>67</v>
      </c>
      <c r="C2" s="16" t="s">
        <v>72</v>
      </c>
      <c r="D2" s="16" t="s">
        <v>76</v>
      </c>
      <c r="E2" s="16" t="s">
        <v>79</v>
      </c>
      <c r="F2" s="16" t="s">
        <v>81</v>
      </c>
      <c r="G2" s="2"/>
      <c r="H2" s="2" t="s">
        <v>84</v>
      </c>
    </row>
    <row r="3" ht="81.0" customHeight="1">
      <c r="A3" s="19"/>
      <c r="B3" s="20" t="s">
        <v>230</v>
      </c>
      <c r="C3" s="19"/>
      <c r="D3" s="19"/>
      <c r="E3" s="19"/>
      <c r="F3" s="19"/>
      <c r="G3" s="12" t="s">
        <v>231</v>
      </c>
      <c r="H3" s="12" t="s">
        <v>105</v>
      </c>
    </row>
    <row r="4" ht="63.75" customHeight="1">
      <c r="A4" s="19" t="s">
        <v>232</v>
      </c>
      <c r="B4" s="20" t="s">
        <v>233</v>
      </c>
      <c r="C4" s="19" t="s">
        <v>108</v>
      </c>
      <c r="D4" s="19"/>
      <c r="E4" s="22"/>
      <c r="F4" s="22" t="str">
        <f t="shared" ref="F4:F7" si="1">IF(ISBLANK(D4),"",IF(NOT(ISNUMBER(D4)),"קלט לא תקין",IF(D4&lt;0,"קלט לא תקין",IF(ISBLANK(E4),"",IF(OR(E4="כלול",E4="לא רלוונטי"),0,IF(NOT(ISNUMBER(E4)),"קלט לא תקין",IF(E4&lt;0,"קלט לא תקין",ROUND(D4*E4,2))))))))</f>
        <v/>
      </c>
      <c r="G4" s="12" t="s">
        <v>238</v>
      </c>
      <c r="H4" s="12" t="s">
        <v>113</v>
      </c>
    </row>
    <row r="5" ht="63.75" customHeight="1">
      <c r="A5" s="19" t="s">
        <v>239</v>
      </c>
      <c r="B5" s="20" t="s">
        <v>240</v>
      </c>
      <c r="C5" s="19" t="s">
        <v>108</v>
      </c>
      <c r="D5" s="19"/>
      <c r="E5" s="22"/>
      <c r="F5" s="22" t="str">
        <f t="shared" si="1"/>
        <v/>
      </c>
      <c r="G5" s="12" t="s">
        <v>241</v>
      </c>
      <c r="H5" s="12" t="s">
        <v>113</v>
      </c>
    </row>
    <row r="6" ht="63.75" customHeight="1">
      <c r="A6" s="19" t="s">
        <v>242</v>
      </c>
      <c r="B6" s="20" t="s">
        <v>243</v>
      </c>
      <c r="C6" s="19" t="s">
        <v>108</v>
      </c>
      <c r="D6" s="19"/>
      <c r="E6" s="22"/>
      <c r="F6" s="22" t="str">
        <f t="shared" si="1"/>
        <v/>
      </c>
      <c r="G6" s="12" t="s">
        <v>245</v>
      </c>
      <c r="H6" s="12" t="s">
        <v>113</v>
      </c>
    </row>
    <row r="7" ht="46.5" customHeight="1">
      <c r="A7" s="19" t="s">
        <v>246</v>
      </c>
      <c r="B7" s="20" t="s">
        <v>248</v>
      </c>
      <c r="C7" s="19" t="s">
        <v>147</v>
      </c>
      <c r="D7" s="19"/>
      <c r="E7" s="22"/>
      <c r="F7" s="22" t="str">
        <f t="shared" si="1"/>
        <v/>
      </c>
      <c r="G7" s="12" t="s">
        <v>250</v>
      </c>
      <c r="H7" s="12" t="s">
        <v>113</v>
      </c>
    </row>
    <row r="8" ht="303.0" customHeight="1">
      <c r="A8" s="19"/>
      <c r="B8" s="20"/>
      <c r="C8" s="19"/>
      <c r="D8" s="19"/>
      <c r="E8" s="19"/>
      <c r="F8" s="19"/>
      <c r="G8" s="12"/>
      <c r="H8" s="12" t="s">
        <v>86</v>
      </c>
    </row>
    <row r="9" ht="31.5" customHeight="1">
      <c r="A9" s="6"/>
      <c r="B9" s="7" t="s">
        <v>254</v>
      </c>
      <c r="C9" s="8"/>
      <c r="D9" s="8"/>
      <c r="E9" s="9"/>
      <c r="F9" s="23">
        <f>SUM(F4,F5,F6,F7)</f>
        <v>0</v>
      </c>
      <c r="G9" s="12"/>
      <c r="H9" s="12" t="s">
        <v>136</v>
      </c>
    </row>
    <row r="10" ht="24.0" customHeight="1"/>
    <row r="11" ht="24.0" customHeight="1"/>
    <row r="12" ht="24.0" customHeight="1"/>
    <row r="13" ht="24.0" customHeight="1"/>
    <row r="14" ht="24.0" customHeight="1"/>
    <row r="15" ht="24.0" customHeight="1"/>
    <row r="16" ht="24.0" customHeight="1"/>
    <row r="17" ht="24.0" customHeight="1"/>
    <row r="18" ht="24.0" customHeight="1"/>
    <row r="19" ht="24.0" customHeight="1"/>
    <row r="20" ht="24.0" customHeight="1"/>
    <row r="21" ht="24.0" customHeight="1"/>
    <row r="22" ht="24.0" customHeight="1"/>
    <row r="23" ht="24.0" customHeight="1"/>
    <row r="24" ht="24.0" customHeight="1"/>
    <row r="25" ht="24.0" customHeight="1"/>
    <row r="26" ht="24.0" customHeight="1"/>
    <row r="27" ht="24.0" customHeight="1"/>
    <row r="28" ht="24.0" customHeight="1"/>
    <row r="29" ht="24.0" customHeight="1"/>
    <row r="30" ht="24.0" customHeight="1"/>
    <row r="31" ht="24.0" customHeight="1"/>
    <row r="32" ht="24.0" customHeight="1"/>
    <row r="33" ht="24.0" customHeight="1"/>
    <row r="34" ht="24.0" customHeight="1"/>
    <row r="35" ht="24.0" customHeight="1"/>
    <row r="36" ht="24.0" customHeight="1"/>
    <row r="37" ht="24.0" customHeight="1"/>
    <row r="38" ht="24.0" customHeight="1"/>
    <row r="39" ht="24.0" customHeight="1"/>
    <row r="40" ht="24.0" customHeight="1"/>
    <row r="41" ht="24.0" customHeight="1"/>
    <row r="42" ht="24.0" customHeight="1"/>
    <row r="43" ht="24.0" customHeight="1"/>
    <row r="44" ht="24.0" customHeight="1"/>
    <row r="45" ht="24.0" customHeight="1"/>
    <row r="46" ht="24.0" customHeight="1"/>
    <row r="47" ht="24.0" customHeight="1"/>
    <row r="48" ht="24.0" customHeight="1"/>
    <row r="49" ht="24.0" customHeight="1"/>
    <row r="50" ht="24.0" customHeight="1"/>
    <row r="51" ht="24.0" customHeight="1"/>
    <row r="52" ht="24.0" customHeight="1"/>
    <row r="53" ht="24.0" customHeight="1"/>
    <row r="54" ht="24.0" customHeight="1"/>
    <row r="55" ht="24.0" customHeight="1"/>
    <row r="56" ht="24.0" customHeight="1"/>
    <row r="57" ht="24.0" customHeight="1"/>
    <row r="58" ht="24.0" customHeight="1"/>
    <row r="59" ht="24.0" customHeight="1"/>
    <row r="60" ht="24.0" customHeight="1"/>
    <row r="61" ht="24.0" customHeight="1"/>
    <row r="62" ht="24.0" customHeight="1"/>
    <row r="63" ht="24.0" customHeight="1"/>
    <row r="64" ht="24.0" customHeight="1"/>
    <row r="65" ht="24.0" customHeight="1"/>
    <row r="66" ht="24.0" customHeight="1"/>
    <row r="67" ht="24.0" customHeight="1"/>
    <row r="68" ht="24.0" customHeight="1"/>
    <row r="69" ht="24.0" customHeight="1"/>
    <row r="70" ht="24.0" customHeight="1"/>
    <row r="71" ht="24.0" customHeight="1"/>
    <row r="72" ht="24.0" customHeight="1"/>
    <row r="73" ht="24.0" customHeight="1"/>
    <row r="74" ht="24.0" customHeight="1"/>
    <row r="75" ht="24.0" customHeight="1"/>
    <row r="76" ht="24.0" customHeight="1"/>
    <row r="77" ht="24.0" customHeight="1"/>
    <row r="78" ht="24.0" customHeight="1"/>
    <row r="79" ht="24.0" customHeight="1"/>
    <row r="80" ht="24.0" customHeight="1"/>
    <row r="81" ht="24.0" customHeight="1"/>
    <row r="82" ht="24.0" customHeight="1"/>
    <row r="83" ht="24.0" customHeight="1"/>
    <row r="84" ht="24.0" customHeight="1"/>
    <row r="85" ht="24.0" customHeight="1"/>
    <row r="86" ht="24.0" customHeight="1"/>
    <row r="87" ht="24.0" customHeight="1"/>
    <row r="88" ht="24.0" customHeight="1"/>
    <row r="89" ht="24.0" customHeight="1"/>
    <row r="90" ht="24.0" customHeight="1"/>
    <row r="91" ht="24.0" customHeight="1"/>
    <row r="92" ht="24.0" customHeight="1"/>
    <row r="93" ht="24.0" customHeight="1"/>
    <row r="94" ht="24.0" customHeight="1"/>
    <row r="95" ht="24.0" customHeight="1"/>
    <row r="96" ht="24.0" customHeight="1"/>
    <row r="97" ht="24.0" customHeight="1"/>
    <row r="98" ht="24.0" customHeight="1"/>
    <row r="99" ht="24.0" customHeight="1"/>
    <row r="100" ht="24.0" customHeight="1"/>
    <row r="101" ht="24.0" customHeight="1"/>
    <row r="102" ht="24.0" customHeight="1"/>
    <row r="103" ht="24.0" customHeight="1"/>
    <row r="104" ht="24.0" customHeight="1"/>
    <row r="105" ht="24.0" customHeight="1"/>
    <row r="106" ht="24.0" customHeight="1"/>
    <row r="107" ht="24.0" customHeight="1"/>
    <row r="108" ht="24.0" customHeight="1"/>
    <row r="109" ht="24.0" customHeight="1"/>
    <row r="110" ht="24.0" customHeight="1"/>
    <row r="111" ht="24.0" customHeight="1"/>
    <row r="112" ht="24.0" customHeight="1"/>
    <row r="113" ht="24.0" customHeight="1"/>
    <row r="114" ht="24.0" customHeight="1"/>
    <row r="115" ht="24.0" customHeight="1"/>
    <row r="116" ht="24.0" customHeight="1"/>
    <row r="117" ht="24.0" customHeight="1"/>
    <row r="118" ht="24.0" customHeight="1"/>
    <row r="119" ht="24.0" customHeight="1"/>
    <row r="120" ht="24.0" customHeight="1"/>
    <row r="121" ht="24.0" customHeight="1"/>
    <row r="122" ht="24.0" customHeight="1"/>
    <row r="123" ht="24.0" customHeight="1"/>
    <row r="124" ht="24.0" customHeight="1"/>
    <row r="125" ht="24.0" customHeight="1"/>
    <row r="126" ht="24.0" customHeight="1"/>
    <row r="127" ht="24.0" customHeight="1"/>
    <row r="128" ht="24.0" customHeight="1"/>
    <row r="129" ht="24.0" customHeight="1"/>
    <row r="130" ht="24.0" customHeight="1"/>
    <row r="131" ht="24.0" customHeight="1"/>
    <row r="132" ht="24.0" customHeight="1"/>
    <row r="133" ht="24.0" customHeight="1"/>
    <row r="134" ht="24.0" customHeight="1"/>
    <row r="135" ht="24.0" customHeight="1"/>
    <row r="136" ht="24.0" customHeight="1"/>
    <row r="137" ht="24.0" customHeight="1"/>
    <row r="138" ht="24.0" customHeight="1"/>
    <row r="139" ht="24.0" customHeight="1"/>
    <row r="140" ht="24.0" customHeight="1"/>
    <row r="141" ht="24.0" customHeight="1"/>
    <row r="142" ht="24.0" customHeight="1"/>
    <row r="143" ht="24.0" customHeight="1"/>
    <row r="144" ht="24.0" customHeight="1"/>
    <row r="145" ht="24.0" customHeight="1"/>
    <row r="146" ht="24.0" customHeight="1"/>
    <row r="147" ht="24.0" customHeight="1"/>
    <row r="148" ht="24.0" customHeight="1"/>
    <row r="149" ht="24.0" customHeight="1"/>
    <row r="150" ht="24.0" customHeight="1"/>
    <row r="151" ht="24.0" customHeight="1"/>
    <row r="152" ht="24.0" customHeight="1"/>
    <row r="153" ht="24.0" customHeight="1"/>
    <row r="154" ht="24.0" customHeight="1"/>
    <row r="155" ht="24.0" customHeight="1"/>
    <row r="156" ht="24.0" customHeight="1"/>
    <row r="157" ht="24.0" customHeight="1"/>
    <row r="158" ht="24.0" customHeight="1"/>
    <row r="159" ht="24.0" customHeight="1"/>
    <row r="160" ht="24.0" customHeight="1"/>
    <row r="161" ht="24.0" customHeight="1"/>
    <row r="162" ht="24.0" customHeight="1"/>
    <row r="163" ht="24.0" customHeight="1"/>
    <row r="164" ht="24.0" customHeight="1"/>
    <row r="165" ht="24.0" customHeight="1"/>
    <row r="166" ht="24.0" customHeight="1"/>
    <row r="167" ht="24.0" customHeight="1"/>
    <row r="168" ht="24.0" customHeight="1"/>
    <row r="169" ht="24.0" customHeight="1"/>
    <row r="170" ht="24.0" customHeight="1"/>
    <row r="171" ht="24.0" customHeight="1"/>
    <row r="172" ht="24.0" customHeight="1"/>
    <row r="173" ht="24.0" customHeight="1"/>
    <row r="174" ht="24.0" customHeight="1"/>
    <row r="175" ht="24.0" customHeight="1"/>
    <row r="176" ht="24.0" customHeight="1"/>
    <row r="177" ht="24.0" customHeight="1"/>
    <row r="178" ht="24.0" customHeight="1"/>
    <row r="179" ht="24.0" customHeight="1"/>
    <row r="180" ht="24.0" customHeight="1"/>
    <row r="181" ht="24.0" customHeight="1"/>
    <row r="182" ht="24.0" customHeight="1"/>
    <row r="183" ht="24.0" customHeight="1"/>
    <row r="184" ht="24.0" customHeight="1"/>
    <row r="185" ht="24.0" customHeight="1"/>
    <row r="186" ht="24.0" customHeight="1"/>
    <row r="187" ht="24.0" customHeight="1"/>
    <row r="188" ht="24.0" customHeight="1"/>
    <row r="189" ht="24.0" customHeight="1"/>
    <row r="190" ht="24.0" customHeight="1"/>
    <row r="191" ht="24.0" customHeight="1"/>
    <row r="192" ht="24.0" customHeight="1"/>
    <row r="193" ht="24.0" customHeight="1"/>
    <row r="194" ht="24.0" customHeight="1"/>
    <row r="195" ht="24.0" customHeight="1"/>
    <row r="196" ht="24.0" customHeight="1"/>
    <row r="197" ht="24.0" customHeight="1"/>
    <row r="198" ht="24.0" customHeight="1"/>
    <row r="199" ht="24.0" customHeight="1"/>
    <row r="200" ht="24.0" customHeight="1"/>
    <row r="201" ht="24.0" customHeight="1"/>
    <row r="202" ht="24.0" customHeight="1"/>
    <row r="203" ht="24.0" customHeight="1"/>
    <row r="204" ht="24.0" customHeight="1"/>
    <row r="205" ht="24.0" customHeight="1"/>
    <row r="206" ht="24.0" customHeight="1"/>
    <row r="207" ht="24.0" customHeight="1"/>
    <row r="208" ht="24.0" customHeight="1"/>
    <row r="209" ht="24.0" customHeight="1"/>
    <row r="210" ht="24.0" customHeight="1"/>
    <row r="211" ht="24.0" customHeight="1"/>
    <row r="212" ht="24.0" customHeight="1"/>
    <row r="213" ht="24.0" customHeight="1"/>
    <row r="214" ht="24.0" customHeight="1"/>
    <row r="215" ht="24.0" customHeight="1"/>
    <row r="216" ht="24.0" customHeight="1"/>
    <row r="217" ht="24.0" customHeight="1"/>
    <row r="218" ht="24.0" customHeight="1"/>
    <row r="219" ht="24.0" customHeight="1"/>
    <row r="220" ht="24.0" customHeight="1"/>
    <row r="221" ht="24.0" customHeight="1"/>
    <row r="222" ht="24.0" customHeight="1"/>
    <row r="223" ht="24.0" customHeight="1"/>
    <row r="224" ht="24.0" customHeight="1"/>
    <row r="225" ht="24.0" customHeight="1"/>
    <row r="226" ht="24.0" customHeight="1"/>
    <row r="227" ht="24.0" customHeight="1"/>
    <row r="228" ht="24.0" customHeight="1"/>
    <row r="229" ht="24.0" customHeight="1"/>
    <row r="230" ht="24.0" customHeight="1"/>
    <row r="231" ht="24.0" customHeight="1"/>
    <row r="232" ht="24.0" customHeight="1"/>
    <row r="233" ht="24.0" customHeight="1"/>
    <row r="234" ht="24.0" customHeight="1"/>
    <row r="235" ht="24.0" customHeight="1"/>
    <row r="236" ht="24.0" customHeight="1"/>
    <row r="237" ht="24.0" customHeight="1"/>
    <row r="238" ht="24.0" customHeight="1"/>
    <row r="239" ht="24.0" customHeight="1"/>
    <row r="240" ht="24.0" customHeight="1"/>
    <row r="241" ht="24.0" customHeight="1"/>
    <row r="242" ht="24.0" customHeight="1"/>
    <row r="243" ht="24.0" customHeight="1"/>
    <row r="244" ht="24.0" customHeight="1"/>
    <row r="245" ht="24.0" customHeight="1"/>
    <row r="246" ht="24.0" customHeight="1"/>
    <row r="247" ht="24.0" customHeight="1"/>
    <row r="248" ht="24.0" customHeight="1"/>
    <row r="249" ht="24.0" customHeight="1"/>
    <row r="250" ht="24.0" customHeight="1"/>
    <row r="251" ht="24.0" customHeight="1"/>
    <row r="252" ht="24.0" customHeight="1"/>
    <row r="253" ht="24.0" customHeight="1"/>
    <row r="254" ht="24.0" customHeight="1"/>
    <row r="255" ht="24.0" customHeight="1"/>
    <row r="256" ht="24.0" customHeight="1"/>
    <row r="257" ht="24.0" customHeight="1"/>
    <row r="258" ht="24.0" customHeight="1"/>
    <row r="259" ht="24.0" customHeight="1"/>
    <row r="260" ht="24.0" customHeight="1"/>
    <row r="261" ht="24.0" customHeight="1"/>
    <row r="262" ht="24.0" customHeight="1"/>
    <row r="263" ht="24.0" customHeight="1"/>
    <row r="264" ht="24.0" customHeight="1"/>
    <row r="265" ht="24.0" customHeight="1"/>
    <row r="266" ht="24.0" customHeight="1"/>
    <row r="267" ht="24.0" customHeight="1"/>
    <row r="268" ht="24.0" customHeight="1"/>
    <row r="269" ht="24.0" customHeight="1"/>
    <row r="270" ht="24.0" customHeight="1"/>
    <row r="271" ht="24.0" customHeight="1"/>
    <row r="272" ht="24.0" customHeight="1"/>
    <row r="273" ht="24.0" customHeight="1"/>
    <row r="274" ht="24.0" customHeight="1"/>
    <row r="275" ht="24.0" customHeight="1"/>
    <row r="276" ht="24.0" customHeight="1"/>
    <row r="277" ht="24.0" customHeight="1"/>
    <row r="278" ht="24.0" customHeight="1"/>
    <row r="279" ht="24.0" customHeight="1"/>
    <row r="280" ht="24.0" customHeight="1"/>
    <row r="281" ht="24.0" customHeight="1"/>
    <row r="282" ht="24.0" customHeight="1"/>
    <row r="283" ht="24.0" customHeight="1"/>
    <row r="284" ht="24.0" customHeight="1"/>
    <row r="285" ht="24.0" customHeight="1"/>
    <row r="286" ht="24.0" customHeight="1"/>
    <row r="287" ht="24.0" customHeight="1"/>
    <row r="288" ht="24.0" customHeight="1"/>
    <row r="289" ht="24.0" customHeight="1"/>
    <row r="290" ht="24.0" customHeight="1"/>
    <row r="291" ht="24.0" customHeight="1"/>
    <row r="292" ht="24.0" customHeight="1"/>
    <row r="293" ht="24.0" customHeight="1"/>
    <row r="294" ht="24.0" customHeight="1"/>
    <row r="295" ht="24.0" customHeight="1"/>
    <row r="296" ht="24.0" customHeight="1"/>
    <row r="297" ht="24.0" customHeight="1"/>
    <row r="298" ht="24.0" customHeight="1"/>
    <row r="299" ht="24.0" customHeight="1"/>
    <row r="300" ht="24.0" customHeight="1"/>
    <row r="301" ht="24.0" customHeight="1"/>
    <row r="302" ht="24.0" customHeight="1"/>
    <row r="303" ht="24.0" customHeight="1"/>
    <row r="304" ht="24.0" customHeight="1"/>
    <row r="305" ht="24.0" customHeight="1"/>
    <row r="306" ht="24.0" customHeight="1"/>
    <row r="307" ht="24.0" customHeight="1"/>
    <row r="308" ht="24.0" customHeight="1"/>
    <row r="309" ht="24.0" customHeight="1"/>
    <row r="310" ht="24.0" customHeight="1"/>
    <row r="311" ht="24.0" customHeight="1"/>
    <row r="312" ht="24.0" customHeight="1"/>
    <row r="313" ht="24.0" customHeight="1"/>
    <row r="314" ht="24.0" customHeight="1"/>
    <row r="315" ht="24.0" customHeight="1"/>
    <row r="316" ht="24.0" customHeight="1"/>
    <row r="317" ht="24.0" customHeight="1"/>
    <row r="318" ht="24.0" customHeight="1"/>
    <row r="319" ht="24.0" customHeight="1"/>
    <row r="320" ht="24.0" customHeight="1"/>
    <row r="321" ht="24.0" customHeight="1"/>
    <row r="322" ht="24.0" customHeight="1"/>
    <row r="323" ht="24.0" customHeight="1"/>
    <row r="324" ht="24.0" customHeight="1"/>
    <row r="325" ht="24.0" customHeight="1"/>
    <row r="326" ht="24.0" customHeight="1"/>
    <row r="327" ht="24.0" customHeight="1"/>
    <row r="328" ht="24.0" customHeight="1"/>
    <row r="329" ht="24.0" customHeight="1"/>
    <row r="330" ht="24.0" customHeight="1"/>
    <row r="331" ht="24.0" customHeight="1"/>
    <row r="332" ht="24.0" customHeight="1"/>
    <row r="333" ht="24.0" customHeight="1"/>
    <row r="334" ht="24.0" customHeight="1"/>
    <row r="335" ht="24.0" customHeight="1"/>
    <row r="336" ht="24.0" customHeight="1"/>
    <row r="337" ht="24.0" customHeight="1"/>
    <row r="338" ht="24.0" customHeight="1"/>
    <row r="339" ht="24.0" customHeight="1"/>
    <row r="340" ht="24.0" customHeight="1"/>
    <row r="341" ht="24.0" customHeight="1"/>
    <row r="342" ht="24.0" customHeight="1"/>
    <row r="343" ht="24.0" customHeight="1"/>
    <row r="344" ht="24.0" customHeight="1"/>
    <row r="345" ht="24.0" customHeight="1"/>
    <row r="346" ht="24.0" customHeight="1"/>
    <row r="347" ht="24.0" customHeight="1"/>
    <row r="348" ht="24.0" customHeight="1"/>
    <row r="349" ht="24.0" customHeight="1"/>
    <row r="350" ht="24.0" customHeight="1"/>
    <row r="351" ht="24.0" customHeight="1"/>
    <row r="352" ht="24.0" customHeight="1"/>
    <row r="353" ht="24.0" customHeight="1"/>
    <row r="354" ht="24.0" customHeight="1"/>
    <row r="355" ht="24.0" customHeight="1"/>
    <row r="356" ht="24.0" customHeight="1"/>
    <row r="357" ht="24.0" customHeight="1"/>
    <row r="358" ht="24.0" customHeight="1"/>
    <row r="359" ht="24.0" customHeight="1"/>
    <row r="360" ht="24.0" customHeight="1"/>
    <row r="361" ht="24.0" customHeight="1"/>
    <row r="362" ht="24.0" customHeight="1"/>
    <row r="363" ht="24.0" customHeight="1"/>
    <row r="364" ht="24.0" customHeight="1"/>
    <row r="365" ht="24.0" customHeight="1"/>
    <row r="366" ht="24.0" customHeight="1"/>
    <row r="367" ht="24.0" customHeight="1"/>
    <row r="368" ht="24.0" customHeight="1"/>
    <row r="369" ht="24.0" customHeight="1"/>
    <row r="370" ht="24.0" customHeight="1"/>
    <row r="371" ht="24.0" customHeight="1"/>
    <row r="372" ht="24.0" customHeight="1"/>
    <row r="373" ht="24.0" customHeight="1"/>
    <row r="374" ht="24.0" customHeight="1"/>
    <row r="375" ht="24.0" customHeight="1"/>
    <row r="376" ht="24.0" customHeight="1"/>
    <row r="377" ht="24.0" customHeight="1"/>
    <row r="378" ht="24.0" customHeight="1"/>
    <row r="379" ht="24.0" customHeight="1"/>
    <row r="380" ht="24.0" customHeight="1"/>
    <row r="381" ht="24.0" customHeight="1"/>
    <row r="382" ht="24.0" customHeight="1"/>
    <row r="383" ht="24.0" customHeight="1"/>
    <row r="384" ht="24.0" customHeight="1"/>
    <row r="385" ht="24.0" customHeight="1"/>
    <row r="386" ht="24.0" customHeight="1"/>
    <row r="387" ht="24.0" customHeight="1"/>
    <row r="388" ht="24.0" customHeight="1"/>
    <row r="389" ht="24.0" customHeight="1"/>
    <row r="390" ht="24.0" customHeight="1"/>
    <row r="391" ht="24.0" customHeight="1"/>
    <row r="392" ht="24.0" customHeight="1"/>
    <row r="393" ht="24.0" customHeight="1"/>
    <row r="394" ht="24.0" customHeight="1"/>
    <row r="395" ht="24.0" customHeight="1"/>
    <row r="396" ht="24.0" customHeight="1"/>
    <row r="397" ht="24.0" customHeight="1"/>
    <row r="398" ht="24.0" customHeight="1"/>
    <row r="399" ht="24.0" customHeight="1"/>
    <row r="400" ht="24.0" customHeight="1"/>
    <row r="401" ht="24.0" customHeight="1"/>
    <row r="402" ht="24.0" customHeight="1"/>
    <row r="403" ht="24.0" customHeight="1"/>
    <row r="404" ht="24.0" customHeight="1"/>
    <row r="405" ht="24.0" customHeight="1"/>
    <row r="406" ht="24.0" customHeight="1"/>
    <row r="407" ht="24.0" customHeight="1"/>
    <row r="408" ht="24.0" customHeight="1"/>
    <row r="409" ht="24.0" customHeight="1"/>
    <row r="410" ht="24.0" customHeight="1"/>
    <row r="411" ht="24.0" customHeight="1"/>
    <row r="412" ht="24.0" customHeight="1"/>
    <row r="413" ht="24.0" customHeight="1"/>
    <row r="414" ht="24.0" customHeight="1"/>
    <row r="415" ht="24.0" customHeight="1"/>
    <row r="416" ht="24.0" customHeight="1"/>
    <row r="417" ht="24.0" customHeight="1"/>
    <row r="418" ht="24.0" customHeight="1"/>
    <row r="419" ht="24.0" customHeight="1"/>
    <row r="420" ht="24.0" customHeight="1"/>
    <row r="421" ht="24.0" customHeight="1"/>
    <row r="422" ht="24.0" customHeight="1"/>
    <row r="423" ht="24.0" customHeight="1"/>
    <row r="424" ht="24.0" customHeight="1"/>
    <row r="425" ht="24.0" customHeight="1"/>
    <row r="426" ht="24.0" customHeight="1"/>
    <row r="427" ht="24.0" customHeight="1"/>
    <row r="428" ht="24.0" customHeight="1"/>
    <row r="429" ht="24.0" customHeight="1"/>
    <row r="430" ht="24.0" customHeight="1"/>
    <row r="431" ht="24.0" customHeight="1"/>
    <row r="432" ht="24.0" customHeight="1"/>
    <row r="433" ht="24.0" customHeight="1"/>
    <row r="434" ht="24.0" customHeight="1"/>
    <row r="435" ht="24.0" customHeight="1"/>
    <row r="436" ht="24.0" customHeight="1"/>
    <row r="437" ht="24.0" customHeight="1"/>
    <row r="438" ht="24.0" customHeight="1"/>
    <row r="439" ht="24.0" customHeight="1"/>
    <row r="440" ht="24.0" customHeight="1"/>
    <row r="441" ht="24.0" customHeight="1"/>
    <row r="442" ht="24.0" customHeight="1"/>
    <row r="443" ht="24.0" customHeight="1"/>
    <row r="444" ht="24.0" customHeight="1"/>
    <row r="445" ht="24.0" customHeight="1"/>
    <row r="446" ht="24.0" customHeight="1"/>
    <row r="447" ht="24.0" customHeight="1"/>
    <row r="448" ht="24.0" customHeight="1"/>
    <row r="449" ht="24.0" customHeight="1"/>
    <row r="450" ht="24.0" customHeight="1"/>
    <row r="451" ht="24.0" customHeight="1"/>
    <row r="452" ht="24.0" customHeight="1"/>
    <row r="453" ht="24.0" customHeight="1"/>
    <row r="454" ht="24.0" customHeight="1"/>
    <row r="455" ht="24.0" customHeight="1"/>
    <row r="456" ht="24.0" customHeight="1"/>
    <row r="457" ht="24.0" customHeight="1"/>
    <row r="458" ht="24.0" customHeight="1"/>
    <row r="459" ht="24.0" customHeight="1"/>
    <row r="460" ht="24.0" customHeight="1"/>
    <row r="461" ht="24.0" customHeight="1"/>
    <row r="462" ht="24.0" customHeight="1"/>
    <row r="463" ht="24.0" customHeight="1"/>
    <row r="464" ht="24.0" customHeight="1"/>
    <row r="465" ht="24.0" customHeight="1"/>
    <row r="466" ht="24.0" customHeight="1"/>
    <row r="467" ht="24.0" customHeight="1"/>
    <row r="468" ht="24.0" customHeight="1"/>
    <row r="469" ht="24.0" customHeight="1"/>
    <row r="470" ht="24.0" customHeight="1"/>
    <row r="471" ht="24.0" customHeight="1"/>
    <row r="472" ht="24.0" customHeight="1"/>
    <row r="473" ht="24.0" customHeight="1"/>
    <row r="474" ht="24.0" customHeight="1"/>
    <row r="475" ht="24.0" customHeight="1"/>
    <row r="476" ht="24.0" customHeight="1"/>
    <row r="477" ht="24.0" customHeight="1"/>
    <row r="478" ht="24.0" customHeight="1"/>
    <row r="479" ht="24.0" customHeight="1"/>
    <row r="480" ht="24.0" customHeight="1"/>
    <row r="481" ht="24.0" customHeight="1"/>
    <row r="482" ht="24.0" customHeight="1"/>
    <row r="483" ht="24.0" customHeight="1"/>
    <row r="484" ht="24.0" customHeight="1"/>
    <row r="485" ht="24.0" customHeight="1"/>
    <row r="486" ht="24.0" customHeight="1"/>
    <row r="487" ht="24.0" customHeight="1"/>
    <row r="488" ht="24.0" customHeight="1"/>
    <row r="489" ht="24.0" customHeight="1"/>
    <row r="490" ht="24.0" customHeight="1"/>
    <row r="491" ht="24.0" customHeight="1"/>
    <row r="492" ht="24.0" customHeight="1"/>
    <row r="493" ht="24.0" customHeight="1"/>
    <row r="494" ht="24.0" customHeight="1"/>
    <row r="495" ht="24.0" customHeight="1"/>
    <row r="496" ht="24.0" customHeight="1"/>
    <row r="497" ht="24.0" customHeight="1"/>
    <row r="498" ht="24.0" customHeight="1"/>
    <row r="499" ht="24.0" customHeight="1"/>
    <row r="500" ht="24.0" customHeight="1"/>
    <row r="501" ht="24.0" customHeight="1"/>
    <row r="502" ht="24.0" customHeight="1"/>
    <row r="503" ht="24.0" customHeight="1"/>
    <row r="504" ht="24.0" customHeight="1"/>
    <row r="505" ht="24.0" customHeight="1"/>
    <row r="506" ht="24.0" customHeight="1"/>
    <row r="507" ht="24.0" customHeight="1"/>
    <row r="508" ht="24.0" customHeight="1"/>
    <row r="509" ht="24.0" customHeight="1"/>
    <row r="510" ht="24.0" customHeight="1"/>
    <row r="511" ht="24.0" customHeight="1"/>
    <row r="512" ht="24.0" customHeight="1"/>
    <row r="513" ht="24.0" customHeight="1"/>
    <row r="514" ht="24.0" customHeight="1"/>
    <row r="515" ht="24.0" customHeight="1"/>
    <row r="516" ht="24.0" customHeight="1"/>
    <row r="517" ht="24.0" customHeight="1"/>
    <row r="518" ht="24.0" customHeight="1"/>
    <row r="519" ht="24.0" customHeight="1"/>
    <row r="520" ht="24.0" customHeight="1"/>
    <row r="521" ht="24.0" customHeight="1"/>
    <row r="522" ht="24.0" customHeight="1"/>
    <row r="523" ht="24.0" customHeight="1"/>
    <row r="524" ht="24.0" customHeight="1"/>
    <row r="525" ht="24.0" customHeight="1"/>
    <row r="526" ht="24.0" customHeight="1"/>
    <row r="527" ht="24.0" customHeight="1"/>
    <row r="528" ht="24.0" customHeight="1"/>
    <row r="529" ht="24.0" customHeight="1"/>
    <row r="530" ht="24.0" customHeight="1"/>
    <row r="531" ht="24.0" customHeight="1"/>
    <row r="532" ht="24.0" customHeight="1"/>
    <row r="533" ht="24.0" customHeight="1"/>
    <row r="534" ht="24.0" customHeight="1"/>
    <row r="535" ht="24.0" customHeight="1"/>
    <row r="536" ht="24.0" customHeight="1"/>
    <row r="537" ht="24.0" customHeight="1"/>
    <row r="538" ht="24.0" customHeight="1"/>
    <row r="539" ht="24.0" customHeight="1"/>
    <row r="540" ht="24.0" customHeight="1"/>
    <row r="541" ht="24.0" customHeight="1"/>
    <row r="542" ht="24.0" customHeight="1"/>
    <row r="543" ht="24.0" customHeight="1"/>
    <row r="544" ht="24.0" customHeight="1"/>
    <row r="545" ht="24.0" customHeight="1"/>
    <row r="546" ht="24.0" customHeight="1"/>
    <row r="547" ht="24.0" customHeight="1"/>
    <row r="548" ht="24.0" customHeight="1"/>
    <row r="549" ht="24.0" customHeight="1"/>
    <row r="550" ht="24.0" customHeight="1"/>
    <row r="551" ht="24.0" customHeight="1"/>
    <row r="552" ht="24.0" customHeight="1"/>
    <row r="553" ht="24.0" customHeight="1"/>
    <row r="554" ht="24.0" customHeight="1"/>
    <row r="555" ht="24.0" customHeight="1"/>
    <row r="556" ht="24.0" customHeight="1"/>
    <row r="557" ht="24.0" customHeight="1"/>
    <row r="558" ht="24.0" customHeight="1"/>
    <row r="559" ht="24.0" customHeight="1"/>
    <row r="560" ht="24.0" customHeight="1"/>
    <row r="561" ht="24.0" customHeight="1"/>
    <row r="562" ht="24.0" customHeight="1"/>
    <row r="563" ht="24.0" customHeight="1"/>
    <row r="564" ht="24.0" customHeight="1"/>
    <row r="565" ht="24.0" customHeight="1"/>
    <row r="566" ht="24.0" customHeight="1"/>
    <row r="567" ht="24.0" customHeight="1"/>
    <row r="568" ht="24.0" customHeight="1"/>
    <row r="569" ht="24.0" customHeight="1"/>
    <row r="570" ht="24.0" customHeight="1"/>
    <row r="571" ht="24.0" customHeight="1"/>
    <row r="572" ht="24.0" customHeight="1"/>
    <row r="573" ht="24.0" customHeight="1"/>
    <row r="574" ht="24.0" customHeight="1"/>
    <row r="575" ht="24.0" customHeight="1"/>
    <row r="576" ht="24.0" customHeight="1"/>
    <row r="577" ht="24.0" customHeight="1"/>
    <row r="578" ht="24.0" customHeight="1"/>
    <row r="579" ht="24.0" customHeight="1"/>
    <row r="580" ht="24.0" customHeight="1"/>
    <row r="581" ht="24.0" customHeight="1"/>
    <row r="582" ht="24.0" customHeight="1"/>
    <row r="583" ht="24.0" customHeight="1"/>
    <row r="584" ht="24.0" customHeight="1"/>
    <row r="585" ht="24.0" customHeight="1"/>
    <row r="586" ht="24.0" customHeight="1"/>
    <row r="587" ht="24.0" customHeight="1"/>
    <row r="588" ht="24.0" customHeight="1"/>
    <row r="589" ht="24.0" customHeight="1"/>
    <row r="590" ht="24.0" customHeight="1"/>
    <row r="591" ht="24.0" customHeight="1"/>
    <row r="592" ht="24.0" customHeight="1"/>
    <row r="593" ht="24.0" customHeight="1"/>
    <row r="594" ht="24.0" customHeight="1"/>
    <row r="595" ht="24.0" customHeight="1"/>
    <row r="596" ht="24.0" customHeight="1"/>
    <row r="597" ht="24.0" customHeight="1"/>
    <row r="598" ht="24.0" customHeight="1"/>
    <row r="599" ht="24.0" customHeight="1"/>
    <row r="600" ht="24.0" customHeight="1"/>
    <row r="601" ht="24.0" customHeight="1"/>
    <row r="602" ht="24.0" customHeight="1"/>
    <row r="603" ht="24.0" customHeight="1"/>
    <row r="604" ht="24.0" customHeight="1"/>
    <row r="605" ht="24.0" customHeight="1"/>
    <row r="606" ht="24.0" customHeight="1"/>
    <row r="607" ht="24.0" customHeight="1"/>
    <row r="608" ht="24.0" customHeight="1"/>
    <row r="609" ht="24.0" customHeight="1"/>
    <row r="610" ht="24.0" customHeight="1"/>
    <row r="611" ht="24.0" customHeight="1"/>
    <row r="612" ht="24.0" customHeight="1"/>
    <row r="613" ht="24.0" customHeight="1"/>
    <row r="614" ht="24.0" customHeight="1"/>
    <row r="615" ht="24.0" customHeight="1"/>
    <row r="616" ht="24.0" customHeight="1"/>
    <row r="617" ht="24.0" customHeight="1"/>
    <row r="618" ht="24.0" customHeight="1"/>
    <row r="619" ht="24.0" customHeight="1"/>
    <row r="620" ht="24.0" customHeight="1"/>
    <row r="621" ht="24.0" customHeight="1"/>
    <row r="622" ht="24.0" customHeight="1"/>
    <row r="623" ht="24.0" customHeight="1"/>
    <row r="624" ht="24.0" customHeight="1"/>
    <row r="625" ht="24.0" customHeight="1"/>
    <row r="626" ht="24.0" customHeight="1"/>
    <row r="627" ht="24.0" customHeight="1"/>
    <row r="628" ht="24.0" customHeight="1"/>
    <row r="629" ht="24.0" customHeight="1"/>
    <row r="630" ht="24.0" customHeight="1"/>
    <row r="631" ht="24.0" customHeight="1"/>
    <row r="632" ht="24.0" customHeight="1"/>
    <row r="633" ht="24.0" customHeight="1"/>
    <row r="634" ht="24.0" customHeight="1"/>
    <row r="635" ht="24.0" customHeight="1"/>
    <row r="636" ht="24.0" customHeight="1"/>
    <row r="637" ht="24.0" customHeight="1"/>
    <row r="638" ht="24.0" customHeight="1"/>
    <row r="639" ht="24.0" customHeight="1"/>
    <row r="640" ht="24.0" customHeight="1"/>
    <row r="641" ht="24.0" customHeight="1"/>
    <row r="642" ht="24.0" customHeight="1"/>
    <row r="643" ht="24.0" customHeight="1"/>
    <row r="644" ht="24.0" customHeight="1"/>
    <row r="645" ht="24.0" customHeight="1"/>
    <row r="646" ht="24.0" customHeight="1"/>
    <row r="647" ht="24.0" customHeight="1"/>
    <row r="648" ht="24.0" customHeight="1"/>
    <row r="649" ht="24.0" customHeight="1"/>
    <row r="650" ht="24.0" customHeight="1"/>
    <row r="651" ht="24.0" customHeight="1"/>
    <row r="652" ht="24.0" customHeight="1"/>
    <row r="653" ht="24.0" customHeight="1"/>
    <row r="654" ht="24.0" customHeight="1"/>
    <row r="655" ht="24.0" customHeight="1"/>
    <row r="656" ht="24.0" customHeight="1"/>
    <row r="657" ht="24.0" customHeight="1"/>
    <row r="658" ht="24.0" customHeight="1"/>
    <row r="659" ht="24.0" customHeight="1"/>
    <row r="660" ht="24.0" customHeight="1"/>
    <row r="661" ht="24.0" customHeight="1"/>
    <row r="662" ht="24.0" customHeight="1"/>
    <row r="663" ht="24.0" customHeight="1"/>
    <row r="664" ht="24.0" customHeight="1"/>
    <row r="665" ht="24.0" customHeight="1"/>
    <row r="666" ht="24.0" customHeight="1"/>
    <row r="667" ht="24.0" customHeight="1"/>
    <row r="668" ht="24.0" customHeight="1"/>
    <row r="669" ht="24.0" customHeight="1"/>
    <row r="670" ht="24.0" customHeight="1"/>
    <row r="671" ht="24.0" customHeight="1"/>
    <row r="672" ht="24.0" customHeight="1"/>
    <row r="673" ht="24.0" customHeight="1"/>
    <row r="674" ht="24.0" customHeight="1"/>
    <row r="675" ht="24.0" customHeight="1"/>
    <row r="676" ht="24.0" customHeight="1"/>
    <row r="677" ht="24.0" customHeight="1"/>
    <row r="678" ht="24.0" customHeight="1"/>
    <row r="679" ht="24.0" customHeight="1"/>
    <row r="680" ht="24.0" customHeight="1"/>
    <row r="681" ht="24.0" customHeight="1"/>
    <row r="682" ht="24.0" customHeight="1"/>
    <row r="683" ht="24.0" customHeight="1"/>
    <row r="684" ht="24.0" customHeight="1"/>
    <row r="685" ht="24.0" customHeight="1"/>
    <row r="686" ht="24.0" customHeight="1"/>
    <row r="687" ht="24.0" customHeight="1"/>
    <row r="688" ht="24.0" customHeight="1"/>
    <row r="689" ht="24.0" customHeight="1"/>
    <row r="690" ht="24.0" customHeight="1"/>
    <row r="691" ht="24.0" customHeight="1"/>
    <row r="692" ht="24.0" customHeight="1"/>
    <row r="693" ht="24.0" customHeight="1"/>
    <row r="694" ht="24.0" customHeight="1"/>
    <row r="695" ht="24.0" customHeight="1"/>
    <row r="696" ht="24.0" customHeight="1"/>
    <row r="697" ht="24.0" customHeight="1"/>
    <row r="698" ht="24.0" customHeight="1"/>
    <row r="699" ht="24.0" customHeight="1"/>
    <row r="700" ht="24.0" customHeight="1"/>
    <row r="701" ht="24.0" customHeight="1"/>
    <row r="702" ht="24.0" customHeight="1"/>
    <row r="703" ht="24.0" customHeight="1"/>
    <row r="704" ht="24.0" customHeight="1"/>
    <row r="705" ht="24.0" customHeight="1"/>
    <row r="706" ht="24.0" customHeight="1"/>
    <row r="707" ht="24.0" customHeight="1"/>
    <row r="708" ht="24.0" customHeight="1"/>
    <row r="709" ht="24.0" customHeight="1"/>
    <row r="710" ht="24.0" customHeight="1"/>
    <row r="711" ht="24.0" customHeight="1"/>
    <row r="712" ht="24.0" customHeight="1"/>
    <row r="713" ht="24.0" customHeight="1"/>
    <row r="714" ht="24.0" customHeight="1"/>
    <row r="715" ht="24.0" customHeight="1"/>
    <row r="716" ht="24.0" customHeight="1"/>
    <row r="717" ht="24.0" customHeight="1"/>
    <row r="718" ht="24.0" customHeight="1"/>
    <row r="719" ht="24.0" customHeight="1"/>
    <row r="720" ht="24.0" customHeight="1"/>
    <row r="721" ht="24.0" customHeight="1"/>
    <row r="722" ht="24.0" customHeight="1"/>
    <row r="723" ht="24.0" customHeight="1"/>
    <row r="724" ht="24.0" customHeight="1"/>
    <row r="725" ht="24.0" customHeight="1"/>
    <row r="726" ht="24.0" customHeight="1"/>
    <row r="727" ht="24.0" customHeight="1"/>
    <row r="728" ht="24.0" customHeight="1"/>
    <row r="729" ht="24.0" customHeight="1"/>
    <row r="730" ht="24.0" customHeight="1"/>
    <row r="731" ht="24.0" customHeight="1"/>
    <row r="732" ht="24.0" customHeight="1"/>
    <row r="733" ht="24.0" customHeight="1"/>
    <row r="734" ht="24.0" customHeight="1"/>
    <row r="735" ht="24.0" customHeight="1"/>
    <row r="736" ht="24.0" customHeight="1"/>
    <row r="737" ht="24.0" customHeight="1"/>
    <row r="738" ht="24.0" customHeight="1"/>
    <row r="739" ht="24.0" customHeight="1"/>
    <row r="740" ht="24.0" customHeight="1"/>
    <row r="741" ht="24.0" customHeight="1"/>
    <row r="742" ht="24.0" customHeight="1"/>
    <row r="743" ht="24.0" customHeight="1"/>
    <row r="744" ht="24.0" customHeight="1"/>
    <row r="745" ht="24.0" customHeight="1"/>
    <row r="746" ht="24.0" customHeight="1"/>
    <row r="747" ht="24.0" customHeight="1"/>
    <row r="748" ht="24.0" customHeight="1"/>
    <row r="749" ht="24.0" customHeight="1"/>
    <row r="750" ht="24.0" customHeight="1"/>
    <row r="751" ht="24.0" customHeight="1"/>
    <row r="752" ht="24.0" customHeight="1"/>
    <row r="753" ht="24.0" customHeight="1"/>
    <row r="754" ht="24.0" customHeight="1"/>
    <row r="755" ht="24.0" customHeight="1"/>
    <row r="756" ht="24.0" customHeight="1"/>
    <row r="757" ht="24.0" customHeight="1"/>
    <row r="758" ht="24.0" customHeight="1"/>
    <row r="759" ht="24.0" customHeight="1"/>
    <row r="760" ht="24.0" customHeight="1"/>
    <row r="761" ht="24.0" customHeight="1"/>
    <row r="762" ht="24.0" customHeight="1"/>
    <row r="763" ht="24.0" customHeight="1"/>
    <row r="764" ht="24.0" customHeight="1"/>
    <row r="765" ht="24.0" customHeight="1"/>
    <row r="766" ht="24.0" customHeight="1"/>
    <row r="767" ht="24.0" customHeight="1"/>
    <row r="768" ht="24.0" customHeight="1"/>
    <row r="769" ht="24.0" customHeight="1"/>
    <row r="770" ht="24.0" customHeight="1"/>
    <row r="771" ht="24.0" customHeight="1"/>
    <row r="772" ht="24.0" customHeight="1"/>
    <row r="773" ht="24.0" customHeight="1"/>
    <row r="774" ht="24.0" customHeight="1"/>
    <row r="775" ht="24.0" customHeight="1"/>
    <row r="776" ht="24.0" customHeight="1"/>
    <row r="777" ht="24.0" customHeight="1"/>
    <row r="778" ht="24.0" customHeight="1"/>
    <row r="779" ht="24.0" customHeight="1"/>
    <row r="780" ht="24.0" customHeight="1"/>
    <row r="781" ht="24.0" customHeight="1"/>
    <row r="782" ht="24.0" customHeight="1"/>
    <row r="783" ht="24.0" customHeight="1"/>
    <row r="784" ht="24.0" customHeight="1"/>
    <row r="785" ht="24.0" customHeight="1"/>
    <row r="786" ht="24.0" customHeight="1"/>
    <row r="787" ht="24.0" customHeight="1"/>
    <row r="788" ht="24.0" customHeight="1"/>
    <row r="789" ht="24.0" customHeight="1"/>
    <row r="790" ht="24.0" customHeight="1"/>
    <row r="791" ht="24.0" customHeight="1"/>
    <row r="792" ht="24.0" customHeight="1"/>
    <row r="793" ht="24.0" customHeight="1"/>
    <row r="794" ht="24.0" customHeight="1"/>
    <row r="795" ht="24.0" customHeight="1"/>
    <row r="796" ht="24.0" customHeight="1"/>
    <row r="797" ht="24.0" customHeight="1"/>
    <row r="798" ht="24.0" customHeight="1"/>
    <row r="799" ht="24.0" customHeight="1"/>
    <row r="800" ht="24.0" customHeight="1"/>
    <row r="801" ht="24.0" customHeight="1"/>
    <row r="802" ht="24.0" customHeight="1"/>
    <row r="803" ht="24.0" customHeight="1"/>
    <row r="804" ht="24.0" customHeight="1"/>
    <row r="805" ht="24.0" customHeight="1"/>
    <row r="806" ht="24.0" customHeight="1"/>
    <row r="807" ht="24.0" customHeight="1"/>
    <row r="808" ht="24.0" customHeight="1"/>
    <row r="809" ht="24.0" customHeight="1"/>
    <row r="810" ht="24.0" customHeight="1"/>
    <row r="811" ht="24.0" customHeight="1"/>
    <row r="812" ht="24.0" customHeight="1"/>
    <row r="813" ht="24.0" customHeight="1"/>
    <row r="814" ht="24.0" customHeight="1"/>
    <row r="815" ht="24.0" customHeight="1"/>
    <row r="816" ht="24.0" customHeight="1"/>
    <row r="817" ht="24.0" customHeight="1"/>
    <row r="818" ht="24.0" customHeight="1"/>
    <row r="819" ht="24.0" customHeight="1"/>
    <row r="820" ht="24.0" customHeight="1"/>
    <row r="821" ht="24.0" customHeight="1"/>
    <row r="822" ht="24.0" customHeight="1"/>
    <row r="823" ht="24.0" customHeight="1"/>
    <row r="824" ht="24.0" customHeight="1"/>
    <row r="825" ht="24.0" customHeight="1"/>
    <row r="826" ht="24.0" customHeight="1"/>
    <row r="827" ht="24.0" customHeight="1"/>
    <row r="828" ht="24.0" customHeight="1"/>
    <row r="829" ht="24.0" customHeight="1"/>
    <row r="830" ht="24.0" customHeight="1"/>
    <row r="831" ht="24.0" customHeight="1"/>
    <row r="832" ht="24.0" customHeight="1"/>
    <row r="833" ht="24.0" customHeight="1"/>
    <row r="834" ht="24.0" customHeight="1"/>
    <row r="835" ht="24.0" customHeight="1"/>
    <row r="836" ht="24.0" customHeight="1"/>
    <row r="837" ht="24.0" customHeight="1"/>
    <row r="838" ht="24.0" customHeight="1"/>
    <row r="839" ht="24.0" customHeight="1"/>
    <row r="840" ht="24.0" customHeight="1"/>
    <row r="841" ht="24.0" customHeight="1"/>
    <row r="842" ht="24.0" customHeight="1"/>
    <row r="843" ht="24.0" customHeight="1"/>
    <row r="844" ht="24.0" customHeight="1"/>
    <row r="845" ht="24.0" customHeight="1"/>
    <row r="846" ht="24.0" customHeight="1"/>
    <row r="847" ht="24.0" customHeight="1"/>
    <row r="848" ht="24.0" customHeight="1"/>
    <row r="849" ht="24.0" customHeight="1"/>
    <row r="850" ht="24.0" customHeight="1"/>
    <row r="851" ht="24.0" customHeight="1"/>
    <row r="852" ht="24.0" customHeight="1"/>
    <row r="853" ht="24.0" customHeight="1"/>
    <row r="854" ht="24.0" customHeight="1"/>
    <row r="855" ht="24.0" customHeight="1"/>
    <row r="856" ht="24.0" customHeight="1"/>
    <row r="857" ht="24.0" customHeight="1"/>
    <row r="858" ht="24.0" customHeight="1"/>
    <row r="859" ht="24.0" customHeight="1"/>
    <row r="860" ht="24.0" customHeight="1"/>
    <row r="861" ht="24.0" customHeight="1"/>
    <row r="862" ht="24.0" customHeight="1"/>
    <row r="863" ht="24.0" customHeight="1"/>
    <row r="864" ht="24.0" customHeight="1"/>
    <row r="865" ht="24.0" customHeight="1"/>
    <row r="866" ht="24.0" customHeight="1"/>
    <row r="867" ht="24.0" customHeight="1"/>
    <row r="868" ht="24.0" customHeight="1"/>
    <row r="869" ht="24.0" customHeight="1"/>
    <row r="870" ht="24.0" customHeight="1"/>
    <row r="871" ht="24.0" customHeight="1"/>
    <row r="872" ht="24.0" customHeight="1"/>
    <row r="873" ht="24.0" customHeight="1"/>
    <row r="874" ht="24.0" customHeight="1"/>
    <row r="875" ht="24.0" customHeight="1"/>
    <row r="876" ht="24.0" customHeight="1"/>
    <row r="877" ht="24.0" customHeight="1"/>
    <row r="878" ht="24.0" customHeight="1"/>
    <row r="879" ht="24.0" customHeight="1"/>
    <row r="880" ht="24.0" customHeight="1"/>
    <row r="881" ht="24.0" customHeight="1"/>
    <row r="882" ht="24.0" customHeight="1"/>
    <row r="883" ht="24.0" customHeight="1"/>
    <row r="884" ht="24.0" customHeight="1"/>
    <row r="885" ht="24.0" customHeight="1"/>
    <row r="886" ht="24.0" customHeight="1"/>
    <row r="887" ht="24.0" customHeight="1"/>
    <row r="888" ht="24.0" customHeight="1"/>
    <row r="889" ht="24.0" customHeight="1"/>
    <row r="890" ht="24.0" customHeight="1"/>
    <row r="891" ht="24.0" customHeight="1"/>
    <row r="892" ht="24.0" customHeight="1"/>
    <row r="893" ht="24.0" customHeight="1"/>
    <row r="894" ht="24.0" customHeight="1"/>
    <row r="895" ht="24.0" customHeight="1"/>
    <row r="896" ht="24.0" customHeight="1"/>
    <row r="897" ht="24.0" customHeight="1"/>
    <row r="898" ht="24.0" customHeight="1"/>
    <row r="899" ht="24.0" customHeight="1"/>
    <row r="900" ht="24.0" customHeight="1"/>
    <row r="901" ht="24.0" customHeight="1"/>
    <row r="902" ht="24.0" customHeight="1"/>
    <row r="903" ht="24.0" customHeight="1"/>
    <row r="904" ht="24.0" customHeight="1"/>
    <row r="905" ht="24.0" customHeight="1"/>
    <row r="906" ht="24.0" customHeight="1"/>
    <row r="907" ht="24.0" customHeight="1"/>
    <row r="908" ht="24.0" customHeight="1"/>
    <row r="909" ht="24.0" customHeight="1"/>
    <row r="910" ht="24.0" customHeight="1"/>
    <row r="911" ht="24.0" customHeight="1"/>
    <row r="912" ht="24.0" customHeight="1"/>
    <row r="913" ht="24.0" customHeight="1"/>
    <row r="914" ht="24.0" customHeight="1"/>
    <row r="915" ht="24.0" customHeight="1"/>
    <row r="916" ht="24.0" customHeight="1"/>
    <row r="917" ht="24.0" customHeight="1"/>
    <row r="918" ht="24.0" customHeight="1"/>
    <row r="919" ht="24.0" customHeight="1"/>
    <row r="920" ht="24.0" customHeight="1"/>
    <row r="921" ht="24.0" customHeight="1"/>
    <row r="922" ht="24.0" customHeight="1"/>
    <row r="923" ht="24.0" customHeight="1"/>
    <row r="924" ht="24.0" customHeight="1"/>
    <row r="925" ht="24.0" customHeight="1"/>
    <row r="926" ht="24.0" customHeight="1"/>
    <row r="927" ht="24.0" customHeight="1"/>
    <row r="928" ht="24.0" customHeight="1"/>
    <row r="929" ht="24.0" customHeight="1"/>
    <row r="930" ht="24.0" customHeight="1"/>
    <row r="931" ht="24.0" customHeight="1"/>
    <row r="932" ht="24.0" customHeight="1"/>
    <row r="933" ht="24.0" customHeight="1"/>
    <row r="934" ht="24.0" customHeight="1"/>
    <row r="935" ht="24.0" customHeight="1"/>
    <row r="936" ht="24.0" customHeight="1"/>
    <row r="937" ht="24.0" customHeight="1"/>
    <row r="938" ht="24.0" customHeight="1"/>
    <row r="939" ht="24.0" customHeight="1"/>
    <row r="940" ht="24.0" customHeight="1"/>
    <row r="941" ht="24.0" customHeight="1"/>
    <row r="942" ht="24.0" customHeight="1"/>
    <row r="943" ht="24.0" customHeight="1"/>
    <row r="944" ht="24.0" customHeight="1"/>
    <row r="945" ht="24.0" customHeight="1"/>
    <row r="946" ht="24.0" customHeight="1"/>
    <row r="947" ht="24.0" customHeight="1"/>
    <row r="948" ht="24.0" customHeight="1"/>
    <row r="949" ht="24.0" customHeight="1"/>
    <row r="950" ht="24.0" customHeight="1"/>
    <row r="951" ht="24.0" customHeight="1"/>
    <row r="952" ht="24.0" customHeight="1"/>
    <row r="953" ht="24.0" customHeight="1"/>
    <row r="954" ht="24.0" customHeight="1"/>
    <row r="955" ht="24.0" customHeight="1"/>
    <row r="956" ht="24.0" customHeight="1"/>
    <row r="957" ht="24.0" customHeight="1"/>
    <row r="958" ht="24.0" customHeight="1"/>
    <row r="959" ht="24.0" customHeight="1"/>
    <row r="960" ht="24.0" customHeight="1"/>
    <row r="961" ht="24.0" customHeight="1"/>
    <row r="962" ht="24.0" customHeight="1"/>
    <row r="963" ht="24.0" customHeight="1"/>
    <row r="964" ht="24.0" customHeight="1"/>
    <row r="965" ht="24.0" customHeight="1"/>
    <row r="966" ht="24.0" customHeight="1"/>
    <row r="967" ht="24.0" customHeight="1"/>
    <row r="968" ht="24.0" customHeight="1"/>
    <row r="969" ht="24.0" customHeight="1"/>
    <row r="970" ht="24.0" customHeight="1"/>
    <row r="971" ht="24.0" customHeight="1"/>
    <row r="972" ht="24.0" customHeight="1"/>
    <row r="973" ht="24.0" customHeight="1"/>
    <row r="974" ht="24.0" customHeight="1"/>
    <row r="975" ht="24.0" customHeight="1"/>
    <row r="976" ht="24.0" customHeight="1"/>
    <row r="977" ht="24.0" customHeight="1"/>
    <row r="978" ht="24.0" customHeight="1"/>
    <row r="979" ht="24.0" customHeight="1"/>
    <row r="980" ht="24.0" customHeight="1"/>
    <row r="981" ht="24.0" customHeight="1"/>
    <row r="982" ht="24.0" customHeight="1"/>
    <row r="983" ht="24.0" customHeight="1"/>
    <row r="984" ht="24.0" customHeight="1"/>
    <row r="985" ht="24.0" customHeight="1"/>
    <row r="986" ht="24.0" customHeight="1"/>
    <row r="987" ht="24.0" customHeight="1"/>
    <row r="988" ht="24.0" customHeight="1"/>
    <row r="989" ht="24.0" customHeight="1"/>
    <row r="990" ht="24.0" customHeight="1"/>
    <row r="991" ht="24.0" customHeight="1"/>
    <row r="992" ht="24.0" customHeight="1"/>
    <row r="993" ht="24.0" customHeight="1"/>
    <row r="994" ht="24.0" customHeight="1"/>
    <row r="995" ht="24.0" customHeight="1"/>
    <row r="996" ht="24.0" customHeight="1"/>
    <row r="997" ht="24.0" customHeight="1"/>
    <row r="998" ht="24.0" customHeight="1"/>
    <row r="999" ht="24.0" customHeight="1"/>
    <row r="1000" ht="24.0" customHeight="1"/>
  </sheetData>
  <mergeCells count="2">
    <mergeCell ref="B1:F1"/>
    <mergeCell ref="B9:E9"/>
  </mergeCells>
  <conditionalFormatting sqref="E4">
    <cfRule type="expression" dxfId="0" priority="1">
      <formula>AND(ISNUMBER(E4),ROUND(E4,2)=INT(ROUND(E4,2)))</formula>
    </cfRule>
  </conditionalFormatting>
  <conditionalFormatting sqref="E4">
    <cfRule type="expression" dxfId="1" priority="2">
      <formula>AND(ISNUMBER(E4),ROUND(E4,2)&lt;&gt;INT(ROUND(E4,2)))</formula>
    </cfRule>
  </conditionalFormatting>
  <conditionalFormatting sqref="F4">
    <cfRule type="expression" dxfId="0" priority="3">
      <formula>AND(ISNUMBER(F4),ROUND(F4,2)=INT(ROUND(F4,2)))</formula>
    </cfRule>
  </conditionalFormatting>
  <conditionalFormatting sqref="F4">
    <cfRule type="expression" dxfId="1" priority="4">
      <formula>AND(ISNUMBER(F4),ROUND(F4,2)&lt;&gt;INT(ROUND(F4,2)))</formula>
    </cfRule>
  </conditionalFormatting>
  <conditionalFormatting sqref="E5">
    <cfRule type="expression" dxfId="0" priority="5">
      <formula>AND(ISNUMBER(E5),ROUND(E5,2)=INT(ROUND(E5,2)))</formula>
    </cfRule>
  </conditionalFormatting>
  <conditionalFormatting sqref="E5">
    <cfRule type="expression" dxfId="1" priority="6">
      <formula>AND(ISNUMBER(E5),ROUND(E5,2)&lt;&gt;INT(ROUND(E5,2)))</formula>
    </cfRule>
  </conditionalFormatting>
  <conditionalFormatting sqref="F5">
    <cfRule type="expression" dxfId="0" priority="7">
      <formula>AND(ISNUMBER(F5),ROUND(F5,2)=INT(ROUND(F5,2)))</formula>
    </cfRule>
  </conditionalFormatting>
  <conditionalFormatting sqref="F5">
    <cfRule type="expression" dxfId="1" priority="8">
      <formula>AND(ISNUMBER(F5),ROUND(F5,2)&lt;&gt;INT(ROUND(F5,2)))</formula>
    </cfRule>
  </conditionalFormatting>
  <conditionalFormatting sqref="E6">
    <cfRule type="expression" dxfId="0" priority="9">
      <formula>AND(ISNUMBER(E6),ROUND(E6,2)=INT(ROUND(E6,2)))</formula>
    </cfRule>
  </conditionalFormatting>
  <conditionalFormatting sqref="E6">
    <cfRule type="expression" dxfId="1" priority="10">
      <formula>AND(ISNUMBER(E6),ROUND(E6,2)&lt;&gt;INT(ROUND(E6,2)))</formula>
    </cfRule>
  </conditionalFormatting>
  <conditionalFormatting sqref="F6">
    <cfRule type="expression" dxfId="0" priority="11">
      <formula>AND(ISNUMBER(F6),ROUND(F6,2)=INT(ROUND(F6,2)))</formula>
    </cfRule>
  </conditionalFormatting>
  <conditionalFormatting sqref="F6">
    <cfRule type="expression" dxfId="1" priority="12">
      <formula>AND(ISNUMBER(F6),ROUND(F6,2)&lt;&gt;INT(ROUND(F6,2)))</formula>
    </cfRule>
  </conditionalFormatting>
  <conditionalFormatting sqref="E7">
    <cfRule type="expression" dxfId="0" priority="13">
      <formula>AND(ISNUMBER(E7),ROUND(E7,2)=INT(ROUND(E7,2)))</formula>
    </cfRule>
  </conditionalFormatting>
  <conditionalFormatting sqref="E7">
    <cfRule type="expression" dxfId="1" priority="14">
      <formula>AND(ISNUMBER(E7),ROUND(E7,2)&lt;&gt;INT(ROUND(E7,2)))</formula>
    </cfRule>
  </conditionalFormatting>
  <conditionalFormatting sqref="F7">
    <cfRule type="expression" dxfId="0" priority="15">
      <formula>AND(ISNUMBER(F7),ROUND(F7,2)=INT(ROUND(F7,2)))</formula>
    </cfRule>
  </conditionalFormatting>
  <conditionalFormatting sqref="F7">
    <cfRule type="expression" dxfId="1" priority="16">
      <formula>AND(ISNUMBER(F7),ROUND(F7,2)&lt;&gt;INT(ROUND(F7,2)))</formula>
    </cfRule>
  </conditionalFormatting>
  <conditionalFormatting sqref="F9">
    <cfRule type="expression" dxfId="0" priority="17">
      <formula>AND(ISNUMBER(F9),ROUND(F9,2)=INT(ROUND(F9,2)))</formula>
    </cfRule>
  </conditionalFormatting>
  <conditionalFormatting sqref="F9">
    <cfRule type="expression" dxfId="1" priority="18">
      <formula>AND(ISNUMBER(F9),ROUND(F9,2)&lt;&gt;INT(ROUND(F9,2)))</formula>
    </cfRule>
  </conditionalFormatting>
  <dataValidations>
    <dataValidation type="decimal" operator="greaterThanOrEqual" allowBlank="1" showInputMessage="1" showErrorMessage="1" prompt="יש להזין מספר לא שלילי" sqref="D4:D7">
      <formula1>0.0</formula1>
    </dataValidation>
    <dataValidation type="custom" allowBlank="1" showInputMessage="1" showErrorMessage="1" prompt="מספר לא שלילי, כלול או לא רלוונטי בלבד" sqref="E4:E7">
      <formula1>OR(ISBLANK(E4),AND(ISNUMBER(E4),E4&gt;=0),E4="כלול",E4="לא רלוונטי")</formula1>
    </dataValidation>
  </dataValidations>
  <printOptions/>
  <pageMargins bottom="0.75" footer="0.0" header="0.0" left="0.25" right="0.25" top="0.75"/>
  <pageSetup fitToHeight="0" paperSize="9" orientation="portrait"/>
  <headerFooter>
    <oddFooter>&amp;Cעמוד &amp;P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rightToLeft="1" workbookViewId="0"/>
  </sheetViews>
  <sheetFormatPr customHeight="1" defaultColWidth="14.43" defaultRowHeight="15.0"/>
  <cols>
    <col customWidth="1" min="1" max="1" width="7.29"/>
    <col customWidth="1" min="2" max="2" width="66.29"/>
    <col customWidth="1" min="3" max="6" width="8.14"/>
    <col customWidth="1" hidden="1" min="7" max="7" width="36.0"/>
    <col customWidth="1" hidden="1" min="8" max="8" width="12.0"/>
    <col customWidth="1" min="9" max="26" width="8.71"/>
  </cols>
  <sheetData>
    <row r="1" ht="31.5" customHeight="1">
      <c r="A1" s="10">
        <v>7.0</v>
      </c>
      <c r="B1" s="3" t="s">
        <v>44</v>
      </c>
      <c r="G1" s="2" t="s">
        <v>43</v>
      </c>
      <c r="H1" s="2" t="s">
        <v>53</v>
      </c>
    </row>
    <row r="2" ht="31.5" customHeight="1">
      <c r="A2" s="16" t="s">
        <v>59</v>
      </c>
      <c r="B2" s="17" t="s">
        <v>67</v>
      </c>
      <c r="C2" s="16" t="s">
        <v>72</v>
      </c>
      <c r="D2" s="16" t="s">
        <v>76</v>
      </c>
      <c r="E2" s="16" t="s">
        <v>79</v>
      </c>
      <c r="F2" s="16" t="s">
        <v>81</v>
      </c>
      <c r="G2" s="2"/>
      <c r="H2" s="2" t="s">
        <v>84</v>
      </c>
    </row>
    <row r="3" ht="63.75" customHeight="1">
      <c r="A3" s="19"/>
      <c r="B3" s="20" t="s">
        <v>234</v>
      </c>
      <c r="C3" s="19"/>
      <c r="D3" s="19"/>
      <c r="E3" s="19"/>
      <c r="F3" s="19"/>
      <c r="G3" s="12" t="s">
        <v>235</v>
      </c>
      <c r="H3" s="12" t="s">
        <v>105</v>
      </c>
    </row>
    <row r="4" ht="46.5" customHeight="1">
      <c r="A4" s="19" t="s">
        <v>236</v>
      </c>
      <c r="B4" s="20" t="s">
        <v>237</v>
      </c>
      <c r="C4" s="19" t="s">
        <v>108</v>
      </c>
      <c r="D4" s="19"/>
      <c r="E4" s="22"/>
      <c r="F4" s="22" t="str">
        <f t="shared" ref="F4:F7" si="1">IF(ISBLANK(D4),"",IF(NOT(ISNUMBER(D4)),"קלט לא תקין",IF(D4&lt;0,"קלט לא תקין",IF(ISBLANK(E4),"",IF(OR(E4="כלול",E4="לא רלוונטי"),0,IF(NOT(ISNUMBER(E4)),"קלט לא תקין",IF(E4&lt;0,"קלט לא תקין",ROUND(D4*E4,2))))))))</f>
        <v/>
      </c>
      <c r="G4" s="12" t="s">
        <v>244</v>
      </c>
      <c r="H4" s="12" t="s">
        <v>113</v>
      </c>
    </row>
    <row r="5" ht="46.5" customHeight="1">
      <c r="A5" s="19" t="s">
        <v>247</v>
      </c>
      <c r="B5" s="20" t="s">
        <v>249</v>
      </c>
      <c r="C5" s="19" t="s">
        <v>147</v>
      </c>
      <c r="D5" s="19"/>
      <c r="E5" s="22"/>
      <c r="F5" s="22" t="str">
        <f t="shared" si="1"/>
        <v/>
      </c>
      <c r="G5" s="12" t="s">
        <v>251</v>
      </c>
      <c r="H5" s="12" t="s">
        <v>113</v>
      </c>
    </row>
    <row r="6" ht="46.5" customHeight="1">
      <c r="A6" s="19" t="s">
        <v>252</v>
      </c>
      <c r="B6" s="20" t="s">
        <v>253</v>
      </c>
      <c r="C6" s="19" t="s">
        <v>108</v>
      </c>
      <c r="D6" s="19"/>
      <c r="E6" s="22"/>
      <c r="F6" s="22" t="str">
        <f t="shared" si="1"/>
        <v/>
      </c>
      <c r="G6" s="12" t="s">
        <v>255</v>
      </c>
      <c r="H6" s="12" t="s">
        <v>113</v>
      </c>
    </row>
    <row r="7" ht="46.5" customHeight="1">
      <c r="A7" s="19" t="s">
        <v>256</v>
      </c>
      <c r="B7" s="20" t="s">
        <v>257</v>
      </c>
      <c r="C7" s="19" t="s">
        <v>108</v>
      </c>
      <c r="D7" s="19"/>
      <c r="E7" s="22"/>
      <c r="F7" s="22" t="str">
        <f t="shared" si="1"/>
        <v/>
      </c>
      <c r="G7" s="12" t="s">
        <v>258</v>
      </c>
      <c r="H7" s="12" t="s">
        <v>113</v>
      </c>
    </row>
    <row r="8" ht="372.0" customHeight="1">
      <c r="A8" s="19"/>
      <c r="B8" s="20"/>
      <c r="C8" s="19"/>
      <c r="D8" s="19"/>
      <c r="E8" s="19"/>
      <c r="F8" s="19"/>
      <c r="G8" s="12"/>
      <c r="H8" s="12" t="s">
        <v>86</v>
      </c>
    </row>
    <row r="9" ht="31.5" customHeight="1">
      <c r="A9" s="6"/>
      <c r="B9" s="7" t="s">
        <v>259</v>
      </c>
      <c r="C9" s="8"/>
      <c r="D9" s="8"/>
      <c r="E9" s="9"/>
      <c r="F9" s="23">
        <f>SUM(F4,F5,F6,F7)</f>
        <v>0</v>
      </c>
      <c r="G9" s="12"/>
      <c r="H9" s="12" t="s">
        <v>136</v>
      </c>
    </row>
    <row r="10" ht="24.0" customHeight="1"/>
    <row r="11" ht="24.0" customHeight="1"/>
    <row r="12" ht="24.0" customHeight="1"/>
    <row r="13" ht="24.0" customHeight="1"/>
    <row r="14" ht="24.0" customHeight="1"/>
    <row r="15" ht="24.0" customHeight="1"/>
    <row r="16" ht="24.0" customHeight="1"/>
    <row r="17" ht="24.0" customHeight="1"/>
    <row r="18" ht="24.0" customHeight="1"/>
    <row r="19" ht="24.0" customHeight="1"/>
    <row r="20" ht="24.0" customHeight="1"/>
    <row r="21" ht="24.0" customHeight="1"/>
    <row r="22" ht="24.0" customHeight="1"/>
    <row r="23" ht="24.0" customHeight="1"/>
    <row r="24" ht="24.0" customHeight="1"/>
    <row r="25" ht="24.0" customHeight="1"/>
    <row r="26" ht="24.0" customHeight="1"/>
    <row r="27" ht="24.0" customHeight="1"/>
    <row r="28" ht="24.0" customHeight="1"/>
    <row r="29" ht="24.0" customHeight="1"/>
    <row r="30" ht="24.0" customHeight="1"/>
    <row r="31" ht="24.0" customHeight="1"/>
    <row r="32" ht="24.0" customHeight="1"/>
    <row r="33" ht="24.0" customHeight="1"/>
    <row r="34" ht="24.0" customHeight="1"/>
    <row r="35" ht="24.0" customHeight="1"/>
    <row r="36" ht="24.0" customHeight="1"/>
    <row r="37" ht="24.0" customHeight="1"/>
    <row r="38" ht="24.0" customHeight="1"/>
    <row r="39" ht="24.0" customHeight="1"/>
    <row r="40" ht="24.0" customHeight="1"/>
    <row r="41" ht="24.0" customHeight="1"/>
    <row r="42" ht="24.0" customHeight="1"/>
    <row r="43" ht="24.0" customHeight="1"/>
    <row r="44" ht="24.0" customHeight="1"/>
    <row r="45" ht="24.0" customHeight="1"/>
    <row r="46" ht="24.0" customHeight="1"/>
    <row r="47" ht="24.0" customHeight="1"/>
    <row r="48" ht="24.0" customHeight="1"/>
    <row r="49" ht="24.0" customHeight="1"/>
    <row r="50" ht="24.0" customHeight="1"/>
    <row r="51" ht="24.0" customHeight="1"/>
    <row r="52" ht="24.0" customHeight="1"/>
    <row r="53" ht="24.0" customHeight="1"/>
    <row r="54" ht="24.0" customHeight="1"/>
    <row r="55" ht="24.0" customHeight="1"/>
    <row r="56" ht="24.0" customHeight="1"/>
    <row r="57" ht="24.0" customHeight="1"/>
    <row r="58" ht="24.0" customHeight="1"/>
    <row r="59" ht="24.0" customHeight="1"/>
    <row r="60" ht="24.0" customHeight="1"/>
    <row r="61" ht="24.0" customHeight="1"/>
    <row r="62" ht="24.0" customHeight="1"/>
    <row r="63" ht="24.0" customHeight="1"/>
    <row r="64" ht="24.0" customHeight="1"/>
    <row r="65" ht="24.0" customHeight="1"/>
    <row r="66" ht="24.0" customHeight="1"/>
    <row r="67" ht="24.0" customHeight="1"/>
    <row r="68" ht="24.0" customHeight="1"/>
    <row r="69" ht="24.0" customHeight="1"/>
    <row r="70" ht="24.0" customHeight="1"/>
    <row r="71" ht="24.0" customHeight="1"/>
    <row r="72" ht="24.0" customHeight="1"/>
    <row r="73" ht="24.0" customHeight="1"/>
    <row r="74" ht="24.0" customHeight="1"/>
    <row r="75" ht="24.0" customHeight="1"/>
    <row r="76" ht="24.0" customHeight="1"/>
    <row r="77" ht="24.0" customHeight="1"/>
    <row r="78" ht="24.0" customHeight="1"/>
    <row r="79" ht="24.0" customHeight="1"/>
    <row r="80" ht="24.0" customHeight="1"/>
    <row r="81" ht="24.0" customHeight="1"/>
    <row r="82" ht="24.0" customHeight="1"/>
    <row r="83" ht="24.0" customHeight="1"/>
    <row r="84" ht="24.0" customHeight="1"/>
    <row r="85" ht="24.0" customHeight="1"/>
    <row r="86" ht="24.0" customHeight="1"/>
    <row r="87" ht="24.0" customHeight="1"/>
    <row r="88" ht="24.0" customHeight="1"/>
    <row r="89" ht="24.0" customHeight="1"/>
    <row r="90" ht="24.0" customHeight="1"/>
    <row r="91" ht="24.0" customHeight="1"/>
    <row r="92" ht="24.0" customHeight="1"/>
    <row r="93" ht="24.0" customHeight="1"/>
    <row r="94" ht="24.0" customHeight="1"/>
    <row r="95" ht="24.0" customHeight="1"/>
    <row r="96" ht="24.0" customHeight="1"/>
    <row r="97" ht="24.0" customHeight="1"/>
    <row r="98" ht="24.0" customHeight="1"/>
    <row r="99" ht="24.0" customHeight="1"/>
    <row r="100" ht="24.0" customHeight="1"/>
    <row r="101" ht="24.0" customHeight="1"/>
    <row r="102" ht="24.0" customHeight="1"/>
    <row r="103" ht="24.0" customHeight="1"/>
    <row r="104" ht="24.0" customHeight="1"/>
    <row r="105" ht="24.0" customHeight="1"/>
    <row r="106" ht="24.0" customHeight="1"/>
    <row r="107" ht="24.0" customHeight="1"/>
    <row r="108" ht="24.0" customHeight="1"/>
    <row r="109" ht="24.0" customHeight="1"/>
    <row r="110" ht="24.0" customHeight="1"/>
    <row r="111" ht="24.0" customHeight="1"/>
    <row r="112" ht="24.0" customHeight="1"/>
    <row r="113" ht="24.0" customHeight="1"/>
    <row r="114" ht="24.0" customHeight="1"/>
    <row r="115" ht="24.0" customHeight="1"/>
    <row r="116" ht="24.0" customHeight="1"/>
    <row r="117" ht="24.0" customHeight="1"/>
    <row r="118" ht="24.0" customHeight="1"/>
    <row r="119" ht="24.0" customHeight="1"/>
    <row r="120" ht="24.0" customHeight="1"/>
    <row r="121" ht="24.0" customHeight="1"/>
    <row r="122" ht="24.0" customHeight="1"/>
    <row r="123" ht="24.0" customHeight="1"/>
    <row r="124" ht="24.0" customHeight="1"/>
    <row r="125" ht="24.0" customHeight="1"/>
    <row r="126" ht="24.0" customHeight="1"/>
    <row r="127" ht="24.0" customHeight="1"/>
    <row r="128" ht="24.0" customHeight="1"/>
    <row r="129" ht="24.0" customHeight="1"/>
    <row r="130" ht="24.0" customHeight="1"/>
    <row r="131" ht="24.0" customHeight="1"/>
    <row r="132" ht="24.0" customHeight="1"/>
    <row r="133" ht="24.0" customHeight="1"/>
    <row r="134" ht="24.0" customHeight="1"/>
    <row r="135" ht="24.0" customHeight="1"/>
    <row r="136" ht="24.0" customHeight="1"/>
    <row r="137" ht="24.0" customHeight="1"/>
    <row r="138" ht="24.0" customHeight="1"/>
    <row r="139" ht="24.0" customHeight="1"/>
    <row r="140" ht="24.0" customHeight="1"/>
    <row r="141" ht="24.0" customHeight="1"/>
    <row r="142" ht="24.0" customHeight="1"/>
    <row r="143" ht="24.0" customHeight="1"/>
    <row r="144" ht="24.0" customHeight="1"/>
    <row r="145" ht="24.0" customHeight="1"/>
    <row r="146" ht="24.0" customHeight="1"/>
    <row r="147" ht="24.0" customHeight="1"/>
    <row r="148" ht="24.0" customHeight="1"/>
    <row r="149" ht="24.0" customHeight="1"/>
    <row r="150" ht="24.0" customHeight="1"/>
    <row r="151" ht="24.0" customHeight="1"/>
    <row r="152" ht="24.0" customHeight="1"/>
    <row r="153" ht="24.0" customHeight="1"/>
    <row r="154" ht="24.0" customHeight="1"/>
    <row r="155" ht="24.0" customHeight="1"/>
    <row r="156" ht="24.0" customHeight="1"/>
    <row r="157" ht="24.0" customHeight="1"/>
    <row r="158" ht="24.0" customHeight="1"/>
    <row r="159" ht="24.0" customHeight="1"/>
    <row r="160" ht="24.0" customHeight="1"/>
    <row r="161" ht="24.0" customHeight="1"/>
    <row r="162" ht="24.0" customHeight="1"/>
    <row r="163" ht="24.0" customHeight="1"/>
    <row r="164" ht="24.0" customHeight="1"/>
    <row r="165" ht="24.0" customHeight="1"/>
    <row r="166" ht="24.0" customHeight="1"/>
    <row r="167" ht="24.0" customHeight="1"/>
    <row r="168" ht="24.0" customHeight="1"/>
    <row r="169" ht="24.0" customHeight="1"/>
    <row r="170" ht="24.0" customHeight="1"/>
    <row r="171" ht="24.0" customHeight="1"/>
    <row r="172" ht="24.0" customHeight="1"/>
    <row r="173" ht="24.0" customHeight="1"/>
    <row r="174" ht="24.0" customHeight="1"/>
    <row r="175" ht="24.0" customHeight="1"/>
    <row r="176" ht="24.0" customHeight="1"/>
    <row r="177" ht="24.0" customHeight="1"/>
    <row r="178" ht="24.0" customHeight="1"/>
    <row r="179" ht="24.0" customHeight="1"/>
    <row r="180" ht="24.0" customHeight="1"/>
    <row r="181" ht="24.0" customHeight="1"/>
    <row r="182" ht="24.0" customHeight="1"/>
    <row r="183" ht="24.0" customHeight="1"/>
    <row r="184" ht="24.0" customHeight="1"/>
    <row r="185" ht="24.0" customHeight="1"/>
    <row r="186" ht="24.0" customHeight="1"/>
    <row r="187" ht="24.0" customHeight="1"/>
    <row r="188" ht="24.0" customHeight="1"/>
    <row r="189" ht="24.0" customHeight="1"/>
    <row r="190" ht="24.0" customHeight="1"/>
    <row r="191" ht="24.0" customHeight="1"/>
    <row r="192" ht="24.0" customHeight="1"/>
    <row r="193" ht="24.0" customHeight="1"/>
    <row r="194" ht="24.0" customHeight="1"/>
    <row r="195" ht="24.0" customHeight="1"/>
    <row r="196" ht="24.0" customHeight="1"/>
    <row r="197" ht="24.0" customHeight="1"/>
    <row r="198" ht="24.0" customHeight="1"/>
    <row r="199" ht="24.0" customHeight="1"/>
    <row r="200" ht="24.0" customHeight="1"/>
    <row r="201" ht="24.0" customHeight="1"/>
    <row r="202" ht="24.0" customHeight="1"/>
    <row r="203" ht="24.0" customHeight="1"/>
    <row r="204" ht="24.0" customHeight="1"/>
    <row r="205" ht="24.0" customHeight="1"/>
    <row r="206" ht="24.0" customHeight="1"/>
    <row r="207" ht="24.0" customHeight="1"/>
    <row r="208" ht="24.0" customHeight="1"/>
    <row r="209" ht="24.0" customHeight="1"/>
    <row r="210" ht="24.0" customHeight="1"/>
    <row r="211" ht="24.0" customHeight="1"/>
    <row r="212" ht="24.0" customHeight="1"/>
    <row r="213" ht="24.0" customHeight="1"/>
    <row r="214" ht="24.0" customHeight="1"/>
    <row r="215" ht="24.0" customHeight="1"/>
    <row r="216" ht="24.0" customHeight="1"/>
    <row r="217" ht="24.0" customHeight="1"/>
    <row r="218" ht="24.0" customHeight="1"/>
    <row r="219" ht="24.0" customHeight="1"/>
    <row r="220" ht="24.0" customHeight="1"/>
    <row r="221" ht="24.0" customHeight="1"/>
    <row r="222" ht="24.0" customHeight="1"/>
    <row r="223" ht="24.0" customHeight="1"/>
    <row r="224" ht="24.0" customHeight="1"/>
    <row r="225" ht="24.0" customHeight="1"/>
    <row r="226" ht="24.0" customHeight="1"/>
    <row r="227" ht="24.0" customHeight="1"/>
    <row r="228" ht="24.0" customHeight="1"/>
    <row r="229" ht="24.0" customHeight="1"/>
    <row r="230" ht="24.0" customHeight="1"/>
    <row r="231" ht="24.0" customHeight="1"/>
    <row r="232" ht="24.0" customHeight="1"/>
    <row r="233" ht="24.0" customHeight="1"/>
    <row r="234" ht="24.0" customHeight="1"/>
    <row r="235" ht="24.0" customHeight="1"/>
    <row r="236" ht="24.0" customHeight="1"/>
    <row r="237" ht="24.0" customHeight="1"/>
    <row r="238" ht="24.0" customHeight="1"/>
    <row r="239" ht="24.0" customHeight="1"/>
    <row r="240" ht="24.0" customHeight="1"/>
    <row r="241" ht="24.0" customHeight="1"/>
    <row r="242" ht="24.0" customHeight="1"/>
    <row r="243" ht="24.0" customHeight="1"/>
    <row r="244" ht="24.0" customHeight="1"/>
    <row r="245" ht="24.0" customHeight="1"/>
    <row r="246" ht="24.0" customHeight="1"/>
    <row r="247" ht="24.0" customHeight="1"/>
    <row r="248" ht="24.0" customHeight="1"/>
    <row r="249" ht="24.0" customHeight="1"/>
    <row r="250" ht="24.0" customHeight="1"/>
    <row r="251" ht="24.0" customHeight="1"/>
    <row r="252" ht="24.0" customHeight="1"/>
    <row r="253" ht="24.0" customHeight="1"/>
    <row r="254" ht="24.0" customHeight="1"/>
    <row r="255" ht="24.0" customHeight="1"/>
    <row r="256" ht="24.0" customHeight="1"/>
    <row r="257" ht="24.0" customHeight="1"/>
    <row r="258" ht="24.0" customHeight="1"/>
    <row r="259" ht="24.0" customHeight="1"/>
    <row r="260" ht="24.0" customHeight="1"/>
    <row r="261" ht="24.0" customHeight="1"/>
    <row r="262" ht="24.0" customHeight="1"/>
    <row r="263" ht="24.0" customHeight="1"/>
    <row r="264" ht="24.0" customHeight="1"/>
    <row r="265" ht="24.0" customHeight="1"/>
    <row r="266" ht="24.0" customHeight="1"/>
    <row r="267" ht="24.0" customHeight="1"/>
    <row r="268" ht="24.0" customHeight="1"/>
    <row r="269" ht="24.0" customHeight="1"/>
    <row r="270" ht="24.0" customHeight="1"/>
    <row r="271" ht="24.0" customHeight="1"/>
    <row r="272" ht="24.0" customHeight="1"/>
    <row r="273" ht="24.0" customHeight="1"/>
    <row r="274" ht="24.0" customHeight="1"/>
    <row r="275" ht="24.0" customHeight="1"/>
    <row r="276" ht="24.0" customHeight="1"/>
    <row r="277" ht="24.0" customHeight="1"/>
    <row r="278" ht="24.0" customHeight="1"/>
    <row r="279" ht="24.0" customHeight="1"/>
    <row r="280" ht="24.0" customHeight="1"/>
    <row r="281" ht="24.0" customHeight="1"/>
    <row r="282" ht="24.0" customHeight="1"/>
    <row r="283" ht="24.0" customHeight="1"/>
    <row r="284" ht="24.0" customHeight="1"/>
    <row r="285" ht="24.0" customHeight="1"/>
    <row r="286" ht="24.0" customHeight="1"/>
    <row r="287" ht="24.0" customHeight="1"/>
    <row r="288" ht="24.0" customHeight="1"/>
    <row r="289" ht="24.0" customHeight="1"/>
    <row r="290" ht="24.0" customHeight="1"/>
    <row r="291" ht="24.0" customHeight="1"/>
    <row r="292" ht="24.0" customHeight="1"/>
    <row r="293" ht="24.0" customHeight="1"/>
    <row r="294" ht="24.0" customHeight="1"/>
    <row r="295" ht="24.0" customHeight="1"/>
    <row r="296" ht="24.0" customHeight="1"/>
    <row r="297" ht="24.0" customHeight="1"/>
    <row r="298" ht="24.0" customHeight="1"/>
    <row r="299" ht="24.0" customHeight="1"/>
    <row r="300" ht="24.0" customHeight="1"/>
    <row r="301" ht="24.0" customHeight="1"/>
    <row r="302" ht="24.0" customHeight="1"/>
    <row r="303" ht="24.0" customHeight="1"/>
    <row r="304" ht="24.0" customHeight="1"/>
    <row r="305" ht="24.0" customHeight="1"/>
    <row r="306" ht="24.0" customHeight="1"/>
    <row r="307" ht="24.0" customHeight="1"/>
    <row r="308" ht="24.0" customHeight="1"/>
    <row r="309" ht="24.0" customHeight="1"/>
    <row r="310" ht="24.0" customHeight="1"/>
    <row r="311" ht="24.0" customHeight="1"/>
    <row r="312" ht="24.0" customHeight="1"/>
    <row r="313" ht="24.0" customHeight="1"/>
    <row r="314" ht="24.0" customHeight="1"/>
    <row r="315" ht="24.0" customHeight="1"/>
    <row r="316" ht="24.0" customHeight="1"/>
    <row r="317" ht="24.0" customHeight="1"/>
    <row r="318" ht="24.0" customHeight="1"/>
    <row r="319" ht="24.0" customHeight="1"/>
    <row r="320" ht="24.0" customHeight="1"/>
    <row r="321" ht="24.0" customHeight="1"/>
    <row r="322" ht="24.0" customHeight="1"/>
    <row r="323" ht="24.0" customHeight="1"/>
    <row r="324" ht="24.0" customHeight="1"/>
    <row r="325" ht="24.0" customHeight="1"/>
    <row r="326" ht="24.0" customHeight="1"/>
    <row r="327" ht="24.0" customHeight="1"/>
    <row r="328" ht="24.0" customHeight="1"/>
    <row r="329" ht="24.0" customHeight="1"/>
    <row r="330" ht="24.0" customHeight="1"/>
    <row r="331" ht="24.0" customHeight="1"/>
    <row r="332" ht="24.0" customHeight="1"/>
    <row r="333" ht="24.0" customHeight="1"/>
    <row r="334" ht="24.0" customHeight="1"/>
    <row r="335" ht="24.0" customHeight="1"/>
    <row r="336" ht="24.0" customHeight="1"/>
    <row r="337" ht="24.0" customHeight="1"/>
    <row r="338" ht="24.0" customHeight="1"/>
    <row r="339" ht="24.0" customHeight="1"/>
    <row r="340" ht="24.0" customHeight="1"/>
    <row r="341" ht="24.0" customHeight="1"/>
    <row r="342" ht="24.0" customHeight="1"/>
    <row r="343" ht="24.0" customHeight="1"/>
    <row r="344" ht="24.0" customHeight="1"/>
    <row r="345" ht="24.0" customHeight="1"/>
    <row r="346" ht="24.0" customHeight="1"/>
    <row r="347" ht="24.0" customHeight="1"/>
    <row r="348" ht="24.0" customHeight="1"/>
    <row r="349" ht="24.0" customHeight="1"/>
    <row r="350" ht="24.0" customHeight="1"/>
    <row r="351" ht="24.0" customHeight="1"/>
    <row r="352" ht="24.0" customHeight="1"/>
    <row r="353" ht="24.0" customHeight="1"/>
    <row r="354" ht="24.0" customHeight="1"/>
    <row r="355" ht="24.0" customHeight="1"/>
    <row r="356" ht="24.0" customHeight="1"/>
    <row r="357" ht="24.0" customHeight="1"/>
    <row r="358" ht="24.0" customHeight="1"/>
    <row r="359" ht="24.0" customHeight="1"/>
    <row r="360" ht="24.0" customHeight="1"/>
    <row r="361" ht="24.0" customHeight="1"/>
    <row r="362" ht="24.0" customHeight="1"/>
    <row r="363" ht="24.0" customHeight="1"/>
    <row r="364" ht="24.0" customHeight="1"/>
    <row r="365" ht="24.0" customHeight="1"/>
    <row r="366" ht="24.0" customHeight="1"/>
    <row r="367" ht="24.0" customHeight="1"/>
    <row r="368" ht="24.0" customHeight="1"/>
    <row r="369" ht="24.0" customHeight="1"/>
    <row r="370" ht="24.0" customHeight="1"/>
    <row r="371" ht="24.0" customHeight="1"/>
    <row r="372" ht="24.0" customHeight="1"/>
    <row r="373" ht="24.0" customHeight="1"/>
    <row r="374" ht="24.0" customHeight="1"/>
    <row r="375" ht="24.0" customHeight="1"/>
    <row r="376" ht="24.0" customHeight="1"/>
    <row r="377" ht="24.0" customHeight="1"/>
    <row r="378" ht="24.0" customHeight="1"/>
    <row r="379" ht="24.0" customHeight="1"/>
    <row r="380" ht="24.0" customHeight="1"/>
    <row r="381" ht="24.0" customHeight="1"/>
    <row r="382" ht="24.0" customHeight="1"/>
    <row r="383" ht="24.0" customHeight="1"/>
    <row r="384" ht="24.0" customHeight="1"/>
    <row r="385" ht="24.0" customHeight="1"/>
    <row r="386" ht="24.0" customHeight="1"/>
    <row r="387" ht="24.0" customHeight="1"/>
    <row r="388" ht="24.0" customHeight="1"/>
    <row r="389" ht="24.0" customHeight="1"/>
    <row r="390" ht="24.0" customHeight="1"/>
    <row r="391" ht="24.0" customHeight="1"/>
    <row r="392" ht="24.0" customHeight="1"/>
    <row r="393" ht="24.0" customHeight="1"/>
    <row r="394" ht="24.0" customHeight="1"/>
    <row r="395" ht="24.0" customHeight="1"/>
    <row r="396" ht="24.0" customHeight="1"/>
    <row r="397" ht="24.0" customHeight="1"/>
    <row r="398" ht="24.0" customHeight="1"/>
    <row r="399" ht="24.0" customHeight="1"/>
    <row r="400" ht="24.0" customHeight="1"/>
    <row r="401" ht="24.0" customHeight="1"/>
    <row r="402" ht="24.0" customHeight="1"/>
    <row r="403" ht="24.0" customHeight="1"/>
    <row r="404" ht="24.0" customHeight="1"/>
    <row r="405" ht="24.0" customHeight="1"/>
    <row r="406" ht="24.0" customHeight="1"/>
    <row r="407" ht="24.0" customHeight="1"/>
    <row r="408" ht="24.0" customHeight="1"/>
    <row r="409" ht="24.0" customHeight="1"/>
    <row r="410" ht="24.0" customHeight="1"/>
    <row r="411" ht="24.0" customHeight="1"/>
    <row r="412" ht="24.0" customHeight="1"/>
    <row r="413" ht="24.0" customHeight="1"/>
    <row r="414" ht="24.0" customHeight="1"/>
    <row r="415" ht="24.0" customHeight="1"/>
    <row r="416" ht="24.0" customHeight="1"/>
    <row r="417" ht="24.0" customHeight="1"/>
    <row r="418" ht="24.0" customHeight="1"/>
    <row r="419" ht="24.0" customHeight="1"/>
    <row r="420" ht="24.0" customHeight="1"/>
    <row r="421" ht="24.0" customHeight="1"/>
    <row r="422" ht="24.0" customHeight="1"/>
    <row r="423" ht="24.0" customHeight="1"/>
    <row r="424" ht="24.0" customHeight="1"/>
    <row r="425" ht="24.0" customHeight="1"/>
    <row r="426" ht="24.0" customHeight="1"/>
    <row r="427" ht="24.0" customHeight="1"/>
    <row r="428" ht="24.0" customHeight="1"/>
    <row r="429" ht="24.0" customHeight="1"/>
    <row r="430" ht="24.0" customHeight="1"/>
    <row r="431" ht="24.0" customHeight="1"/>
    <row r="432" ht="24.0" customHeight="1"/>
    <row r="433" ht="24.0" customHeight="1"/>
    <row r="434" ht="24.0" customHeight="1"/>
    <row r="435" ht="24.0" customHeight="1"/>
    <row r="436" ht="24.0" customHeight="1"/>
    <row r="437" ht="24.0" customHeight="1"/>
    <row r="438" ht="24.0" customHeight="1"/>
    <row r="439" ht="24.0" customHeight="1"/>
    <row r="440" ht="24.0" customHeight="1"/>
    <row r="441" ht="24.0" customHeight="1"/>
    <row r="442" ht="24.0" customHeight="1"/>
    <row r="443" ht="24.0" customHeight="1"/>
    <row r="444" ht="24.0" customHeight="1"/>
    <row r="445" ht="24.0" customHeight="1"/>
    <row r="446" ht="24.0" customHeight="1"/>
    <row r="447" ht="24.0" customHeight="1"/>
    <row r="448" ht="24.0" customHeight="1"/>
    <row r="449" ht="24.0" customHeight="1"/>
    <row r="450" ht="24.0" customHeight="1"/>
    <row r="451" ht="24.0" customHeight="1"/>
    <row r="452" ht="24.0" customHeight="1"/>
    <row r="453" ht="24.0" customHeight="1"/>
    <row r="454" ht="24.0" customHeight="1"/>
    <row r="455" ht="24.0" customHeight="1"/>
    <row r="456" ht="24.0" customHeight="1"/>
    <row r="457" ht="24.0" customHeight="1"/>
    <row r="458" ht="24.0" customHeight="1"/>
    <row r="459" ht="24.0" customHeight="1"/>
    <row r="460" ht="24.0" customHeight="1"/>
    <row r="461" ht="24.0" customHeight="1"/>
    <row r="462" ht="24.0" customHeight="1"/>
    <row r="463" ht="24.0" customHeight="1"/>
    <row r="464" ht="24.0" customHeight="1"/>
    <row r="465" ht="24.0" customHeight="1"/>
    <row r="466" ht="24.0" customHeight="1"/>
    <row r="467" ht="24.0" customHeight="1"/>
    <row r="468" ht="24.0" customHeight="1"/>
    <row r="469" ht="24.0" customHeight="1"/>
    <row r="470" ht="24.0" customHeight="1"/>
    <row r="471" ht="24.0" customHeight="1"/>
    <row r="472" ht="24.0" customHeight="1"/>
    <row r="473" ht="24.0" customHeight="1"/>
    <row r="474" ht="24.0" customHeight="1"/>
    <row r="475" ht="24.0" customHeight="1"/>
    <row r="476" ht="24.0" customHeight="1"/>
    <row r="477" ht="24.0" customHeight="1"/>
    <row r="478" ht="24.0" customHeight="1"/>
    <row r="479" ht="24.0" customHeight="1"/>
    <row r="480" ht="24.0" customHeight="1"/>
    <row r="481" ht="24.0" customHeight="1"/>
    <row r="482" ht="24.0" customHeight="1"/>
    <row r="483" ht="24.0" customHeight="1"/>
    <row r="484" ht="24.0" customHeight="1"/>
    <row r="485" ht="24.0" customHeight="1"/>
    <row r="486" ht="24.0" customHeight="1"/>
    <row r="487" ht="24.0" customHeight="1"/>
    <row r="488" ht="24.0" customHeight="1"/>
    <row r="489" ht="24.0" customHeight="1"/>
    <row r="490" ht="24.0" customHeight="1"/>
    <row r="491" ht="24.0" customHeight="1"/>
    <row r="492" ht="24.0" customHeight="1"/>
    <row r="493" ht="24.0" customHeight="1"/>
    <row r="494" ht="24.0" customHeight="1"/>
    <row r="495" ht="24.0" customHeight="1"/>
    <row r="496" ht="24.0" customHeight="1"/>
    <row r="497" ht="24.0" customHeight="1"/>
    <row r="498" ht="24.0" customHeight="1"/>
    <row r="499" ht="24.0" customHeight="1"/>
    <row r="500" ht="24.0" customHeight="1"/>
    <row r="501" ht="24.0" customHeight="1"/>
    <row r="502" ht="24.0" customHeight="1"/>
    <row r="503" ht="24.0" customHeight="1"/>
    <row r="504" ht="24.0" customHeight="1"/>
    <row r="505" ht="24.0" customHeight="1"/>
    <row r="506" ht="24.0" customHeight="1"/>
    <row r="507" ht="24.0" customHeight="1"/>
    <row r="508" ht="24.0" customHeight="1"/>
    <row r="509" ht="24.0" customHeight="1"/>
    <row r="510" ht="24.0" customHeight="1"/>
    <row r="511" ht="24.0" customHeight="1"/>
    <row r="512" ht="24.0" customHeight="1"/>
    <row r="513" ht="24.0" customHeight="1"/>
    <row r="514" ht="24.0" customHeight="1"/>
    <row r="515" ht="24.0" customHeight="1"/>
    <row r="516" ht="24.0" customHeight="1"/>
    <row r="517" ht="24.0" customHeight="1"/>
    <row r="518" ht="24.0" customHeight="1"/>
    <row r="519" ht="24.0" customHeight="1"/>
    <row r="520" ht="24.0" customHeight="1"/>
    <row r="521" ht="24.0" customHeight="1"/>
    <row r="522" ht="24.0" customHeight="1"/>
    <row r="523" ht="24.0" customHeight="1"/>
    <row r="524" ht="24.0" customHeight="1"/>
    <row r="525" ht="24.0" customHeight="1"/>
    <row r="526" ht="24.0" customHeight="1"/>
    <row r="527" ht="24.0" customHeight="1"/>
    <row r="528" ht="24.0" customHeight="1"/>
    <row r="529" ht="24.0" customHeight="1"/>
    <row r="530" ht="24.0" customHeight="1"/>
    <row r="531" ht="24.0" customHeight="1"/>
    <row r="532" ht="24.0" customHeight="1"/>
    <row r="533" ht="24.0" customHeight="1"/>
    <row r="534" ht="24.0" customHeight="1"/>
    <row r="535" ht="24.0" customHeight="1"/>
    <row r="536" ht="24.0" customHeight="1"/>
    <row r="537" ht="24.0" customHeight="1"/>
    <row r="538" ht="24.0" customHeight="1"/>
    <row r="539" ht="24.0" customHeight="1"/>
    <row r="540" ht="24.0" customHeight="1"/>
    <row r="541" ht="24.0" customHeight="1"/>
    <row r="542" ht="24.0" customHeight="1"/>
    <row r="543" ht="24.0" customHeight="1"/>
    <row r="544" ht="24.0" customHeight="1"/>
    <row r="545" ht="24.0" customHeight="1"/>
    <row r="546" ht="24.0" customHeight="1"/>
    <row r="547" ht="24.0" customHeight="1"/>
    <row r="548" ht="24.0" customHeight="1"/>
    <row r="549" ht="24.0" customHeight="1"/>
    <row r="550" ht="24.0" customHeight="1"/>
    <row r="551" ht="24.0" customHeight="1"/>
    <row r="552" ht="24.0" customHeight="1"/>
    <row r="553" ht="24.0" customHeight="1"/>
    <row r="554" ht="24.0" customHeight="1"/>
    <row r="555" ht="24.0" customHeight="1"/>
    <row r="556" ht="24.0" customHeight="1"/>
    <row r="557" ht="24.0" customHeight="1"/>
    <row r="558" ht="24.0" customHeight="1"/>
    <row r="559" ht="24.0" customHeight="1"/>
    <row r="560" ht="24.0" customHeight="1"/>
    <row r="561" ht="24.0" customHeight="1"/>
    <row r="562" ht="24.0" customHeight="1"/>
    <row r="563" ht="24.0" customHeight="1"/>
    <row r="564" ht="24.0" customHeight="1"/>
    <row r="565" ht="24.0" customHeight="1"/>
    <row r="566" ht="24.0" customHeight="1"/>
    <row r="567" ht="24.0" customHeight="1"/>
    <row r="568" ht="24.0" customHeight="1"/>
    <row r="569" ht="24.0" customHeight="1"/>
    <row r="570" ht="24.0" customHeight="1"/>
    <row r="571" ht="24.0" customHeight="1"/>
    <row r="572" ht="24.0" customHeight="1"/>
    <row r="573" ht="24.0" customHeight="1"/>
    <row r="574" ht="24.0" customHeight="1"/>
    <row r="575" ht="24.0" customHeight="1"/>
    <row r="576" ht="24.0" customHeight="1"/>
    <row r="577" ht="24.0" customHeight="1"/>
    <row r="578" ht="24.0" customHeight="1"/>
    <row r="579" ht="24.0" customHeight="1"/>
    <row r="580" ht="24.0" customHeight="1"/>
    <row r="581" ht="24.0" customHeight="1"/>
    <row r="582" ht="24.0" customHeight="1"/>
    <row r="583" ht="24.0" customHeight="1"/>
    <row r="584" ht="24.0" customHeight="1"/>
    <row r="585" ht="24.0" customHeight="1"/>
    <row r="586" ht="24.0" customHeight="1"/>
    <row r="587" ht="24.0" customHeight="1"/>
    <row r="588" ht="24.0" customHeight="1"/>
    <row r="589" ht="24.0" customHeight="1"/>
    <row r="590" ht="24.0" customHeight="1"/>
    <row r="591" ht="24.0" customHeight="1"/>
    <row r="592" ht="24.0" customHeight="1"/>
    <row r="593" ht="24.0" customHeight="1"/>
    <row r="594" ht="24.0" customHeight="1"/>
    <row r="595" ht="24.0" customHeight="1"/>
    <row r="596" ht="24.0" customHeight="1"/>
    <row r="597" ht="24.0" customHeight="1"/>
    <row r="598" ht="24.0" customHeight="1"/>
    <row r="599" ht="24.0" customHeight="1"/>
    <row r="600" ht="24.0" customHeight="1"/>
    <row r="601" ht="24.0" customHeight="1"/>
    <row r="602" ht="24.0" customHeight="1"/>
    <row r="603" ht="24.0" customHeight="1"/>
    <row r="604" ht="24.0" customHeight="1"/>
    <row r="605" ht="24.0" customHeight="1"/>
    <row r="606" ht="24.0" customHeight="1"/>
    <row r="607" ht="24.0" customHeight="1"/>
    <row r="608" ht="24.0" customHeight="1"/>
    <row r="609" ht="24.0" customHeight="1"/>
    <row r="610" ht="24.0" customHeight="1"/>
    <row r="611" ht="24.0" customHeight="1"/>
    <row r="612" ht="24.0" customHeight="1"/>
    <row r="613" ht="24.0" customHeight="1"/>
    <row r="614" ht="24.0" customHeight="1"/>
    <row r="615" ht="24.0" customHeight="1"/>
    <row r="616" ht="24.0" customHeight="1"/>
    <row r="617" ht="24.0" customHeight="1"/>
    <row r="618" ht="24.0" customHeight="1"/>
    <row r="619" ht="24.0" customHeight="1"/>
    <row r="620" ht="24.0" customHeight="1"/>
    <row r="621" ht="24.0" customHeight="1"/>
    <row r="622" ht="24.0" customHeight="1"/>
    <row r="623" ht="24.0" customHeight="1"/>
    <row r="624" ht="24.0" customHeight="1"/>
    <row r="625" ht="24.0" customHeight="1"/>
    <row r="626" ht="24.0" customHeight="1"/>
    <row r="627" ht="24.0" customHeight="1"/>
    <row r="628" ht="24.0" customHeight="1"/>
    <row r="629" ht="24.0" customHeight="1"/>
    <row r="630" ht="24.0" customHeight="1"/>
    <row r="631" ht="24.0" customHeight="1"/>
    <row r="632" ht="24.0" customHeight="1"/>
    <row r="633" ht="24.0" customHeight="1"/>
    <row r="634" ht="24.0" customHeight="1"/>
    <row r="635" ht="24.0" customHeight="1"/>
    <row r="636" ht="24.0" customHeight="1"/>
    <row r="637" ht="24.0" customHeight="1"/>
    <row r="638" ht="24.0" customHeight="1"/>
    <row r="639" ht="24.0" customHeight="1"/>
    <row r="640" ht="24.0" customHeight="1"/>
    <row r="641" ht="24.0" customHeight="1"/>
    <row r="642" ht="24.0" customHeight="1"/>
    <row r="643" ht="24.0" customHeight="1"/>
    <row r="644" ht="24.0" customHeight="1"/>
    <row r="645" ht="24.0" customHeight="1"/>
    <row r="646" ht="24.0" customHeight="1"/>
    <row r="647" ht="24.0" customHeight="1"/>
    <row r="648" ht="24.0" customHeight="1"/>
    <row r="649" ht="24.0" customHeight="1"/>
    <row r="650" ht="24.0" customHeight="1"/>
    <row r="651" ht="24.0" customHeight="1"/>
    <row r="652" ht="24.0" customHeight="1"/>
    <row r="653" ht="24.0" customHeight="1"/>
    <row r="654" ht="24.0" customHeight="1"/>
    <row r="655" ht="24.0" customHeight="1"/>
    <row r="656" ht="24.0" customHeight="1"/>
    <row r="657" ht="24.0" customHeight="1"/>
    <row r="658" ht="24.0" customHeight="1"/>
    <row r="659" ht="24.0" customHeight="1"/>
    <row r="660" ht="24.0" customHeight="1"/>
    <row r="661" ht="24.0" customHeight="1"/>
    <row r="662" ht="24.0" customHeight="1"/>
    <row r="663" ht="24.0" customHeight="1"/>
    <row r="664" ht="24.0" customHeight="1"/>
    <row r="665" ht="24.0" customHeight="1"/>
    <row r="666" ht="24.0" customHeight="1"/>
    <row r="667" ht="24.0" customHeight="1"/>
    <row r="668" ht="24.0" customHeight="1"/>
    <row r="669" ht="24.0" customHeight="1"/>
    <row r="670" ht="24.0" customHeight="1"/>
    <row r="671" ht="24.0" customHeight="1"/>
    <row r="672" ht="24.0" customHeight="1"/>
    <row r="673" ht="24.0" customHeight="1"/>
    <row r="674" ht="24.0" customHeight="1"/>
    <row r="675" ht="24.0" customHeight="1"/>
    <row r="676" ht="24.0" customHeight="1"/>
    <row r="677" ht="24.0" customHeight="1"/>
    <row r="678" ht="24.0" customHeight="1"/>
    <row r="679" ht="24.0" customHeight="1"/>
    <row r="680" ht="24.0" customHeight="1"/>
    <row r="681" ht="24.0" customHeight="1"/>
    <row r="682" ht="24.0" customHeight="1"/>
    <row r="683" ht="24.0" customHeight="1"/>
    <row r="684" ht="24.0" customHeight="1"/>
    <row r="685" ht="24.0" customHeight="1"/>
    <row r="686" ht="24.0" customHeight="1"/>
    <row r="687" ht="24.0" customHeight="1"/>
    <row r="688" ht="24.0" customHeight="1"/>
    <row r="689" ht="24.0" customHeight="1"/>
    <row r="690" ht="24.0" customHeight="1"/>
    <row r="691" ht="24.0" customHeight="1"/>
    <row r="692" ht="24.0" customHeight="1"/>
    <row r="693" ht="24.0" customHeight="1"/>
    <row r="694" ht="24.0" customHeight="1"/>
    <row r="695" ht="24.0" customHeight="1"/>
    <row r="696" ht="24.0" customHeight="1"/>
    <row r="697" ht="24.0" customHeight="1"/>
    <row r="698" ht="24.0" customHeight="1"/>
    <row r="699" ht="24.0" customHeight="1"/>
    <row r="700" ht="24.0" customHeight="1"/>
    <row r="701" ht="24.0" customHeight="1"/>
    <row r="702" ht="24.0" customHeight="1"/>
    <row r="703" ht="24.0" customHeight="1"/>
    <row r="704" ht="24.0" customHeight="1"/>
    <row r="705" ht="24.0" customHeight="1"/>
    <row r="706" ht="24.0" customHeight="1"/>
    <row r="707" ht="24.0" customHeight="1"/>
    <row r="708" ht="24.0" customHeight="1"/>
    <row r="709" ht="24.0" customHeight="1"/>
    <row r="710" ht="24.0" customHeight="1"/>
    <row r="711" ht="24.0" customHeight="1"/>
    <row r="712" ht="24.0" customHeight="1"/>
    <row r="713" ht="24.0" customHeight="1"/>
    <row r="714" ht="24.0" customHeight="1"/>
    <row r="715" ht="24.0" customHeight="1"/>
    <row r="716" ht="24.0" customHeight="1"/>
    <row r="717" ht="24.0" customHeight="1"/>
    <row r="718" ht="24.0" customHeight="1"/>
    <row r="719" ht="24.0" customHeight="1"/>
    <row r="720" ht="24.0" customHeight="1"/>
    <row r="721" ht="24.0" customHeight="1"/>
    <row r="722" ht="24.0" customHeight="1"/>
    <row r="723" ht="24.0" customHeight="1"/>
    <row r="724" ht="24.0" customHeight="1"/>
    <row r="725" ht="24.0" customHeight="1"/>
    <row r="726" ht="24.0" customHeight="1"/>
    <row r="727" ht="24.0" customHeight="1"/>
    <row r="728" ht="24.0" customHeight="1"/>
    <row r="729" ht="24.0" customHeight="1"/>
    <row r="730" ht="24.0" customHeight="1"/>
    <row r="731" ht="24.0" customHeight="1"/>
    <row r="732" ht="24.0" customHeight="1"/>
    <row r="733" ht="24.0" customHeight="1"/>
    <row r="734" ht="24.0" customHeight="1"/>
    <row r="735" ht="24.0" customHeight="1"/>
    <row r="736" ht="24.0" customHeight="1"/>
    <row r="737" ht="24.0" customHeight="1"/>
    <row r="738" ht="24.0" customHeight="1"/>
    <row r="739" ht="24.0" customHeight="1"/>
    <row r="740" ht="24.0" customHeight="1"/>
    <row r="741" ht="24.0" customHeight="1"/>
    <row r="742" ht="24.0" customHeight="1"/>
    <row r="743" ht="24.0" customHeight="1"/>
    <row r="744" ht="24.0" customHeight="1"/>
    <row r="745" ht="24.0" customHeight="1"/>
    <row r="746" ht="24.0" customHeight="1"/>
    <row r="747" ht="24.0" customHeight="1"/>
    <row r="748" ht="24.0" customHeight="1"/>
    <row r="749" ht="24.0" customHeight="1"/>
    <row r="750" ht="24.0" customHeight="1"/>
    <row r="751" ht="24.0" customHeight="1"/>
    <row r="752" ht="24.0" customHeight="1"/>
    <row r="753" ht="24.0" customHeight="1"/>
    <row r="754" ht="24.0" customHeight="1"/>
    <row r="755" ht="24.0" customHeight="1"/>
    <row r="756" ht="24.0" customHeight="1"/>
    <row r="757" ht="24.0" customHeight="1"/>
    <row r="758" ht="24.0" customHeight="1"/>
    <row r="759" ht="24.0" customHeight="1"/>
    <row r="760" ht="24.0" customHeight="1"/>
    <row r="761" ht="24.0" customHeight="1"/>
    <row r="762" ht="24.0" customHeight="1"/>
    <row r="763" ht="24.0" customHeight="1"/>
    <row r="764" ht="24.0" customHeight="1"/>
    <row r="765" ht="24.0" customHeight="1"/>
    <row r="766" ht="24.0" customHeight="1"/>
    <row r="767" ht="24.0" customHeight="1"/>
    <row r="768" ht="24.0" customHeight="1"/>
    <row r="769" ht="24.0" customHeight="1"/>
    <row r="770" ht="24.0" customHeight="1"/>
    <row r="771" ht="24.0" customHeight="1"/>
    <row r="772" ht="24.0" customHeight="1"/>
    <row r="773" ht="24.0" customHeight="1"/>
    <row r="774" ht="24.0" customHeight="1"/>
    <row r="775" ht="24.0" customHeight="1"/>
    <row r="776" ht="24.0" customHeight="1"/>
    <row r="777" ht="24.0" customHeight="1"/>
    <row r="778" ht="24.0" customHeight="1"/>
    <row r="779" ht="24.0" customHeight="1"/>
    <row r="780" ht="24.0" customHeight="1"/>
    <row r="781" ht="24.0" customHeight="1"/>
    <row r="782" ht="24.0" customHeight="1"/>
    <row r="783" ht="24.0" customHeight="1"/>
    <row r="784" ht="24.0" customHeight="1"/>
    <row r="785" ht="24.0" customHeight="1"/>
    <row r="786" ht="24.0" customHeight="1"/>
    <row r="787" ht="24.0" customHeight="1"/>
    <row r="788" ht="24.0" customHeight="1"/>
    <row r="789" ht="24.0" customHeight="1"/>
    <row r="790" ht="24.0" customHeight="1"/>
    <row r="791" ht="24.0" customHeight="1"/>
    <row r="792" ht="24.0" customHeight="1"/>
    <row r="793" ht="24.0" customHeight="1"/>
    <row r="794" ht="24.0" customHeight="1"/>
    <row r="795" ht="24.0" customHeight="1"/>
    <row r="796" ht="24.0" customHeight="1"/>
    <row r="797" ht="24.0" customHeight="1"/>
    <row r="798" ht="24.0" customHeight="1"/>
    <row r="799" ht="24.0" customHeight="1"/>
    <row r="800" ht="24.0" customHeight="1"/>
    <row r="801" ht="24.0" customHeight="1"/>
    <row r="802" ht="24.0" customHeight="1"/>
    <row r="803" ht="24.0" customHeight="1"/>
    <row r="804" ht="24.0" customHeight="1"/>
    <row r="805" ht="24.0" customHeight="1"/>
    <row r="806" ht="24.0" customHeight="1"/>
    <row r="807" ht="24.0" customHeight="1"/>
    <row r="808" ht="24.0" customHeight="1"/>
    <row r="809" ht="24.0" customHeight="1"/>
    <row r="810" ht="24.0" customHeight="1"/>
    <row r="811" ht="24.0" customHeight="1"/>
    <row r="812" ht="24.0" customHeight="1"/>
    <row r="813" ht="24.0" customHeight="1"/>
    <row r="814" ht="24.0" customHeight="1"/>
    <row r="815" ht="24.0" customHeight="1"/>
    <row r="816" ht="24.0" customHeight="1"/>
    <row r="817" ht="24.0" customHeight="1"/>
    <row r="818" ht="24.0" customHeight="1"/>
    <row r="819" ht="24.0" customHeight="1"/>
    <row r="820" ht="24.0" customHeight="1"/>
    <row r="821" ht="24.0" customHeight="1"/>
    <row r="822" ht="24.0" customHeight="1"/>
    <row r="823" ht="24.0" customHeight="1"/>
    <row r="824" ht="24.0" customHeight="1"/>
    <row r="825" ht="24.0" customHeight="1"/>
    <row r="826" ht="24.0" customHeight="1"/>
    <row r="827" ht="24.0" customHeight="1"/>
    <row r="828" ht="24.0" customHeight="1"/>
    <row r="829" ht="24.0" customHeight="1"/>
    <row r="830" ht="24.0" customHeight="1"/>
    <row r="831" ht="24.0" customHeight="1"/>
    <row r="832" ht="24.0" customHeight="1"/>
    <row r="833" ht="24.0" customHeight="1"/>
    <row r="834" ht="24.0" customHeight="1"/>
    <row r="835" ht="24.0" customHeight="1"/>
    <row r="836" ht="24.0" customHeight="1"/>
    <row r="837" ht="24.0" customHeight="1"/>
    <row r="838" ht="24.0" customHeight="1"/>
    <row r="839" ht="24.0" customHeight="1"/>
    <row r="840" ht="24.0" customHeight="1"/>
    <row r="841" ht="24.0" customHeight="1"/>
    <row r="842" ht="24.0" customHeight="1"/>
    <row r="843" ht="24.0" customHeight="1"/>
    <row r="844" ht="24.0" customHeight="1"/>
    <row r="845" ht="24.0" customHeight="1"/>
    <row r="846" ht="24.0" customHeight="1"/>
    <row r="847" ht="24.0" customHeight="1"/>
    <row r="848" ht="24.0" customHeight="1"/>
    <row r="849" ht="24.0" customHeight="1"/>
    <row r="850" ht="24.0" customHeight="1"/>
    <row r="851" ht="24.0" customHeight="1"/>
    <row r="852" ht="24.0" customHeight="1"/>
    <row r="853" ht="24.0" customHeight="1"/>
    <row r="854" ht="24.0" customHeight="1"/>
    <row r="855" ht="24.0" customHeight="1"/>
    <row r="856" ht="24.0" customHeight="1"/>
    <row r="857" ht="24.0" customHeight="1"/>
    <row r="858" ht="24.0" customHeight="1"/>
    <row r="859" ht="24.0" customHeight="1"/>
    <row r="860" ht="24.0" customHeight="1"/>
    <row r="861" ht="24.0" customHeight="1"/>
    <row r="862" ht="24.0" customHeight="1"/>
    <row r="863" ht="24.0" customHeight="1"/>
    <row r="864" ht="24.0" customHeight="1"/>
    <row r="865" ht="24.0" customHeight="1"/>
    <row r="866" ht="24.0" customHeight="1"/>
    <row r="867" ht="24.0" customHeight="1"/>
    <row r="868" ht="24.0" customHeight="1"/>
    <row r="869" ht="24.0" customHeight="1"/>
    <row r="870" ht="24.0" customHeight="1"/>
    <row r="871" ht="24.0" customHeight="1"/>
    <row r="872" ht="24.0" customHeight="1"/>
    <row r="873" ht="24.0" customHeight="1"/>
    <row r="874" ht="24.0" customHeight="1"/>
    <row r="875" ht="24.0" customHeight="1"/>
    <row r="876" ht="24.0" customHeight="1"/>
    <row r="877" ht="24.0" customHeight="1"/>
    <row r="878" ht="24.0" customHeight="1"/>
    <row r="879" ht="24.0" customHeight="1"/>
    <row r="880" ht="24.0" customHeight="1"/>
    <row r="881" ht="24.0" customHeight="1"/>
    <row r="882" ht="24.0" customHeight="1"/>
    <row r="883" ht="24.0" customHeight="1"/>
    <row r="884" ht="24.0" customHeight="1"/>
    <row r="885" ht="24.0" customHeight="1"/>
    <row r="886" ht="24.0" customHeight="1"/>
    <row r="887" ht="24.0" customHeight="1"/>
    <row r="888" ht="24.0" customHeight="1"/>
    <row r="889" ht="24.0" customHeight="1"/>
    <row r="890" ht="24.0" customHeight="1"/>
    <row r="891" ht="24.0" customHeight="1"/>
    <row r="892" ht="24.0" customHeight="1"/>
    <row r="893" ht="24.0" customHeight="1"/>
    <row r="894" ht="24.0" customHeight="1"/>
    <row r="895" ht="24.0" customHeight="1"/>
    <row r="896" ht="24.0" customHeight="1"/>
    <row r="897" ht="24.0" customHeight="1"/>
    <row r="898" ht="24.0" customHeight="1"/>
    <row r="899" ht="24.0" customHeight="1"/>
    <row r="900" ht="24.0" customHeight="1"/>
    <row r="901" ht="24.0" customHeight="1"/>
    <row r="902" ht="24.0" customHeight="1"/>
    <row r="903" ht="24.0" customHeight="1"/>
    <row r="904" ht="24.0" customHeight="1"/>
    <row r="905" ht="24.0" customHeight="1"/>
    <row r="906" ht="24.0" customHeight="1"/>
    <row r="907" ht="24.0" customHeight="1"/>
    <row r="908" ht="24.0" customHeight="1"/>
    <row r="909" ht="24.0" customHeight="1"/>
    <row r="910" ht="24.0" customHeight="1"/>
    <row r="911" ht="24.0" customHeight="1"/>
    <row r="912" ht="24.0" customHeight="1"/>
    <row r="913" ht="24.0" customHeight="1"/>
    <row r="914" ht="24.0" customHeight="1"/>
    <row r="915" ht="24.0" customHeight="1"/>
    <row r="916" ht="24.0" customHeight="1"/>
    <row r="917" ht="24.0" customHeight="1"/>
    <row r="918" ht="24.0" customHeight="1"/>
    <row r="919" ht="24.0" customHeight="1"/>
    <row r="920" ht="24.0" customHeight="1"/>
    <row r="921" ht="24.0" customHeight="1"/>
    <row r="922" ht="24.0" customHeight="1"/>
    <row r="923" ht="24.0" customHeight="1"/>
    <row r="924" ht="24.0" customHeight="1"/>
    <row r="925" ht="24.0" customHeight="1"/>
    <row r="926" ht="24.0" customHeight="1"/>
    <row r="927" ht="24.0" customHeight="1"/>
    <row r="928" ht="24.0" customHeight="1"/>
    <row r="929" ht="24.0" customHeight="1"/>
    <row r="930" ht="24.0" customHeight="1"/>
    <row r="931" ht="24.0" customHeight="1"/>
    <row r="932" ht="24.0" customHeight="1"/>
    <row r="933" ht="24.0" customHeight="1"/>
    <row r="934" ht="24.0" customHeight="1"/>
    <row r="935" ht="24.0" customHeight="1"/>
    <row r="936" ht="24.0" customHeight="1"/>
    <row r="937" ht="24.0" customHeight="1"/>
    <row r="938" ht="24.0" customHeight="1"/>
    <row r="939" ht="24.0" customHeight="1"/>
    <row r="940" ht="24.0" customHeight="1"/>
    <row r="941" ht="24.0" customHeight="1"/>
    <row r="942" ht="24.0" customHeight="1"/>
    <row r="943" ht="24.0" customHeight="1"/>
    <row r="944" ht="24.0" customHeight="1"/>
    <row r="945" ht="24.0" customHeight="1"/>
    <row r="946" ht="24.0" customHeight="1"/>
    <row r="947" ht="24.0" customHeight="1"/>
    <row r="948" ht="24.0" customHeight="1"/>
    <row r="949" ht="24.0" customHeight="1"/>
    <row r="950" ht="24.0" customHeight="1"/>
    <row r="951" ht="24.0" customHeight="1"/>
    <row r="952" ht="24.0" customHeight="1"/>
    <row r="953" ht="24.0" customHeight="1"/>
    <row r="954" ht="24.0" customHeight="1"/>
    <row r="955" ht="24.0" customHeight="1"/>
    <row r="956" ht="24.0" customHeight="1"/>
    <row r="957" ht="24.0" customHeight="1"/>
    <row r="958" ht="24.0" customHeight="1"/>
    <row r="959" ht="24.0" customHeight="1"/>
    <row r="960" ht="24.0" customHeight="1"/>
    <row r="961" ht="24.0" customHeight="1"/>
    <row r="962" ht="24.0" customHeight="1"/>
    <row r="963" ht="24.0" customHeight="1"/>
    <row r="964" ht="24.0" customHeight="1"/>
    <row r="965" ht="24.0" customHeight="1"/>
    <row r="966" ht="24.0" customHeight="1"/>
    <row r="967" ht="24.0" customHeight="1"/>
    <row r="968" ht="24.0" customHeight="1"/>
    <row r="969" ht="24.0" customHeight="1"/>
    <row r="970" ht="24.0" customHeight="1"/>
    <row r="971" ht="24.0" customHeight="1"/>
    <row r="972" ht="24.0" customHeight="1"/>
    <row r="973" ht="24.0" customHeight="1"/>
    <row r="974" ht="24.0" customHeight="1"/>
    <row r="975" ht="24.0" customHeight="1"/>
    <row r="976" ht="24.0" customHeight="1"/>
    <row r="977" ht="24.0" customHeight="1"/>
    <row r="978" ht="24.0" customHeight="1"/>
    <row r="979" ht="24.0" customHeight="1"/>
    <row r="980" ht="24.0" customHeight="1"/>
    <row r="981" ht="24.0" customHeight="1"/>
    <row r="982" ht="24.0" customHeight="1"/>
    <row r="983" ht="24.0" customHeight="1"/>
    <row r="984" ht="24.0" customHeight="1"/>
    <row r="985" ht="24.0" customHeight="1"/>
    <row r="986" ht="24.0" customHeight="1"/>
    <row r="987" ht="24.0" customHeight="1"/>
    <row r="988" ht="24.0" customHeight="1"/>
    <row r="989" ht="24.0" customHeight="1"/>
    <row r="990" ht="24.0" customHeight="1"/>
    <row r="991" ht="24.0" customHeight="1"/>
    <row r="992" ht="24.0" customHeight="1"/>
    <row r="993" ht="24.0" customHeight="1"/>
    <row r="994" ht="24.0" customHeight="1"/>
    <row r="995" ht="24.0" customHeight="1"/>
    <row r="996" ht="24.0" customHeight="1"/>
    <row r="997" ht="24.0" customHeight="1"/>
    <row r="998" ht="24.0" customHeight="1"/>
    <row r="999" ht="24.0" customHeight="1"/>
    <row r="1000" ht="24.0" customHeight="1"/>
  </sheetData>
  <mergeCells count="2">
    <mergeCell ref="B1:F1"/>
    <mergeCell ref="B9:E9"/>
  </mergeCells>
  <conditionalFormatting sqref="E4">
    <cfRule type="expression" dxfId="0" priority="1">
      <formula>AND(ISNUMBER(E4),ROUND(E4,2)=INT(ROUND(E4,2)))</formula>
    </cfRule>
  </conditionalFormatting>
  <conditionalFormatting sqref="E4">
    <cfRule type="expression" dxfId="1" priority="2">
      <formula>AND(ISNUMBER(E4),ROUND(E4,2)&lt;&gt;INT(ROUND(E4,2)))</formula>
    </cfRule>
  </conditionalFormatting>
  <conditionalFormatting sqref="F4">
    <cfRule type="expression" dxfId="0" priority="3">
      <formula>AND(ISNUMBER(F4),ROUND(F4,2)=INT(ROUND(F4,2)))</formula>
    </cfRule>
  </conditionalFormatting>
  <conditionalFormatting sqref="F4">
    <cfRule type="expression" dxfId="1" priority="4">
      <formula>AND(ISNUMBER(F4),ROUND(F4,2)&lt;&gt;INT(ROUND(F4,2)))</formula>
    </cfRule>
  </conditionalFormatting>
  <conditionalFormatting sqref="E5">
    <cfRule type="expression" dxfId="0" priority="5">
      <formula>AND(ISNUMBER(E5),ROUND(E5,2)=INT(ROUND(E5,2)))</formula>
    </cfRule>
  </conditionalFormatting>
  <conditionalFormatting sqref="E5">
    <cfRule type="expression" dxfId="1" priority="6">
      <formula>AND(ISNUMBER(E5),ROUND(E5,2)&lt;&gt;INT(ROUND(E5,2)))</formula>
    </cfRule>
  </conditionalFormatting>
  <conditionalFormatting sqref="F5">
    <cfRule type="expression" dxfId="0" priority="7">
      <formula>AND(ISNUMBER(F5),ROUND(F5,2)=INT(ROUND(F5,2)))</formula>
    </cfRule>
  </conditionalFormatting>
  <conditionalFormatting sqref="F5">
    <cfRule type="expression" dxfId="1" priority="8">
      <formula>AND(ISNUMBER(F5),ROUND(F5,2)&lt;&gt;INT(ROUND(F5,2)))</formula>
    </cfRule>
  </conditionalFormatting>
  <conditionalFormatting sqref="E6">
    <cfRule type="expression" dxfId="0" priority="9">
      <formula>AND(ISNUMBER(E6),ROUND(E6,2)=INT(ROUND(E6,2)))</formula>
    </cfRule>
  </conditionalFormatting>
  <conditionalFormatting sqref="E6">
    <cfRule type="expression" dxfId="1" priority="10">
      <formula>AND(ISNUMBER(E6),ROUND(E6,2)&lt;&gt;INT(ROUND(E6,2)))</formula>
    </cfRule>
  </conditionalFormatting>
  <conditionalFormatting sqref="F6">
    <cfRule type="expression" dxfId="0" priority="11">
      <formula>AND(ISNUMBER(F6),ROUND(F6,2)=INT(ROUND(F6,2)))</formula>
    </cfRule>
  </conditionalFormatting>
  <conditionalFormatting sqref="F6">
    <cfRule type="expression" dxfId="1" priority="12">
      <formula>AND(ISNUMBER(F6),ROUND(F6,2)&lt;&gt;INT(ROUND(F6,2)))</formula>
    </cfRule>
  </conditionalFormatting>
  <conditionalFormatting sqref="E7">
    <cfRule type="expression" dxfId="0" priority="13">
      <formula>AND(ISNUMBER(E7),ROUND(E7,2)=INT(ROUND(E7,2)))</formula>
    </cfRule>
  </conditionalFormatting>
  <conditionalFormatting sqref="E7">
    <cfRule type="expression" dxfId="1" priority="14">
      <formula>AND(ISNUMBER(E7),ROUND(E7,2)&lt;&gt;INT(ROUND(E7,2)))</formula>
    </cfRule>
  </conditionalFormatting>
  <conditionalFormatting sqref="F7">
    <cfRule type="expression" dxfId="0" priority="15">
      <formula>AND(ISNUMBER(F7),ROUND(F7,2)=INT(ROUND(F7,2)))</formula>
    </cfRule>
  </conditionalFormatting>
  <conditionalFormatting sqref="F7">
    <cfRule type="expression" dxfId="1" priority="16">
      <formula>AND(ISNUMBER(F7),ROUND(F7,2)&lt;&gt;INT(ROUND(F7,2)))</formula>
    </cfRule>
  </conditionalFormatting>
  <conditionalFormatting sqref="F9">
    <cfRule type="expression" dxfId="0" priority="17">
      <formula>AND(ISNUMBER(F9),ROUND(F9,2)=INT(ROUND(F9,2)))</formula>
    </cfRule>
  </conditionalFormatting>
  <conditionalFormatting sqref="F9">
    <cfRule type="expression" dxfId="1" priority="18">
      <formula>AND(ISNUMBER(F9),ROUND(F9,2)&lt;&gt;INT(ROUND(F9,2)))</formula>
    </cfRule>
  </conditionalFormatting>
  <dataValidations>
    <dataValidation type="decimal" operator="greaterThanOrEqual" allowBlank="1" showInputMessage="1" showErrorMessage="1" prompt="יש להזין מספר לא שלילי" sqref="D4:D7">
      <formula1>0.0</formula1>
    </dataValidation>
    <dataValidation type="custom" allowBlank="1" showInputMessage="1" showErrorMessage="1" prompt="מספר לא שלילי, כלול או לא רלוונטי בלבד" sqref="E4:E7">
      <formula1>OR(ISBLANK(E4),AND(ISNUMBER(E4),E4&gt;=0),E4="כלול",E4="לא רלוונטי")</formula1>
    </dataValidation>
  </dataValidations>
  <printOptions/>
  <pageMargins bottom="0.75" footer="0.0" header="0.0" left="0.25" right="0.25" top="0.75"/>
  <pageSetup fitToHeight="0" paperSize="9" orientation="portrait"/>
  <headerFooter>
    <oddFooter>&amp;Cעמוד &amp;P</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rightToLeft="1" workbookViewId="0"/>
  </sheetViews>
  <sheetFormatPr customHeight="1" defaultColWidth="14.43" defaultRowHeight="15.0"/>
  <cols>
    <col customWidth="1" min="1" max="1" width="7.29"/>
    <col customWidth="1" min="2" max="2" width="66.29"/>
    <col customWidth="1" min="3" max="6" width="8.14"/>
    <col customWidth="1" hidden="1" min="7" max="7" width="36.0"/>
    <col customWidth="1" hidden="1" min="8" max="8" width="12.0"/>
    <col customWidth="1" min="9" max="26" width="8.71"/>
  </cols>
  <sheetData>
    <row r="1" ht="31.5" customHeight="1">
      <c r="A1" s="10">
        <v>8.0</v>
      </c>
      <c r="B1" s="3" t="s">
        <v>48</v>
      </c>
      <c r="G1" s="2" t="s">
        <v>46</v>
      </c>
      <c r="H1" s="2" t="s">
        <v>53</v>
      </c>
    </row>
    <row r="2" ht="31.5" customHeight="1">
      <c r="A2" s="16" t="s">
        <v>59</v>
      </c>
      <c r="B2" s="17" t="s">
        <v>67</v>
      </c>
      <c r="C2" s="16" t="s">
        <v>72</v>
      </c>
      <c r="D2" s="16" t="s">
        <v>76</v>
      </c>
      <c r="E2" s="16" t="s">
        <v>79</v>
      </c>
      <c r="F2" s="16" t="s">
        <v>81</v>
      </c>
      <c r="G2" s="2"/>
      <c r="H2" s="2" t="s">
        <v>84</v>
      </c>
    </row>
    <row r="3" ht="63.75" customHeight="1">
      <c r="A3" s="19"/>
      <c r="B3" s="20" t="s">
        <v>260</v>
      </c>
      <c r="C3" s="19"/>
      <c r="D3" s="19"/>
      <c r="E3" s="19"/>
      <c r="F3" s="19"/>
      <c r="G3" s="12" t="s">
        <v>261</v>
      </c>
      <c r="H3" s="12" t="s">
        <v>105</v>
      </c>
    </row>
    <row r="4" ht="46.5" customHeight="1">
      <c r="A4" s="19" t="s">
        <v>262</v>
      </c>
      <c r="B4" s="20" t="s">
        <v>263</v>
      </c>
      <c r="C4" s="19" t="s">
        <v>108</v>
      </c>
      <c r="D4" s="19"/>
      <c r="E4" s="22"/>
      <c r="F4" s="22" t="str">
        <f t="shared" ref="F4:F6" si="1">IF(ISBLANK(D4),"",IF(NOT(ISNUMBER(D4)),"קלט לא תקין",IF(D4&lt;0,"קלט לא תקין",IF(ISBLANK(E4),"",IF(OR(E4="כלול",E4="לא רלוונטי"),0,IF(NOT(ISNUMBER(E4)),"קלט לא תקין",IF(E4&lt;0,"קלט לא תקין",ROUND(D4*E4,2))))))))</f>
        <v/>
      </c>
      <c r="G4" s="12" t="s">
        <v>268</v>
      </c>
      <c r="H4" s="12" t="s">
        <v>113</v>
      </c>
    </row>
    <row r="5" ht="46.5" customHeight="1">
      <c r="A5" s="19" t="s">
        <v>269</v>
      </c>
      <c r="B5" s="20" t="s">
        <v>270</v>
      </c>
      <c r="C5" s="19" t="s">
        <v>108</v>
      </c>
      <c r="D5" s="19"/>
      <c r="E5" s="22"/>
      <c r="F5" s="22" t="str">
        <f t="shared" si="1"/>
        <v/>
      </c>
      <c r="G5" s="12" t="s">
        <v>271</v>
      </c>
      <c r="H5" s="12" t="s">
        <v>113</v>
      </c>
    </row>
    <row r="6" ht="46.5" customHeight="1">
      <c r="A6" s="19" t="s">
        <v>272</v>
      </c>
      <c r="B6" s="20" t="s">
        <v>273</v>
      </c>
      <c r="C6" s="19" t="s">
        <v>108</v>
      </c>
      <c r="D6" s="19"/>
      <c r="E6" s="22"/>
      <c r="F6" s="22" t="str">
        <f t="shared" si="1"/>
        <v/>
      </c>
      <c r="G6" s="12" t="s">
        <v>274</v>
      </c>
      <c r="H6" s="12" t="s">
        <v>113</v>
      </c>
    </row>
    <row r="7" ht="399.75" customHeight="1">
      <c r="A7" s="19"/>
      <c r="B7" s="20"/>
      <c r="C7" s="19"/>
      <c r="D7" s="19"/>
      <c r="E7" s="19"/>
      <c r="F7" s="19"/>
      <c r="G7" s="12"/>
      <c r="H7" s="12" t="s">
        <v>86</v>
      </c>
    </row>
    <row r="8" ht="18.75" customHeight="1">
      <c r="A8" s="19"/>
      <c r="B8" s="20"/>
      <c r="C8" s="19"/>
      <c r="D8" s="19"/>
      <c r="E8" s="19"/>
      <c r="F8" s="19"/>
      <c r="G8" s="12"/>
      <c r="H8" s="12" t="s">
        <v>86</v>
      </c>
    </row>
    <row r="9" ht="31.5" customHeight="1">
      <c r="A9" s="6"/>
      <c r="B9" s="7" t="s">
        <v>275</v>
      </c>
      <c r="C9" s="8"/>
      <c r="D9" s="8"/>
      <c r="E9" s="9"/>
      <c r="F9" s="23">
        <f>SUM(F4,F5,F6)</f>
        <v>0</v>
      </c>
      <c r="G9" s="12"/>
      <c r="H9" s="12" t="s">
        <v>136</v>
      </c>
    </row>
    <row r="10" ht="24.0" customHeight="1"/>
    <row r="11" ht="24.0" customHeight="1"/>
    <row r="12" ht="24.0" customHeight="1"/>
    <row r="13" ht="24.0" customHeight="1"/>
    <row r="14" ht="24.0" customHeight="1"/>
    <row r="15" ht="24.0" customHeight="1"/>
    <row r="16" ht="24.0" customHeight="1"/>
    <row r="17" ht="24.0" customHeight="1"/>
    <row r="18" ht="24.0" customHeight="1"/>
    <row r="19" ht="24.0" customHeight="1"/>
    <row r="20" ht="24.0" customHeight="1"/>
    <row r="21" ht="24.0" customHeight="1"/>
    <row r="22" ht="24.0" customHeight="1"/>
    <row r="23" ht="24.0" customHeight="1"/>
    <row r="24" ht="24.0" customHeight="1"/>
    <row r="25" ht="24.0" customHeight="1"/>
    <row r="26" ht="24.0" customHeight="1"/>
    <row r="27" ht="24.0" customHeight="1"/>
    <row r="28" ht="24.0" customHeight="1"/>
    <row r="29" ht="24.0" customHeight="1"/>
    <row r="30" ht="24.0" customHeight="1"/>
    <row r="31" ht="24.0" customHeight="1"/>
    <row r="32" ht="24.0" customHeight="1"/>
    <row r="33" ht="24.0" customHeight="1"/>
    <row r="34" ht="24.0" customHeight="1"/>
    <row r="35" ht="24.0" customHeight="1"/>
    <row r="36" ht="24.0" customHeight="1"/>
    <row r="37" ht="24.0" customHeight="1"/>
    <row r="38" ht="24.0" customHeight="1"/>
    <row r="39" ht="24.0" customHeight="1"/>
    <row r="40" ht="24.0" customHeight="1"/>
    <row r="41" ht="24.0" customHeight="1"/>
    <row r="42" ht="24.0" customHeight="1"/>
    <row r="43" ht="24.0" customHeight="1"/>
    <row r="44" ht="24.0" customHeight="1"/>
    <row r="45" ht="24.0" customHeight="1"/>
    <row r="46" ht="24.0" customHeight="1"/>
    <row r="47" ht="24.0" customHeight="1"/>
    <row r="48" ht="24.0" customHeight="1"/>
    <row r="49" ht="24.0" customHeight="1"/>
    <row r="50" ht="24.0" customHeight="1"/>
    <row r="51" ht="24.0" customHeight="1"/>
    <row r="52" ht="24.0" customHeight="1"/>
    <row r="53" ht="24.0" customHeight="1"/>
    <row r="54" ht="24.0" customHeight="1"/>
    <row r="55" ht="24.0" customHeight="1"/>
    <row r="56" ht="24.0" customHeight="1"/>
    <row r="57" ht="24.0" customHeight="1"/>
    <row r="58" ht="24.0" customHeight="1"/>
    <row r="59" ht="24.0" customHeight="1"/>
    <row r="60" ht="24.0" customHeight="1"/>
    <row r="61" ht="24.0" customHeight="1"/>
    <row r="62" ht="24.0" customHeight="1"/>
    <row r="63" ht="24.0" customHeight="1"/>
    <row r="64" ht="24.0" customHeight="1"/>
    <row r="65" ht="24.0" customHeight="1"/>
    <row r="66" ht="24.0" customHeight="1"/>
    <row r="67" ht="24.0" customHeight="1"/>
    <row r="68" ht="24.0" customHeight="1"/>
    <row r="69" ht="24.0" customHeight="1"/>
    <row r="70" ht="24.0" customHeight="1"/>
    <row r="71" ht="24.0" customHeight="1"/>
    <row r="72" ht="24.0" customHeight="1"/>
    <row r="73" ht="24.0" customHeight="1"/>
    <row r="74" ht="24.0" customHeight="1"/>
    <row r="75" ht="24.0" customHeight="1"/>
    <row r="76" ht="24.0" customHeight="1"/>
    <row r="77" ht="24.0" customHeight="1"/>
    <row r="78" ht="24.0" customHeight="1"/>
    <row r="79" ht="24.0" customHeight="1"/>
    <row r="80" ht="24.0" customHeight="1"/>
    <row r="81" ht="24.0" customHeight="1"/>
    <row r="82" ht="24.0" customHeight="1"/>
    <row r="83" ht="24.0" customHeight="1"/>
    <row r="84" ht="24.0" customHeight="1"/>
    <row r="85" ht="24.0" customHeight="1"/>
    <row r="86" ht="24.0" customHeight="1"/>
    <row r="87" ht="24.0" customHeight="1"/>
    <row r="88" ht="24.0" customHeight="1"/>
    <row r="89" ht="24.0" customHeight="1"/>
    <row r="90" ht="24.0" customHeight="1"/>
    <row r="91" ht="24.0" customHeight="1"/>
    <row r="92" ht="24.0" customHeight="1"/>
    <row r="93" ht="24.0" customHeight="1"/>
    <row r="94" ht="24.0" customHeight="1"/>
    <row r="95" ht="24.0" customHeight="1"/>
    <row r="96" ht="24.0" customHeight="1"/>
    <row r="97" ht="24.0" customHeight="1"/>
    <row r="98" ht="24.0" customHeight="1"/>
    <row r="99" ht="24.0" customHeight="1"/>
    <row r="100" ht="24.0" customHeight="1"/>
    <row r="101" ht="24.0" customHeight="1"/>
    <row r="102" ht="24.0" customHeight="1"/>
    <row r="103" ht="24.0" customHeight="1"/>
    <row r="104" ht="24.0" customHeight="1"/>
    <row r="105" ht="24.0" customHeight="1"/>
    <row r="106" ht="24.0" customHeight="1"/>
    <row r="107" ht="24.0" customHeight="1"/>
    <row r="108" ht="24.0" customHeight="1"/>
    <row r="109" ht="24.0" customHeight="1"/>
    <row r="110" ht="24.0" customHeight="1"/>
    <row r="111" ht="24.0" customHeight="1"/>
    <row r="112" ht="24.0" customHeight="1"/>
    <row r="113" ht="24.0" customHeight="1"/>
    <row r="114" ht="24.0" customHeight="1"/>
    <row r="115" ht="24.0" customHeight="1"/>
    <row r="116" ht="24.0" customHeight="1"/>
    <row r="117" ht="24.0" customHeight="1"/>
    <row r="118" ht="24.0" customHeight="1"/>
    <row r="119" ht="24.0" customHeight="1"/>
    <row r="120" ht="24.0" customHeight="1"/>
    <row r="121" ht="24.0" customHeight="1"/>
    <row r="122" ht="24.0" customHeight="1"/>
    <row r="123" ht="24.0" customHeight="1"/>
    <row r="124" ht="24.0" customHeight="1"/>
    <row r="125" ht="24.0" customHeight="1"/>
    <row r="126" ht="24.0" customHeight="1"/>
    <row r="127" ht="24.0" customHeight="1"/>
    <row r="128" ht="24.0" customHeight="1"/>
    <row r="129" ht="24.0" customHeight="1"/>
    <row r="130" ht="24.0" customHeight="1"/>
    <row r="131" ht="24.0" customHeight="1"/>
    <row r="132" ht="24.0" customHeight="1"/>
    <row r="133" ht="24.0" customHeight="1"/>
    <row r="134" ht="24.0" customHeight="1"/>
    <row r="135" ht="24.0" customHeight="1"/>
    <row r="136" ht="24.0" customHeight="1"/>
    <row r="137" ht="24.0" customHeight="1"/>
    <row r="138" ht="24.0" customHeight="1"/>
    <row r="139" ht="24.0" customHeight="1"/>
    <row r="140" ht="24.0" customHeight="1"/>
    <row r="141" ht="24.0" customHeight="1"/>
    <row r="142" ht="24.0" customHeight="1"/>
    <row r="143" ht="24.0" customHeight="1"/>
    <row r="144" ht="24.0" customHeight="1"/>
    <row r="145" ht="24.0" customHeight="1"/>
    <row r="146" ht="24.0" customHeight="1"/>
    <row r="147" ht="24.0" customHeight="1"/>
    <row r="148" ht="24.0" customHeight="1"/>
    <row r="149" ht="24.0" customHeight="1"/>
    <row r="150" ht="24.0" customHeight="1"/>
    <row r="151" ht="24.0" customHeight="1"/>
    <row r="152" ht="24.0" customHeight="1"/>
    <row r="153" ht="24.0" customHeight="1"/>
    <row r="154" ht="24.0" customHeight="1"/>
    <row r="155" ht="24.0" customHeight="1"/>
    <row r="156" ht="24.0" customHeight="1"/>
    <row r="157" ht="24.0" customHeight="1"/>
    <row r="158" ht="24.0" customHeight="1"/>
    <row r="159" ht="24.0" customHeight="1"/>
    <row r="160" ht="24.0" customHeight="1"/>
    <row r="161" ht="24.0" customHeight="1"/>
    <row r="162" ht="24.0" customHeight="1"/>
    <row r="163" ht="24.0" customHeight="1"/>
    <row r="164" ht="24.0" customHeight="1"/>
    <row r="165" ht="24.0" customHeight="1"/>
    <row r="166" ht="24.0" customHeight="1"/>
    <row r="167" ht="24.0" customHeight="1"/>
    <row r="168" ht="24.0" customHeight="1"/>
    <row r="169" ht="24.0" customHeight="1"/>
    <row r="170" ht="24.0" customHeight="1"/>
    <row r="171" ht="24.0" customHeight="1"/>
    <row r="172" ht="24.0" customHeight="1"/>
    <row r="173" ht="24.0" customHeight="1"/>
    <row r="174" ht="24.0" customHeight="1"/>
    <row r="175" ht="24.0" customHeight="1"/>
    <row r="176" ht="24.0" customHeight="1"/>
    <row r="177" ht="24.0" customHeight="1"/>
    <row r="178" ht="24.0" customHeight="1"/>
    <row r="179" ht="24.0" customHeight="1"/>
    <row r="180" ht="24.0" customHeight="1"/>
    <row r="181" ht="24.0" customHeight="1"/>
    <row r="182" ht="24.0" customHeight="1"/>
    <row r="183" ht="24.0" customHeight="1"/>
    <row r="184" ht="24.0" customHeight="1"/>
    <row r="185" ht="24.0" customHeight="1"/>
    <row r="186" ht="24.0" customHeight="1"/>
    <row r="187" ht="24.0" customHeight="1"/>
    <row r="188" ht="24.0" customHeight="1"/>
    <row r="189" ht="24.0" customHeight="1"/>
    <row r="190" ht="24.0" customHeight="1"/>
    <row r="191" ht="24.0" customHeight="1"/>
    <row r="192" ht="24.0" customHeight="1"/>
    <row r="193" ht="24.0" customHeight="1"/>
    <row r="194" ht="24.0" customHeight="1"/>
    <row r="195" ht="24.0" customHeight="1"/>
    <row r="196" ht="24.0" customHeight="1"/>
    <row r="197" ht="24.0" customHeight="1"/>
    <row r="198" ht="24.0" customHeight="1"/>
    <row r="199" ht="24.0" customHeight="1"/>
    <row r="200" ht="24.0" customHeight="1"/>
    <row r="201" ht="24.0" customHeight="1"/>
    <row r="202" ht="24.0" customHeight="1"/>
    <row r="203" ht="24.0" customHeight="1"/>
    <row r="204" ht="24.0" customHeight="1"/>
    <row r="205" ht="24.0" customHeight="1"/>
    <row r="206" ht="24.0" customHeight="1"/>
    <row r="207" ht="24.0" customHeight="1"/>
    <row r="208" ht="24.0" customHeight="1"/>
    <row r="209" ht="24.0" customHeight="1"/>
    <row r="210" ht="24.0" customHeight="1"/>
    <row r="211" ht="24.0" customHeight="1"/>
    <row r="212" ht="24.0" customHeight="1"/>
    <row r="213" ht="24.0" customHeight="1"/>
    <row r="214" ht="24.0" customHeight="1"/>
    <row r="215" ht="24.0" customHeight="1"/>
    <row r="216" ht="24.0" customHeight="1"/>
    <row r="217" ht="24.0" customHeight="1"/>
    <row r="218" ht="24.0" customHeight="1"/>
    <row r="219" ht="24.0" customHeight="1"/>
    <row r="220" ht="24.0" customHeight="1"/>
    <row r="221" ht="24.0" customHeight="1"/>
    <row r="222" ht="24.0" customHeight="1"/>
    <row r="223" ht="24.0" customHeight="1"/>
    <row r="224" ht="24.0" customHeight="1"/>
    <row r="225" ht="24.0" customHeight="1"/>
    <row r="226" ht="24.0" customHeight="1"/>
    <row r="227" ht="24.0" customHeight="1"/>
    <row r="228" ht="24.0" customHeight="1"/>
    <row r="229" ht="24.0" customHeight="1"/>
    <row r="230" ht="24.0" customHeight="1"/>
    <row r="231" ht="24.0" customHeight="1"/>
    <row r="232" ht="24.0" customHeight="1"/>
    <row r="233" ht="24.0" customHeight="1"/>
    <row r="234" ht="24.0" customHeight="1"/>
    <row r="235" ht="24.0" customHeight="1"/>
    <row r="236" ht="24.0" customHeight="1"/>
    <row r="237" ht="24.0" customHeight="1"/>
    <row r="238" ht="24.0" customHeight="1"/>
    <row r="239" ht="24.0" customHeight="1"/>
    <row r="240" ht="24.0" customHeight="1"/>
    <row r="241" ht="24.0" customHeight="1"/>
    <row r="242" ht="24.0" customHeight="1"/>
    <row r="243" ht="24.0" customHeight="1"/>
    <row r="244" ht="24.0" customHeight="1"/>
    <row r="245" ht="24.0" customHeight="1"/>
    <row r="246" ht="24.0" customHeight="1"/>
    <row r="247" ht="24.0" customHeight="1"/>
    <row r="248" ht="24.0" customHeight="1"/>
    <row r="249" ht="24.0" customHeight="1"/>
    <row r="250" ht="24.0" customHeight="1"/>
    <row r="251" ht="24.0" customHeight="1"/>
    <row r="252" ht="24.0" customHeight="1"/>
    <row r="253" ht="24.0" customHeight="1"/>
    <row r="254" ht="24.0" customHeight="1"/>
    <row r="255" ht="24.0" customHeight="1"/>
    <row r="256" ht="24.0" customHeight="1"/>
    <row r="257" ht="24.0" customHeight="1"/>
    <row r="258" ht="24.0" customHeight="1"/>
    <row r="259" ht="24.0" customHeight="1"/>
    <row r="260" ht="24.0" customHeight="1"/>
    <row r="261" ht="24.0" customHeight="1"/>
    <row r="262" ht="24.0" customHeight="1"/>
    <row r="263" ht="24.0" customHeight="1"/>
    <row r="264" ht="24.0" customHeight="1"/>
    <row r="265" ht="24.0" customHeight="1"/>
    <row r="266" ht="24.0" customHeight="1"/>
    <row r="267" ht="24.0" customHeight="1"/>
    <row r="268" ht="24.0" customHeight="1"/>
    <row r="269" ht="24.0" customHeight="1"/>
    <row r="270" ht="24.0" customHeight="1"/>
    <row r="271" ht="24.0" customHeight="1"/>
    <row r="272" ht="24.0" customHeight="1"/>
    <row r="273" ht="24.0" customHeight="1"/>
    <row r="274" ht="24.0" customHeight="1"/>
    <row r="275" ht="24.0" customHeight="1"/>
    <row r="276" ht="24.0" customHeight="1"/>
    <row r="277" ht="24.0" customHeight="1"/>
    <row r="278" ht="24.0" customHeight="1"/>
    <row r="279" ht="24.0" customHeight="1"/>
    <row r="280" ht="24.0" customHeight="1"/>
    <row r="281" ht="24.0" customHeight="1"/>
    <row r="282" ht="24.0" customHeight="1"/>
    <row r="283" ht="24.0" customHeight="1"/>
    <row r="284" ht="24.0" customHeight="1"/>
    <row r="285" ht="24.0" customHeight="1"/>
    <row r="286" ht="24.0" customHeight="1"/>
    <row r="287" ht="24.0" customHeight="1"/>
    <row r="288" ht="24.0" customHeight="1"/>
    <row r="289" ht="24.0" customHeight="1"/>
    <row r="290" ht="24.0" customHeight="1"/>
    <row r="291" ht="24.0" customHeight="1"/>
    <row r="292" ht="24.0" customHeight="1"/>
    <row r="293" ht="24.0" customHeight="1"/>
    <row r="294" ht="24.0" customHeight="1"/>
    <row r="295" ht="24.0" customHeight="1"/>
    <row r="296" ht="24.0" customHeight="1"/>
    <row r="297" ht="24.0" customHeight="1"/>
    <row r="298" ht="24.0" customHeight="1"/>
    <row r="299" ht="24.0" customHeight="1"/>
    <row r="300" ht="24.0" customHeight="1"/>
    <row r="301" ht="24.0" customHeight="1"/>
    <row r="302" ht="24.0" customHeight="1"/>
    <row r="303" ht="24.0" customHeight="1"/>
    <row r="304" ht="24.0" customHeight="1"/>
    <row r="305" ht="24.0" customHeight="1"/>
    <row r="306" ht="24.0" customHeight="1"/>
    <row r="307" ht="24.0" customHeight="1"/>
    <row r="308" ht="24.0" customHeight="1"/>
    <row r="309" ht="24.0" customHeight="1"/>
    <row r="310" ht="24.0" customHeight="1"/>
    <row r="311" ht="24.0" customHeight="1"/>
    <row r="312" ht="24.0" customHeight="1"/>
    <row r="313" ht="24.0" customHeight="1"/>
    <row r="314" ht="24.0" customHeight="1"/>
    <row r="315" ht="24.0" customHeight="1"/>
    <row r="316" ht="24.0" customHeight="1"/>
    <row r="317" ht="24.0" customHeight="1"/>
    <row r="318" ht="24.0" customHeight="1"/>
    <row r="319" ht="24.0" customHeight="1"/>
    <row r="320" ht="24.0" customHeight="1"/>
    <row r="321" ht="24.0" customHeight="1"/>
    <row r="322" ht="24.0" customHeight="1"/>
    <row r="323" ht="24.0" customHeight="1"/>
    <row r="324" ht="24.0" customHeight="1"/>
    <row r="325" ht="24.0" customHeight="1"/>
    <row r="326" ht="24.0" customHeight="1"/>
    <row r="327" ht="24.0" customHeight="1"/>
    <row r="328" ht="24.0" customHeight="1"/>
    <row r="329" ht="24.0" customHeight="1"/>
    <row r="330" ht="24.0" customHeight="1"/>
    <row r="331" ht="24.0" customHeight="1"/>
    <row r="332" ht="24.0" customHeight="1"/>
    <row r="333" ht="24.0" customHeight="1"/>
    <row r="334" ht="24.0" customHeight="1"/>
    <row r="335" ht="24.0" customHeight="1"/>
    <row r="336" ht="24.0" customHeight="1"/>
    <row r="337" ht="24.0" customHeight="1"/>
    <row r="338" ht="24.0" customHeight="1"/>
    <row r="339" ht="24.0" customHeight="1"/>
    <row r="340" ht="24.0" customHeight="1"/>
    <row r="341" ht="24.0" customHeight="1"/>
    <row r="342" ht="24.0" customHeight="1"/>
    <row r="343" ht="24.0" customHeight="1"/>
    <row r="344" ht="24.0" customHeight="1"/>
    <row r="345" ht="24.0" customHeight="1"/>
    <row r="346" ht="24.0" customHeight="1"/>
    <row r="347" ht="24.0" customHeight="1"/>
    <row r="348" ht="24.0" customHeight="1"/>
    <row r="349" ht="24.0" customHeight="1"/>
    <row r="350" ht="24.0" customHeight="1"/>
    <row r="351" ht="24.0" customHeight="1"/>
    <row r="352" ht="24.0" customHeight="1"/>
    <row r="353" ht="24.0" customHeight="1"/>
    <row r="354" ht="24.0" customHeight="1"/>
    <row r="355" ht="24.0" customHeight="1"/>
    <row r="356" ht="24.0" customHeight="1"/>
    <row r="357" ht="24.0" customHeight="1"/>
    <row r="358" ht="24.0" customHeight="1"/>
    <row r="359" ht="24.0" customHeight="1"/>
    <row r="360" ht="24.0" customHeight="1"/>
    <row r="361" ht="24.0" customHeight="1"/>
    <row r="362" ht="24.0" customHeight="1"/>
    <row r="363" ht="24.0" customHeight="1"/>
    <row r="364" ht="24.0" customHeight="1"/>
    <row r="365" ht="24.0" customHeight="1"/>
    <row r="366" ht="24.0" customHeight="1"/>
    <row r="367" ht="24.0" customHeight="1"/>
    <row r="368" ht="24.0" customHeight="1"/>
    <row r="369" ht="24.0" customHeight="1"/>
    <row r="370" ht="24.0" customHeight="1"/>
    <row r="371" ht="24.0" customHeight="1"/>
    <row r="372" ht="24.0" customHeight="1"/>
    <row r="373" ht="24.0" customHeight="1"/>
    <row r="374" ht="24.0" customHeight="1"/>
    <row r="375" ht="24.0" customHeight="1"/>
    <row r="376" ht="24.0" customHeight="1"/>
    <row r="377" ht="24.0" customHeight="1"/>
    <row r="378" ht="24.0" customHeight="1"/>
    <row r="379" ht="24.0" customHeight="1"/>
    <row r="380" ht="24.0" customHeight="1"/>
    <row r="381" ht="24.0" customHeight="1"/>
    <row r="382" ht="24.0" customHeight="1"/>
    <row r="383" ht="24.0" customHeight="1"/>
    <row r="384" ht="24.0" customHeight="1"/>
    <row r="385" ht="24.0" customHeight="1"/>
    <row r="386" ht="24.0" customHeight="1"/>
    <row r="387" ht="24.0" customHeight="1"/>
    <row r="388" ht="24.0" customHeight="1"/>
    <row r="389" ht="24.0" customHeight="1"/>
    <row r="390" ht="24.0" customHeight="1"/>
    <row r="391" ht="24.0" customHeight="1"/>
    <row r="392" ht="24.0" customHeight="1"/>
    <row r="393" ht="24.0" customHeight="1"/>
    <row r="394" ht="24.0" customHeight="1"/>
    <row r="395" ht="24.0" customHeight="1"/>
    <row r="396" ht="24.0" customHeight="1"/>
    <row r="397" ht="24.0" customHeight="1"/>
    <row r="398" ht="24.0" customHeight="1"/>
    <row r="399" ht="24.0" customHeight="1"/>
    <row r="400" ht="24.0" customHeight="1"/>
    <row r="401" ht="24.0" customHeight="1"/>
    <row r="402" ht="24.0" customHeight="1"/>
    <row r="403" ht="24.0" customHeight="1"/>
    <row r="404" ht="24.0" customHeight="1"/>
    <row r="405" ht="24.0" customHeight="1"/>
    <row r="406" ht="24.0" customHeight="1"/>
    <row r="407" ht="24.0" customHeight="1"/>
    <row r="408" ht="24.0" customHeight="1"/>
    <row r="409" ht="24.0" customHeight="1"/>
    <row r="410" ht="24.0" customHeight="1"/>
    <row r="411" ht="24.0" customHeight="1"/>
    <row r="412" ht="24.0" customHeight="1"/>
    <row r="413" ht="24.0" customHeight="1"/>
    <row r="414" ht="24.0" customHeight="1"/>
    <row r="415" ht="24.0" customHeight="1"/>
    <row r="416" ht="24.0" customHeight="1"/>
    <row r="417" ht="24.0" customHeight="1"/>
    <row r="418" ht="24.0" customHeight="1"/>
    <row r="419" ht="24.0" customHeight="1"/>
    <row r="420" ht="24.0" customHeight="1"/>
    <row r="421" ht="24.0" customHeight="1"/>
    <row r="422" ht="24.0" customHeight="1"/>
    <row r="423" ht="24.0" customHeight="1"/>
    <row r="424" ht="24.0" customHeight="1"/>
    <row r="425" ht="24.0" customHeight="1"/>
    <row r="426" ht="24.0" customHeight="1"/>
    <row r="427" ht="24.0" customHeight="1"/>
    <row r="428" ht="24.0" customHeight="1"/>
    <row r="429" ht="24.0" customHeight="1"/>
    <row r="430" ht="24.0" customHeight="1"/>
    <row r="431" ht="24.0" customHeight="1"/>
    <row r="432" ht="24.0" customHeight="1"/>
    <row r="433" ht="24.0" customHeight="1"/>
    <row r="434" ht="24.0" customHeight="1"/>
    <row r="435" ht="24.0" customHeight="1"/>
    <row r="436" ht="24.0" customHeight="1"/>
    <row r="437" ht="24.0" customHeight="1"/>
    <row r="438" ht="24.0" customHeight="1"/>
    <row r="439" ht="24.0" customHeight="1"/>
    <row r="440" ht="24.0" customHeight="1"/>
    <row r="441" ht="24.0" customHeight="1"/>
    <row r="442" ht="24.0" customHeight="1"/>
    <row r="443" ht="24.0" customHeight="1"/>
    <row r="444" ht="24.0" customHeight="1"/>
    <row r="445" ht="24.0" customHeight="1"/>
    <row r="446" ht="24.0" customHeight="1"/>
    <row r="447" ht="24.0" customHeight="1"/>
    <row r="448" ht="24.0" customHeight="1"/>
    <row r="449" ht="24.0" customHeight="1"/>
    <row r="450" ht="24.0" customHeight="1"/>
    <row r="451" ht="24.0" customHeight="1"/>
    <row r="452" ht="24.0" customHeight="1"/>
    <row r="453" ht="24.0" customHeight="1"/>
    <row r="454" ht="24.0" customHeight="1"/>
    <row r="455" ht="24.0" customHeight="1"/>
    <row r="456" ht="24.0" customHeight="1"/>
    <row r="457" ht="24.0" customHeight="1"/>
    <row r="458" ht="24.0" customHeight="1"/>
    <row r="459" ht="24.0" customHeight="1"/>
    <row r="460" ht="24.0" customHeight="1"/>
    <row r="461" ht="24.0" customHeight="1"/>
    <row r="462" ht="24.0" customHeight="1"/>
    <row r="463" ht="24.0" customHeight="1"/>
    <row r="464" ht="24.0" customHeight="1"/>
    <row r="465" ht="24.0" customHeight="1"/>
    <row r="466" ht="24.0" customHeight="1"/>
    <row r="467" ht="24.0" customHeight="1"/>
    <row r="468" ht="24.0" customHeight="1"/>
    <row r="469" ht="24.0" customHeight="1"/>
    <row r="470" ht="24.0" customHeight="1"/>
    <row r="471" ht="24.0" customHeight="1"/>
    <row r="472" ht="24.0" customHeight="1"/>
    <row r="473" ht="24.0" customHeight="1"/>
    <row r="474" ht="24.0" customHeight="1"/>
    <row r="475" ht="24.0" customHeight="1"/>
    <row r="476" ht="24.0" customHeight="1"/>
    <row r="477" ht="24.0" customHeight="1"/>
    <row r="478" ht="24.0" customHeight="1"/>
    <row r="479" ht="24.0" customHeight="1"/>
    <row r="480" ht="24.0" customHeight="1"/>
    <row r="481" ht="24.0" customHeight="1"/>
    <row r="482" ht="24.0" customHeight="1"/>
    <row r="483" ht="24.0" customHeight="1"/>
    <row r="484" ht="24.0" customHeight="1"/>
    <row r="485" ht="24.0" customHeight="1"/>
    <row r="486" ht="24.0" customHeight="1"/>
    <row r="487" ht="24.0" customHeight="1"/>
    <row r="488" ht="24.0" customHeight="1"/>
    <row r="489" ht="24.0" customHeight="1"/>
    <row r="490" ht="24.0" customHeight="1"/>
    <row r="491" ht="24.0" customHeight="1"/>
    <row r="492" ht="24.0" customHeight="1"/>
    <row r="493" ht="24.0" customHeight="1"/>
    <row r="494" ht="24.0" customHeight="1"/>
    <row r="495" ht="24.0" customHeight="1"/>
    <row r="496" ht="24.0" customHeight="1"/>
    <row r="497" ht="24.0" customHeight="1"/>
    <row r="498" ht="24.0" customHeight="1"/>
    <row r="499" ht="24.0" customHeight="1"/>
    <row r="500" ht="24.0" customHeight="1"/>
    <row r="501" ht="24.0" customHeight="1"/>
    <row r="502" ht="24.0" customHeight="1"/>
    <row r="503" ht="24.0" customHeight="1"/>
    <row r="504" ht="24.0" customHeight="1"/>
    <row r="505" ht="24.0" customHeight="1"/>
    <row r="506" ht="24.0" customHeight="1"/>
    <row r="507" ht="24.0" customHeight="1"/>
    <row r="508" ht="24.0" customHeight="1"/>
    <row r="509" ht="24.0" customHeight="1"/>
    <row r="510" ht="24.0" customHeight="1"/>
    <row r="511" ht="24.0" customHeight="1"/>
    <row r="512" ht="24.0" customHeight="1"/>
    <row r="513" ht="24.0" customHeight="1"/>
    <row r="514" ht="24.0" customHeight="1"/>
    <row r="515" ht="24.0" customHeight="1"/>
    <row r="516" ht="24.0" customHeight="1"/>
    <row r="517" ht="24.0" customHeight="1"/>
    <row r="518" ht="24.0" customHeight="1"/>
    <row r="519" ht="24.0" customHeight="1"/>
    <row r="520" ht="24.0" customHeight="1"/>
    <row r="521" ht="24.0" customHeight="1"/>
    <row r="522" ht="24.0" customHeight="1"/>
    <row r="523" ht="24.0" customHeight="1"/>
    <row r="524" ht="24.0" customHeight="1"/>
    <row r="525" ht="24.0" customHeight="1"/>
    <row r="526" ht="24.0" customHeight="1"/>
    <row r="527" ht="24.0" customHeight="1"/>
    <row r="528" ht="24.0" customHeight="1"/>
    <row r="529" ht="24.0" customHeight="1"/>
    <row r="530" ht="24.0" customHeight="1"/>
    <row r="531" ht="24.0" customHeight="1"/>
    <row r="532" ht="24.0" customHeight="1"/>
    <row r="533" ht="24.0" customHeight="1"/>
    <row r="534" ht="24.0" customHeight="1"/>
    <row r="535" ht="24.0" customHeight="1"/>
    <row r="536" ht="24.0" customHeight="1"/>
    <row r="537" ht="24.0" customHeight="1"/>
    <row r="538" ht="24.0" customHeight="1"/>
    <row r="539" ht="24.0" customHeight="1"/>
    <row r="540" ht="24.0" customHeight="1"/>
    <row r="541" ht="24.0" customHeight="1"/>
    <row r="542" ht="24.0" customHeight="1"/>
    <row r="543" ht="24.0" customHeight="1"/>
    <row r="544" ht="24.0" customHeight="1"/>
    <row r="545" ht="24.0" customHeight="1"/>
    <row r="546" ht="24.0" customHeight="1"/>
    <row r="547" ht="24.0" customHeight="1"/>
    <row r="548" ht="24.0" customHeight="1"/>
    <row r="549" ht="24.0" customHeight="1"/>
    <row r="550" ht="24.0" customHeight="1"/>
    <row r="551" ht="24.0" customHeight="1"/>
    <row r="552" ht="24.0" customHeight="1"/>
    <row r="553" ht="24.0" customHeight="1"/>
    <row r="554" ht="24.0" customHeight="1"/>
    <row r="555" ht="24.0" customHeight="1"/>
    <row r="556" ht="24.0" customHeight="1"/>
    <row r="557" ht="24.0" customHeight="1"/>
    <row r="558" ht="24.0" customHeight="1"/>
    <row r="559" ht="24.0" customHeight="1"/>
    <row r="560" ht="24.0" customHeight="1"/>
    <row r="561" ht="24.0" customHeight="1"/>
    <row r="562" ht="24.0" customHeight="1"/>
    <row r="563" ht="24.0" customHeight="1"/>
    <row r="564" ht="24.0" customHeight="1"/>
    <row r="565" ht="24.0" customHeight="1"/>
    <row r="566" ht="24.0" customHeight="1"/>
    <row r="567" ht="24.0" customHeight="1"/>
    <row r="568" ht="24.0" customHeight="1"/>
    <row r="569" ht="24.0" customHeight="1"/>
    <row r="570" ht="24.0" customHeight="1"/>
    <row r="571" ht="24.0" customHeight="1"/>
    <row r="572" ht="24.0" customHeight="1"/>
    <row r="573" ht="24.0" customHeight="1"/>
    <row r="574" ht="24.0" customHeight="1"/>
    <row r="575" ht="24.0" customHeight="1"/>
    <row r="576" ht="24.0" customHeight="1"/>
    <row r="577" ht="24.0" customHeight="1"/>
    <row r="578" ht="24.0" customHeight="1"/>
    <row r="579" ht="24.0" customHeight="1"/>
    <row r="580" ht="24.0" customHeight="1"/>
    <row r="581" ht="24.0" customHeight="1"/>
    <row r="582" ht="24.0" customHeight="1"/>
    <row r="583" ht="24.0" customHeight="1"/>
    <row r="584" ht="24.0" customHeight="1"/>
    <row r="585" ht="24.0" customHeight="1"/>
    <row r="586" ht="24.0" customHeight="1"/>
    <row r="587" ht="24.0" customHeight="1"/>
    <row r="588" ht="24.0" customHeight="1"/>
    <row r="589" ht="24.0" customHeight="1"/>
    <row r="590" ht="24.0" customHeight="1"/>
    <row r="591" ht="24.0" customHeight="1"/>
    <row r="592" ht="24.0" customHeight="1"/>
    <row r="593" ht="24.0" customHeight="1"/>
    <row r="594" ht="24.0" customHeight="1"/>
    <row r="595" ht="24.0" customHeight="1"/>
    <row r="596" ht="24.0" customHeight="1"/>
    <row r="597" ht="24.0" customHeight="1"/>
    <row r="598" ht="24.0" customHeight="1"/>
    <row r="599" ht="24.0" customHeight="1"/>
    <row r="600" ht="24.0" customHeight="1"/>
    <row r="601" ht="24.0" customHeight="1"/>
    <row r="602" ht="24.0" customHeight="1"/>
    <row r="603" ht="24.0" customHeight="1"/>
    <row r="604" ht="24.0" customHeight="1"/>
    <row r="605" ht="24.0" customHeight="1"/>
    <row r="606" ht="24.0" customHeight="1"/>
    <row r="607" ht="24.0" customHeight="1"/>
    <row r="608" ht="24.0" customHeight="1"/>
    <row r="609" ht="24.0" customHeight="1"/>
    <row r="610" ht="24.0" customHeight="1"/>
    <row r="611" ht="24.0" customHeight="1"/>
    <row r="612" ht="24.0" customHeight="1"/>
    <row r="613" ht="24.0" customHeight="1"/>
    <row r="614" ht="24.0" customHeight="1"/>
    <row r="615" ht="24.0" customHeight="1"/>
    <row r="616" ht="24.0" customHeight="1"/>
    <row r="617" ht="24.0" customHeight="1"/>
    <row r="618" ht="24.0" customHeight="1"/>
    <row r="619" ht="24.0" customHeight="1"/>
    <row r="620" ht="24.0" customHeight="1"/>
    <row r="621" ht="24.0" customHeight="1"/>
    <row r="622" ht="24.0" customHeight="1"/>
    <row r="623" ht="24.0" customHeight="1"/>
    <row r="624" ht="24.0" customHeight="1"/>
    <row r="625" ht="24.0" customHeight="1"/>
    <row r="626" ht="24.0" customHeight="1"/>
    <row r="627" ht="24.0" customHeight="1"/>
    <row r="628" ht="24.0" customHeight="1"/>
    <row r="629" ht="24.0" customHeight="1"/>
    <row r="630" ht="24.0" customHeight="1"/>
    <row r="631" ht="24.0" customHeight="1"/>
    <row r="632" ht="24.0" customHeight="1"/>
    <row r="633" ht="24.0" customHeight="1"/>
    <row r="634" ht="24.0" customHeight="1"/>
    <row r="635" ht="24.0" customHeight="1"/>
    <row r="636" ht="24.0" customHeight="1"/>
    <row r="637" ht="24.0" customHeight="1"/>
    <row r="638" ht="24.0" customHeight="1"/>
    <row r="639" ht="24.0" customHeight="1"/>
    <row r="640" ht="24.0" customHeight="1"/>
    <row r="641" ht="24.0" customHeight="1"/>
    <row r="642" ht="24.0" customHeight="1"/>
    <row r="643" ht="24.0" customHeight="1"/>
    <row r="644" ht="24.0" customHeight="1"/>
    <row r="645" ht="24.0" customHeight="1"/>
    <row r="646" ht="24.0" customHeight="1"/>
    <row r="647" ht="24.0" customHeight="1"/>
    <row r="648" ht="24.0" customHeight="1"/>
    <row r="649" ht="24.0" customHeight="1"/>
    <row r="650" ht="24.0" customHeight="1"/>
    <row r="651" ht="24.0" customHeight="1"/>
    <row r="652" ht="24.0" customHeight="1"/>
    <row r="653" ht="24.0" customHeight="1"/>
    <row r="654" ht="24.0" customHeight="1"/>
    <row r="655" ht="24.0" customHeight="1"/>
    <row r="656" ht="24.0" customHeight="1"/>
    <row r="657" ht="24.0" customHeight="1"/>
    <row r="658" ht="24.0" customHeight="1"/>
    <row r="659" ht="24.0" customHeight="1"/>
    <row r="660" ht="24.0" customHeight="1"/>
    <row r="661" ht="24.0" customHeight="1"/>
    <row r="662" ht="24.0" customHeight="1"/>
    <row r="663" ht="24.0" customHeight="1"/>
    <row r="664" ht="24.0" customHeight="1"/>
    <row r="665" ht="24.0" customHeight="1"/>
    <row r="666" ht="24.0" customHeight="1"/>
    <row r="667" ht="24.0" customHeight="1"/>
    <row r="668" ht="24.0" customHeight="1"/>
    <row r="669" ht="24.0" customHeight="1"/>
    <row r="670" ht="24.0" customHeight="1"/>
    <row r="671" ht="24.0" customHeight="1"/>
    <row r="672" ht="24.0" customHeight="1"/>
    <row r="673" ht="24.0" customHeight="1"/>
    <row r="674" ht="24.0" customHeight="1"/>
    <row r="675" ht="24.0" customHeight="1"/>
    <row r="676" ht="24.0" customHeight="1"/>
    <row r="677" ht="24.0" customHeight="1"/>
    <row r="678" ht="24.0" customHeight="1"/>
    <row r="679" ht="24.0" customHeight="1"/>
    <row r="680" ht="24.0" customHeight="1"/>
    <row r="681" ht="24.0" customHeight="1"/>
    <row r="682" ht="24.0" customHeight="1"/>
    <row r="683" ht="24.0" customHeight="1"/>
    <row r="684" ht="24.0" customHeight="1"/>
    <row r="685" ht="24.0" customHeight="1"/>
    <row r="686" ht="24.0" customHeight="1"/>
    <row r="687" ht="24.0" customHeight="1"/>
    <row r="688" ht="24.0" customHeight="1"/>
    <row r="689" ht="24.0" customHeight="1"/>
    <row r="690" ht="24.0" customHeight="1"/>
    <row r="691" ht="24.0" customHeight="1"/>
    <row r="692" ht="24.0" customHeight="1"/>
    <row r="693" ht="24.0" customHeight="1"/>
    <row r="694" ht="24.0" customHeight="1"/>
    <row r="695" ht="24.0" customHeight="1"/>
    <row r="696" ht="24.0" customHeight="1"/>
    <row r="697" ht="24.0" customHeight="1"/>
    <row r="698" ht="24.0" customHeight="1"/>
    <row r="699" ht="24.0" customHeight="1"/>
    <row r="700" ht="24.0" customHeight="1"/>
    <row r="701" ht="24.0" customHeight="1"/>
    <row r="702" ht="24.0" customHeight="1"/>
    <row r="703" ht="24.0" customHeight="1"/>
    <row r="704" ht="24.0" customHeight="1"/>
    <row r="705" ht="24.0" customHeight="1"/>
    <row r="706" ht="24.0" customHeight="1"/>
    <row r="707" ht="24.0" customHeight="1"/>
    <row r="708" ht="24.0" customHeight="1"/>
    <row r="709" ht="24.0" customHeight="1"/>
    <row r="710" ht="24.0" customHeight="1"/>
    <row r="711" ht="24.0" customHeight="1"/>
    <row r="712" ht="24.0" customHeight="1"/>
    <row r="713" ht="24.0" customHeight="1"/>
    <row r="714" ht="24.0" customHeight="1"/>
    <row r="715" ht="24.0" customHeight="1"/>
    <row r="716" ht="24.0" customHeight="1"/>
    <row r="717" ht="24.0" customHeight="1"/>
    <row r="718" ht="24.0" customHeight="1"/>
    <row r="719" ht="24.0" customHeight="1"/>
    <row r="720" ht="24.0" customHeight="1"/>
    <row r="721" ht="24.0" customHeight="1"/>
    <row r="722" ht="24.0" customHeight="1"/>
    <row r="723" ht="24.0" customHeight="1"/>
    <row r="724" ht="24.0" customHeight="1"/>
    <row r="725" ht="24.0" customHeight="1"/>
    <row r="726" ht="24.0" customHeight="1"/>
    <row r="727" ht="24.0" customHeight="1"/>
    <row r="728" ht="24.0" customHeight="1"/>
    <row r="729" ht="24.0" customHeight="1"/>
    <row r="730" ht="24.0" customHeight="1"/>
    <row r="731" ht="24.0" customHeight="1"/>
    <row r="732" ht="24.0" customHeight="1"/>
    <row r="733" ht="24.0" customHeight="1"/>
    <row r="734" ht="24.0" customHeight="1"/>
    <row r="735" ht="24.0" customHeight="1"/>
    <row r="736" ht="24.0" customHeight="1"/>
    <row r="737" ht="24.0" customHeight="1"/>
    <row r="738" ht="24.0" customHeight="1"/>
    <row r="739" ht="24.0" customHeight="1"/>
    <row r="740" ht="24.0" customHeight="1"/>
    <row r="741" ht="24.0" customHeight="1"/>
    <row r="742" ht="24.0" customHeight="1"/>
    <row r="743" ht="24.0" customHeight="1"/>
    <row r="744" ht="24.0" customHeight="1"/>
    <row r="745" ht="24.0" customHeight="1"/>
    <row r="746" ht="24.0" customHeight="1"/>
    <row r="747" ht="24.0" customHeight="1"/>
    <row r="748" ht="24.0" customHeight="1"/>
    <row r="749" ht="24.0" customHeight="1"/>
    <row r="750" ht="24.0" customHeight="1"/>
    <row r="751" ht="24.0" customHeight="1"/>
    <row r="752" ht="24.0" customHeight="1"/>
    <row r="753" ht="24.0" customHeight="1"/>
    <row r="754" ht="24.0" customHeight="1"/>
    <row r="755" ht="24.0" customHeight="1"/>
    <row r="756" ht="24.0" customHeight="1"/>
    <row r="757" ht="24.0" customHeight="1"/>
    <row r="758" ht="24.0" customHeight="1"/>
    <row r="759" ht="24.0" customHeight="1"/>
    <row r="760" ht="24.0" customHeight="1"/>
    <row r="761" ht="24.0" customHeight="1"/>
    <row r="762" ht="24.0" customHeight="1"/>
    <row r="763" ht="24.0" customHeight="1"/>
    <row r="764" ht="24.0" customHeight="1"/>
    <row r="765" ht="24.0" customHeight="1"/>
    <row r="766" ht="24.0" customHeight="1"/>
    <row r="767" ht="24.0" customHeight="1"/>
    <row r="768" ht="24.0" customHeight="1"/>
    <row r="769" ht="24.0" customHeight="1"/>
    <row r="770" ht="24.0" customHeight="1"/>
    <row r="771" ht="24.0" customHeight="1"/>
    <row r="772" ht="24.0" customHeight="1"/>
    <row r="773" ht="24.0" customHeight="1"/>
    <row r="774" ht="24.0" customHeight="1"/>
    <row r="775" ht="24.0" customHeight="1"/>
    <row r="776" ht="24.0" customHeight="1"/>
    <row r="777" ht="24.0" customHeight="1"/>
    <row r="778" ht="24.0" customHeight="1"/>
    <row r="779" ht="24.0" customHeight="1"/>
    <row r="780" ht="24.0" customHeight="1"/>
    <row r="781" ht="24.0" customHeight="1"/>
    <row r="782" ht="24.0" customHeight="1"/>
    <row r="783" ht="24.0" customHeight="1"/>
    <row r="784" ht="24.0" customHeight="1"/>
    <row r="785" ht="24.0" customHeight="1"/>
    <row r="786" ht="24.0" customHeight="1"/>
    <row r="787" ht="24.0" customHeight="1"/>
    <row r="788" ht="24.0" customHeight="1"/>
    <row r="789" ht="24.0" customHeight="1"/>
    <row r="790" ht="24.0" customHeight="1"/>
    <row r="791" ht="24.0" customHeight="1"/>
    <row r="792" ht="24.0" customHeight="1"/>
    <row r="793" ht="24.0" customHeight="1"/>
    <row r="794" ht="24.0" customHeight="1"/>
    <row r="795" ht="24.0" customHeight="1"/>
    <row r="796" ht="24.0" customHeight="1"/>
    <row r="797" ht="24.0" customHeight="1"/>
    <row r="798" ht="24.0" customHeight="1"/>
    <row r="799" ht="24.0" customHeight="1"/>
    <row r="800" ht="24.0" customHeight="1"/>
    <row r="801" ht="24.0" customHeight="1"/>
    <row r="802" ht="24.0" customHeight="1"/>
    <row r="803" ht="24.0" customHeight="1"/>
    <row r="804" ht="24.0" customHeight="1"/>
    <row r="805" ht="24.0" customHeight="1"/>
    <row r="806" ht="24.0" customHeight="1"/>
    <row r="807" ht="24.0" customHeight="1"/>
    <row r="808" ht="24.0" customHeight="1"/>
    <row r="809" ht="24.0" customHeight="1"/>
    <row r="810" ht="24.0" customHeight="1"/>
    <row r="811" ht="24.0" customHeight="1"/>
    <row r="812" ht="24.0" customHeight="1"/>
    <row r="813" ht="24.0" customHeight="1"/>
    <row r="814" ht="24.0" customHeight="1"/>
    <row r="815" ht="24.0" customHeight="1"/>
    <row r="816" ht="24.0" customHeight="1"/>
    <row r="817" ht="24.0" customHeight="1"/>
    <row r="818" ht="24.0" customHeight="1"/>
    <row r="819" ht="24.0" customHeight="1"/>
    <row r="820" ht="24.0" customHeight="1"/>
    <row r="821" ht="24.0" customHeight="1"/>
    <row r="822" ht="24.0" customHeight="1"/>
    <row r="823" ht="24.0" customHeight="1"/>
    <row r="824" ht="24.0" customHeight="1"/>
    <row r="825" ht="24.0" customHeight="1"/>
    <row r="826" ht="24.0" customHeight="1"/>
    <row r="827" ht="24.0" customHeight="1"/>
    <row r="828" ht="24.0" customHeight="1"/>
    <row r="829" ht="24.0" customHeight="1"/>
    <row r="830" ht="24.0" customHeight="1"/>
    <row r="831" ht="24.0" customHeight="1"/>
    <row r="832" ht="24.0" customHeight="1"/>
    <row r="833" ht="24.0" customHeight="1"/>
    <row r="834" ht="24.0" customHeight="1"/>
    <row r="835" ht="24.0" customHeight="1"/>
    <row r="836" ht="24.0" customHeight="1"/>
    <row r="837" ht="24.0" customHeight="1"/>
    <row r="838" ht="24.0" customHeight="1"/>
    <row r="839" ht="24.0" customHeight="1"/>
    <row r="840" ht="24.0" customHeight="1"/>
    <row r="841" ht="24.0" customHeight="1"/>
    <row r="842" ht="24.0" customHeight="1"/>
    <row r="843" ht="24.0" customHeight="1"/>
    <row r="844" ht="24.0" customHeight="1"/>
    <row r="845" ht="24.0" customHeight="1"/>
    <row r="846" ht="24.0" customHeight="1"/>
    <row r="847" ht="24.0" customHeight="1"/>
    <row r="848" ht="24.0" customHeight="1"/>
    <row r="849" ht="24.0" customHeight="1"/>
    <row r="850" ht="24.0" customHeight="1"/>
    <row r="851" ht="24.0" customHeight="1"/>
    <row r="852" ht="24.0" customHeight="1"/>
    <row r="853" ht="24.0" customHeight="1"/>
    <row r="854" ht="24.0" customHeight="1"/>
    <row r="855" ht="24.0" customHeight="1"/>
    <row r="856" ht="24.0" customHeight="1"/>
    <row r="857" ht="24.0" customHeight="1"/>
    <row r="858" ht="24.0" customHeight="1"/>
    <row r="859" ht="24.0" customHeight="1"/>
    <row r="860" ht="24.0" customHeight="1"/>
    <row r="861" ht="24.0" customHeight="1"/>
    <row r="862" ht="24.0" customHeight="1"/>
    <row r="863" ht="24.0" customHeight="1"/>
    <row r="864" ht="24.0" customHeight="1"/>
    <row r="865" ht="24.0" customHeight="1"/>
    <row r="866" ht="24.0" customHeight="1"/>
    <row r="867" ht="24.0" customHeight="1"/>
    <row r="868" ht="24.0" customHeight="1"/>
    <row r="869" ht="24.0" customHeight="1"/>
    <row r="870" ht="24.0" customHeight="1"/>
    <row r="871" ht="24.0" customHeight="1"/>
    <row r="872" ht="24.0" customHeight="1"/>
    <row r="873" ht="24.0" customHeight="1"/>
    <row r="874" ht="24.0" customHeight="1"/>
    <row r="875" ht="24.0" customHeight="1"/>
    <row r="876" ht="24.0" customHeight="1"/>
    <row r="877" ht="24.0" customHeight="1"/>
    <row r="878" ht="24.0" customHeight="1"/>
    <row r="879" ht="24.0" customHeight="1"/>
    <row r="880" ht="24.0" customHeight="1"/>
    <row r="881" ht="24.0" customHeight="1"/>
    <row r="882" ht="24.0" customHeight="1"/>
    <row r="883" ht="24.0" customHeight="1"/>
    <row r="884" ht="24.0" customHeight="1"/>
    <row r="885" ht="24.0" customHeight="1"/>
    <row r="886" ht="24.0" customHeight="1"/>
    <row r="887" ht="24.0" customHeight="1"/>
    <row r="888" ht="24.0" customHeight="1"/>
    <row r="889" ht="24.0" customHeight="1"/>
    <row r="890" ht="24.0" customHeight="1"/>
    <row r="891" ht="24.0" customHeight="1"/>
    <row r="892" ht="24.0" customHeight="1"/>
    <row r="893" ht="24.0" customHeight="1"/>
    <row r="894" ht="24.0" customHeight="1"/>
    <row r="895" ht="24.0" customHeight="1"/>
    <row r="896" ht="24.0" customHeight="1"/>
    <row r="897" ht="24.0" customHeight="1"/>
    <row r="898" ht="24.0" customHeight="1"/>
    <row r="899" ht="24.0" customHeight="1"/>
    <row r="900" ht="24.0" customHeight="1"/>
    <row r="901" ht="24.0" customHeight="1"/>
    <row r="902" ht="24.0" customHeight="1"/>
    <row r="903" ht="24.0" customHeight="1"/>
    <row r="904" ht="24.0" customHeight="1"/>
    <row r="905" ht="24.0" customHeight="1"/>
    <row r="906" ht="24.0" customHeight="1"/>
    <row r="907" ht="24.0" customHeight="1"/>
    <row r="908" ht="24.0" customHeight="1"/>
    <row r="909" ht="24.0" customHeight="1"/>
    <row r="910" ht="24.0" customHeight="1"/>
    <row r="911" ht="24.0" customHeight="1"/>
    <row r="912" ht="24.0" customHeight="1"/>
    <row r="913" ht="24.0" customHeight="1"/>
    <row r="914" ht="24.0" customHeight="1"/>
    <row r="915" ht="24.0" customHeight="1"/>
    <row r="916" ht="24.0" customHeight="1"/>
    <row r="917" ht="24.0" customHeight="1"/>
    <row r="918" ht="24.0" customHeight="1"/>
    <row r="919" ht="24.0" customHeight="1"/>
    <row r="920" ht="24.0" customHeight="1"/>
    <row r="921" ht="24.0" customHeight="1"/>
    <row r="922" ht="24.0" customHeight="1"/>
    <row r="923" ht="24.0" customHeight="1"/>
    <row r="924" ht="24.0" customHeight="1"/>
    <row r="925" ht="24.0" customHeight="1"/>
    <row r="926" ht="24.0" customHeight="1"/>
    <row r="927" ht="24.0" customHeight="1"/>
    <row r="928" ht="24.0" customHeight="1"/>
    <row r="929" ht="24.0" customHeight="1"/>
    <row r="930" ht="24.0" customHeight="1"/>
    <row r="931" ht="24.0" customHeight="1"/>
    <row r="932" ht="24.0" customHeight="1"/>
    <row r="933" ht="24.0" customHeight="1"/>
    <row r="934" ht="24.0" customHeight="1"/>
    <row r="935" ht="24.0" customHeight="1"/>
    <row r="936" ht="24.0" customHeight="1"/>
    <row r="937" ht="24.0" customHeight="1"/>
    <row r="938" ht="24.0" customHeight="1"/>
    <row r="939" ht="24.0" customHeight="1"/>
    <row r="940" ht="24.0" customHeight="1"/>
    <row r="941" ht="24.0" customHeight="1"/>
    <row r="942" ht="24.0" customHeight="1"/>
    <row r="943" ht="24.0" customHeight="1"/>
    <row r="944" ht="24.0" customHeight="1"/>
    <row r="945" ht="24.0" customHeight="1"/>
    <row r="946" ht="24.0" customHeight="1"/>
    <row r="947" ht="24.0" customHeight="1"/>
    <row r="948" ht="24.0" customHeight="1"/>
    <row r="949" ht="24.0" customHeight="1"/>
    <row r="950" ht="24.0" customHeight="1"/>
    <row r="951" ht="24.0" customHeight="1"/>
    <row r="952" ht="24.0" customHeight="1"/>
    <row r="953" ht="24.0" customHeight="1"/>
    <row r="954" ht="24.0" customHeight="1"/>
    <row r="955" ht="24.0" customHeight="1"/>
    <row r="956" ht="24.0" customHeight="1"/>
    <row r="957" ht="24.0" customHeight="1"/>
    <row r="958" ht="24.0" customHeight="1"/>
    <row r="959" ht="24.0" customHeight="1"/>
    <row r="960" ht="24.0" customHeight="1"/>
    <row r="961" ht="24.0" customHeight="1"/>
    <row r="962" ht="24.0" customHeight="1"/>
    <row r="963" ht="24.0" customHeight="1"/>
    <row r="964" ht="24.0" customHeight="1"/>
    <row r="965" ht="24.0" customHeight="1"/>
    <row r="966" ht="24.0" customHeight="1"/>
    <row r="967" ht="24.0" customHeight="1"/>
    <row r="968" ht="24.0" customHeight="1"/>
    <row r="969" ht="24.0" customHeight="1"/>
    <row r="970" ht="24.0" customHeight="1"/>
    <row r="971" ht="24.0" customHeight="1"/>
    <row r="972" ht="24.0" customHeight="1"/>
    <row r="973" ht="24.0" customHeight="1"/>
    <row r="974" ht="24.0" customHeight="1"/>
    <row r="975" ht="24.0" customHeight="1"/>
    <row r="976" ht="24.0" customHeight="1"/>
    <row r="977" ht="24.0" customHeight="1"/>
    <row r="978" ht="24.0" customHeight="1"/>
    <row r="979" ht="24.0" customHeight="1"/>
    <row r="980" ht="24.0" customHeight="1"/>
    <row r="981" ht="24.0" customHeight="1"/>
    <row r="982" ht="24.0" customHeight="1"/>
    <row r="983" ht="24.0" customHeight="1"/>
    <row r="984" ht="24.0" customHeight="1"/>
    <row r="985" ht="24.0" customHeight="1"/>
    <row r="986" ht="24.0" customHeight="1"/>
    <row r="987" ht="24.0" customHeight="1"/>
    <row r="988" ht="24.0" customHeight="1"/>
    <row r="989" ht="24.0" customHeight="1"/>
    <row r="990" ht="24.0" customHeight="1"/>
    <row r="991" ht="24.0" customHeight="1"/>
    <row r="992" ht="24.0" customHeight="1"/>
    <row r="993" ht="24.0" customHeight="1"/>
    <row r="994" ht="24.0" customHeight="1"/>
    <row r="995" ht="24.0" customHeight="1"/>
    <row r="996" ht="24.0" customHeight="1"/>
    <row r="997" ht="24.0" customHeight="1"/>
    <row r="998" ht="24.0" customHeight="1"/>
    <row r="999" ht="24.0" customHeight="1"/>
    <row r="1000" ht="24.0" customHeight="1"/>
  </sheetData>
  <mergeCells count="2">
    <mergeCell ref="B1:F1"/>
    <mergeCell ref="B9:E9"/>
  </mergeCells>
  <conditionalFormatting sqref="E4">
    <cfRule type="expression" dxfId="0" priority="1">
      <formula>AND(ISNUMBER(E4),ROUND(E4,2)=INT(ROUND(E4,2)))</formula>
    </cfRule>
  </conditionalFormatting>
  <conditionalFormatting sqref="E4">
    <cfRule type="expression" dxfId="1" priority="2">
      <formula>AND(ISNUMBER(E4),ROUND(E4,2)&lt;&gt;INT(ROUND(E4,2)))</formula>
    </cfRule>
  </conditionalFormatting>
  <conditionalFormatting sqref="F4">
    <cfRule type="expression" dxfId="0" priority="3">
      <formula>AND(ISNUMBER(F4),ROUND(F4,2)=INT(ROUND(F4,2)))</formula>
    </cfRule>
  </conditionalFormatting>
  <conditionalFormatting sqref="F4">
    <cfRule type="expression" dxfId="1" priority="4">
      <formula>AND(ISNUMBER(F4),ROUND(F4,2)&lt;&gt;INT(ROUND(F4,2)))</formula>
    </cfRule>
  </conditionalFormatting>
  <conditionalFormatting sqref="E5">
    <cfRule type="expression" dxfId="0" priority="5">
      <formula>AND(ISNUMBER(E5),ROUND(E5,2)=INT(ROUND(E5,2)))</formula>
    </cfRule>
  </conditionalFormatting>
  <conditionalFormatting sqref="E5">
    <cfRule type="expression" dxfId="1" priority="6">
      <formula>AND(ISNUMBER(E5),ROUND(E5,2)&lt;&gt;INT(ROUND(E5,2)))</formula>
    </cfRule>
  </conditionalFormatting>
  <conditionalFormatting sqref="F5">
    <cfRule type="expression" dxfId="0" priority="7">
      <formula>AND(ISNUMBER(F5),ROUND(F5,2)=INT(ROUND(F5,2)))</formula>
    </cfRule>
  </conditionalFormatting>
  <conditionalFormatting sqref="F5">
    <cfRule type="expression" dxfId="1" priority="8">
      <formula>AND(ISNUMBER(F5),ROUND(F5,2)&lt;&gt;INT(ROUND(F5,2)))</formula>
    </cfRule>
  </conditionalFormatting>
  <conditionalFormatting sqref="E6">
    <cfRule type="expression" dxfId="0" priority="9">
      <formula>AND(ISNUMBER(E6),ROUND(E6,2)=INT(ROUND(E6,2)))</formula>
    </cfRule>
  </conditionalFormatting>
  <conditionalFormatting sqref="E6">
    <cfRule type="expression" dxfId="1" priority="10">
      <formula>AND(ISNUMBER(E6),ROUND(E6,2)&lt;&gt;INT(ROUND(E6,2)))</formula>
    </cfRule>
  </conditionalFormatting>
  <conditionalFormatting sqref="F6">
    <cfRule type="expression" dxfId="0" priority="11">
      <formula>AND(ISNUMBER(F6),ROUND(F6,2)=INT(ROUND(F6,2)))</formula>
    </cfRule>
  </conditionalFormatting>
  <conditionalFormatting sqref="F6">
    <cfRule type="expression" dxfId="1" priority="12">
      <formula>AND(ISNUMBER(F6),ROUND(F6,2)&lt;&gt;INT(ROUND(F6,2)))</formula>
    </cfRule>
  </conditionalFormatting>
  <conditionalFormatting sqref="F9">
    <cfRule type="expression" dxfId="0" priority="13">
      <formula>AND(ISNUMBER(F9),ROUND(F9,2)=INT(ROUND(F9,2)))</formula>
    </cfRule>
  </conditionalFormatting>
  <conditionalFormatting sqref="F9">
    <cfRule type="expression" dxfId="1" priority="14">
      <formula>AND(ISNUMBER(F9),ROUND(F9,2)&lt;&gt;INT(ROUND(F9,2)))</formula>
    </cfRule>
  </conditionalFormatting>
  <dataValidations>
    <dataValidation type="decimal" operator="greaterThanOrEqual" allowBlank="1" showInputMessage="1" showErrorMessage="1" prompt="יש להזין מספר לא שלילי" sqref="D4:D6">
      <formula1>0.0</formula1>
    </dataValidation>
    <dataValidation type="custom" allowBlank="1" showInputMessage="1" showErrorMessage="1" prompt="מספר לא שלילי, כלול או לא רלוונטי בלבד" sqref="E4:E6">
      <formula1>OR(ISBLANK(E4),AND(ISNUMBER(E4),E4&gt;=0),E4="כלול",E4="לא רלוונטי")</formula1>
    </dataValidation>
  </dataValidations>
  <printOptions/>
  <pageMargins bottom="0.75" footer="0.0" header="0.0" left="0.25" right="0.25" top="0.75"/>
  <pageSetup fitToHeight="0" paperSize="9" orientation="portrait"/>
  <headerFooter>
    <oddFooter>&amp;Cעמוד &amp;P</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rightToLeft="1" workbookViewId="0"/>
  </sheetViews>
  <sheetFormatPr customHeight="1" defaultColWidth="14.43" defaultRowHeight="15.0"/>
  <cols>
    <col customWidth="1" min="1" max="1" width="7.29"/>
    <col customWidth="1" min="2" max="2" width="66.29"/>
    <col customWidth="1" min="3" max="6" width="8.14"/>
    <col customWidth="1" hidden="1" min="7" max="7" width="36.0"/>
    <col customWidth="1" hidden="1" min="8" max="8" width="12.0"/>
    <col customWidth="1" min="9" max="26" width="8.71"/>
  </cols>
  <sheetData>
    <row r="1" ht="31.5" customHeight="1">
      <c r="A1" s="10">
        <v>9.0</v>
      </c>
      <c r="B1" s="3" t="s">
        <v>51</v>
      </c>
      <c r="G1" s="2" t="s">
        <v>50</v>
      </c>
      <c r="H1" s="2" t="s">
        <v>53</v>
      </c>
    </row>
    <row r="2" ht="31.5" customHeight="1">
      <c r="A2" s="16" t="s">
        <v>59</v>
      </c>
      <c r="B2" s="17" t="s">
        <v>67</v>
      </c>
      <c r="C2" s="16" t="s">
        <v>72</v>
      </c>
      <c r="D2" s="16" t="s">
        <v>76</v>
      </c>
      <c r="E2" s="16" t="s">
        <v>79</v>
      </c>
      <c r="F2" s="16" t="s">
        <v>81</v>
      </c>
      <c r="G2" s="2"/>
      <c r="H2" s="2" t="s">
        <v>84</v>
      </c>
    </row>
    <row r="3" ht="81.0" customHeight="1">
      <c r="A3" s="19"/>
      <c r="B3" s="20" t="s">
        <v>264</v>
      </c>
      <c r="C3" s="19"/>
      <c r="D3" s="19"/>
      <c r="E3" s="19"/>
      <c r="F3" s="19"/>
      <c r="G3" s="12" t="s">
        <v>265</v>
      </c>
      <c r="H3" s="12" t="s">
        <v>105</v>
      </c>
    </row>
    <row r="4" ht="63.75" customHeight="1">
      <c r="A4" s="19" t="s">
        <v>266</v>
      </c>
      <c r="B4" s="20" t="s">
        <v>267</v>
      </c>
      <c r="C4" s="19" t="s">
        <v>147</v>
      </c>
      <c r="D4" s="19"/>
      <c r="E4" s="22"/>
      <c r="F4" s="22" t="str">
        <f t="shared" ref="F4:F11" si="1">IF(ISBLANK(D4),"",IF(NOT(ISNUMBER(D4)),"קלט לא תקין",IF(D4&lt;0,"קלט לא תקין",IF(ISBLANK(E4),"",IF(OR(E4="כלול",E4="לא רלוונטי"),0,IF(NOT(ISNUMBER(E4)),"קלט לא תקין",IF(E4&lt;0,"קלט לא תקין",ROUND(D4*E4,2))))))))</f>
        <v/>
      </c>
      <c r="G4" s="12" t="s">
        <v>276</v>
      </c>
      <c r="H4" s="12" t="s">
        <v>113</v>
      </c>
    </row>
    <row r="5" ht="63.75" customHeight="1">
      <c r="A5" s="19" t="s">
        <v>277</v>
      </c>
      <c r="B5" s="20" t="s">
        <v>278</v>
      </c>
      <c r="C5" s="19" t="s">
        <v>147</v>
      </c>
      <c r="D5" s="19"/>
      <c r="E5" s="22"/>
      <c r="F5" s="22" t="str">
        <f t="shared" si="1"/>
        <v/>
      </c>
      <c r="G5" s="12" t="s">
        <v>279</v>
      </c>
      <c r="H5" s="12" t="s">
        <v>113</v>
      </c>
    </row>
    <row r="6" ht="63.75" customHeight="1">
      <c r="A6" s="19" t="s">
        <v>280</v>
      </c>
      <c r="B6" s="20" t="s">
        <v>281</v>
      </c>
      <c r="C6" s="19" t="s">
        <v>147</v>
      </c>
      <c r="D6" s="19"/>
      <c r="E6" s="22"/>
      <c r="F6" s="22" t="str">
        <f t="shared" si="1"/>
        <v/>
      </c>
      <c r="G6" s="12" t="s">
        <v>282</v>
      </c>
      <c r="H6" s="12" t="s">
        <v>113</v>
      </c>
    </row>
    <row r="7" ht="63.75" customHeight="1">
      <c r="A7" s="19" t="s">
        <v>283</v>
      </c>
      <c r="B7" s="20" t="s">
        <v>284</v>
      </c>
      <c r="C7" s="19" t="s">
        <v>126</v>
      </c>
      <c r="D7" s="19"/>
      <c r="E7" s="22"/>
      <c r="F7" s="22" t="str">
        <f t="shared" si="1"/>
        <v/>
      </c>
      <c r="G7" s="12" t="s">
        <v>285</v>
      </c>
      <c r="H7" s="12" t="s">
        <v>113</v>
      </c>
    </row>
    <row r="8" ht="63.75" customHeight="1">
      <c r="A8" s="19" t="s">
        <v>286</v>
      </c>
      <c r="B8" s="20" t="s">
        <v>287</v>
      </c>
      <c r="C8" s="19" t="s">
        <v>108</v>
      </c>
      <c r="D8" s="19"/>
      <c r="E8" s="22"/>
      <c r="F8" s="22" t="str">
        <f t="shared" si="1"/>
        <v/>
      </c>
      <c r="G8" s="12" t="s">
        <v>288</v>
      </c>
      <c r="H8" s="12" t="s">
        <v>113</v>
      </c>
    </row>
    <row r="9" ht="63.75" customHeight="1">
      <c r="A9" s="19" t="s">
        <v>289</v>
      </c>
      <c r="B9" s="20" t="s">
        <v>290</v>
      </c>
      <c r="C9" s="19" t="s">
        <v>126</v>
      </c>
      <c r="D9" s="19"/>
      <c r="E9" s="22"/>
      <c r="F9" s="22" t="str">
        <f t="shared" si="1"/>
        <v/>
      </c>
      <c r="G9" s="12" t="s">
        <v>291</v>
      </c>
      <c r="H9" s="12" t="s">
        <v>113</v>
      </c>
    </row>
    <row r="10" ht="63.75" customHeight="1">
      <c r="A10" s="19" t="s">
        <v>292</v>
      </c>
      <c r="B10" s="20" t="s">
        <v>293</v>
      </c>
      <c r="C10" s="19" t="s">
        <v>126</v>
      </c>
      <c r="D10" s="19"/>
      <c r="E10" s="22"/>
      <c r="F10" s="22" t="str">
        <f t="shared" si="1"/>
        <v/>
      </c>
      <c r="G10" s="12" t="s">
        <v>294</v>
      </c>
      <c r="H10" s="12" t="s">
        <v>113</v>
      </c>
    </row>
    <row r="11" ht="63.75" customHeight="1">
      <c r="A11" s="19" t="s">
        <v>295</v>
      </c>
      <c r="B11" s="20" t="s">
        <v>296</v>
      </c>
      <c r="C11" s="19" t="s">
        <v>126</v>
      </c>
      <c r="D11" s="19"/>
      <c r="E11" s="22"/>
      <c r="F11" s="22" t="str">
        <f t="shared" si="1"/>
        <v/>
      </c>
      <c r="G11" s="12" t="s">
        <v>297</v>
      </c>
      <c r="H11" s="12" t="s">
        <v>113</v>
      </c>
    </row>
    <row r="12" ht="60.75" customHeight="1">
      <c r="A12" s="26"/>
      <c r="B12" s="27"/>
      <c r="C12" s="26"/>
      <c r="D12" s="26"/>
      <c r="E12" s="26"/>
      <c r="F12" s="26"/>
      <c r="G12" s="12"/>
      <c r="H12" s="12" t="s">
        <v>86</v>
      </c>
    </row>
    <row r="13" ht="31.5" customHeight="1">
      <c r="A13" s="28">
        <v>9.0</v>
      </c>
      <c r="B13" s="3" t="s">
        <v>298</v>
      </c>
      <c r="G13" s="12"/>
      <c r="H13" s="12" t="s">
        <v>299</v>
      </c>
    </row>
    <row r="14" ht="31.5" customHeight="1">
      <c r="A14" s="16" t="s">
        <v>59</v>
      </c>
      <c r="B14" s="17" t="s">
        <v>67</v>
      </c>
      <c r="C14" s="16" t="s">
        <v>72</v>
      </c>
      <c r="D14" s="16" t="s">
        <v>76</v>
      </c>
      <c r="E14" s="16" t="s">
        <v>79</v>
      </c>
      <c r="F14" s="16" t="s">
        <v>81</v>
      </c>
      <c r="G14" s="12"/>
      <c r="H14" s="12" t="s">
        <v>84</v>
      </c>
    </row>
    <row r="15" ht="63.75" customHeight="1">
      <c r="A15" s="19"/>
      <c r="B15" s="20" t="s">
        <v>300</v>
      </c>
      <c r="C15" s="19"/>
      <c r="D15" s="19"/>
      <c r="E15" s="19"/>
      <c r="F15" s="19"/>
      <c r="G15" s="12" t="s">
        <v>301</v>
      </c>
      <c r="H15" s="12" t="s">
        <v>105</v>
      </c>
    </row>
    <row r="16" ht="46.5" customHeight="1">
      <c r="A16" s="19" t="s">
        <v>302</v>
      </c>
      <c r="B16" s="20" t="s">
        <v>303</v>
      </c>
      <c r="C16" s="19" t="s">
        <v>126</v>
      </c>
      <c r="D16" s="19"/>
      <c r="E16" s="22"/>
      <c r="F16" s="22" t="str">
        <f t="shared" ref="F16:F18" si="2">IF(ISBLANK(D16),"",IF(NOT(ISNUMBER(D16)),"קלט לא תקין",IF(D16&lt;0,"קלט לא תקין",IF(ISBLANK(E16),"",IF(OR(E16="כלול",E16="לא רלוונטי"),0,IF(NOT(ISNUMBER(E16)),"קלט לא תקין",IF(E16&lt;0,"קלט לא תקין",ROUND(D16*E16,2))))))))</f>
        <v/>
      </c>
      <c r="G16" s="12" t="s">
        <v>304</v>
      </c>
      <c r="H16" s="12" t="s">
        <v>113</v>
      </c>
    </row>
    <row r="17" ht="46.5" customHeight="1">
      <c r="A17" s="19" t="s">
        <v>305</v>
      </c>
      <c r="B17" s="20" t="s">
        <v>306</v>
      </c>
      <c r="C17" s="19" t="s">
        <v>126</v>
      </c>
      <c r="D17" s="19"/>
      <c r="E17" s="22"/>
      <c r="F17" s="22" t="str">
        <f t="shared" si="2"/>
        <v/>
      </c>
      <c r="G17" s="12" t="s">
        <v>307</v>
      </c>
      <c r="H17" s="12" t="s">
        <v>113</v>
      </c>
    </row>
    <row r="18" ht="46.5" customHeight="1">
      <c r="A18" s="19" t="s">
        <v>308</v>
      </c>
      <c r="B18" s="20" t="s">
        <v>309</v>
      </c>
      <c r="C18" s="19" t="s">
        <v>126</v>
      </c>
      <c r="D18" s="19"/>
      <c r="E18" s="22"/>
      <c r="F18" s="22" t="str">
        <f t="shared" si="2"/>
        <v/>
      </c>
      <c r="G18" s="12" t="s">
        <v>310</v>
      </c>
      <c r="H18" s="12" t="s">
        <v>113</v>
      </c>
    </row>
    <row r="19" ht="399.75" customHeight="1">
      <c r="A19" s="19"/>
      <c r="B19" s="20"/>
      <c r="C19" s="19"/>
      <c r="D19" s="19"/>
      <c r="E19" s="19"/>
      <c r="F19" s="19"/>
      <c r="G19" s="12"/>
      <c r="H19" s="12" t="s">
        <v>86</v>
      </c>
    </row>
    <row r="20" ht="18.75" customHeight="1">
      <c r="A20" s="19"/>
      <c r="B20" s="20"/>
      <c r="C20" s="19"/>
      <c r="D20" s="19"/>
      <c r="E20" s="19"/>
      <c r="F20" s="19"/>
      <c r="G20" s="12"/>
      <c r="H20" s="12" t="s">
        <v>86</v>
      </c>
    </row>
    <row r="21" ht="31.5" customHeight="1">
      <c r="A21" s="6"/>
      <c r="B21" s="7" t="s">
        <v>311</v>
      </c>
      <c r="C21" s="8"/>
      <c r="D21" s="8"/>
      <c r="E21" s="9"/>
      <c r="F21" s="23">
        <f>SUM(F4,F5,F6,F7,F8,F9,F10,F11,F16,F17,F18)</f>
        <v>0</v>
      </c>
      <c r="G21" s="12"/>
      <c r="H21" s="12" t="s">
        <v>136</v>
      </c>
    </row>
    <row r="22" ht="24.0" customHeight="1"/>
    <row r="23" ht="24.0" customHeight="1"/>
    <row r="24" ht="24.0" customHeight="1"/>
    <row r="25" ht="24.0" customHeight="1"/>
    <row r="26" ht="24.0" customHeight="1"/>
    <row r="27" ht="24.0" customHeight="1"/>
    <row r="28" ht="24.0" customHeight="1"/>
    <row r="29" ht="24.0" customHeight="1"/>
    <row r="30" ht="24.0" customHeight="1"/>
    <row r="31" ht="24.0" customHeight="1"/>
    <row r="32" ht="24.0" customHeight="1"/>
    <row r="33" ht="24.0" customHeight="1"/>
    <row r="34" ht="24.0" customHeight="1"/>
    <row r="35" ht="24.0" customHeight="1"/>
    <row r="36" ht="24.0" customHeight="1"/>
    <row r="37" ht="24.0" customHeight="1"/>
    <row r="38" ht="24.0" customHeight="1"/>
    <row r="39" ht="24.0" customHeight="1"/>
    <row r="40" ht="24.0" customHeight="1"/>
    <row r="41" ht="24.0" customHeight="1"/>
    <row r="42" ht="24.0" customHeight="1"/>
    <row r="43" ht="24.0" customHeight="1"/>
    <row r="44" ht="24.0" customHeight="1"/>
    <row r="45" ht="24.0" customHeight="1"/>
    <row r="46" ht="24.0" customHeight="1"/>
    <row r="47" ht="24.0" customHeight="1"/>
    <row r="48" ht="24.0" customHeight="1"/>
    <row r="49" ht="24.0" customHeight="1"/>
    <row r="50" ht="24.0" customHeight="1"/>
    <row r="51" ht="24.0" customHeight="1"/>
    <row r="52" ht="24.0" customHeight="1"/>
    <row r="53" ht="24.0" customHeight="1"/>
    <row r="54" ht="24.0" customHeight="1"/>
    <row r="55" ht="24.0" customHeight="1"/>
    <row r="56" ht="24.0" customHeight="1"/>
    <row r="57" ht="24.0" customHeight="1"/>
    <row r="58" ht="24.0" customHeight="1"/>
    <row r="59" ht="24.0" customHeight="1"/>
    <row r="60" ht="24.0" customHeight="1"/>
    <row r="61" ht="24.0" customHeight="1"/>
    <row r="62" ht="24.0" customHeight="1"/>
    <row r="63" ht="24.0" customHeight="1"/>
    <row r="64" ht="24.0" customHeight="1"/>
    <row r="65" ht="24.0" customHeight="1"/>
    <row r="66" ht="24.0" customHeight="1"/>
    <row r="67" ht="24.0" customHeight="1"/>
    <row r="68" ht="24.0" customHeight="1"/>
    <row r="69" ht="24.0" customHeight="1"/>
    <row r="70" ht="24.0" customHeight="1"/>
    <row r="71" ht="24.0" customHeight="1"/>
    <row r="72" ht="24.0" customHeight="1"/>
    <row r="73" ht="24.0" customHeight="1"/>
    <row r="74" ht="24.0" customHeight="1"/>
    <row r="75" ht="24.0" customHeight="1"/>
    <row r="76" ht="24.0" customHeight="1"/>
    <row r="77" ht="24.0" customHeight="1"/>
    <row r="78" ht="24.0" customHeight="1"/>
    <row r="79" ht="24.0" customHeight="1"/>
    <row r="80" ht="24.0" customHeight="1"/>
    <row r="81" ht="24.0" customHeight="1"/>
    <row r="82" ht="24.0" customHeight="1"/>
    <row r="83" ht="24.0" customHeight="1"/>
    <row r="84" ht="24.0" customHeight="1"/>
    <row r="85" ht="24.0" customHeight="1"/>
    <row r="86" ht="24.0" customHeight="1"/>
    <row r="87" ht="24.0" customHeight="1"/>
    <row r="88" ht="24.0" customHeight="1"/>
    <row r="89" ht="24.0" customHeight="1"/>
    <row r="90" ht="24.0" customHeight="1"/>
    <row r="91" ht="24.0" customHeight="1"/>
    <row r="92" ht="24.0" customHeight="1"/>
    <row r="93" ht="24.0" customHeight="1"/>
    <row r="94" ht="24.0" customHeight="1"/>
    <row r="95" ht="24.0" customHeight="1"/>
    <row r="96" ht="24.0" customHeight="1"/>
    <row r="97" ht="24.0" customHeight="1"/>
    <row r="98" ht="24.0" customHeight="1"/>
    <row r="99" ht="24.0" customHeight="1"/>
    <row r="100" ht="24.0" customHeight="1"/>
    <row r="101" ht="24.0" customHeight="1"/>
    <row r="102" ht="24.0" customHeight="1"/>
    <row r="103" ht="24.0" customHeight="1"/>
    <row r="104" ht="24.0" customHeight="1"/>
    <row r="105" ht="24.0" customHeight="1"/>
    <row r="106" ht="24.0" customHeight="1"/>
    <row r="107" ht="24.0" customHeight="1"/>
    <row r="108" ht="24.0" customHeight="1"/>
    <row r="109" ht="24.0" customHeight="1"/>
    <row r="110" ht="24.0" customHeight="1"/>
    <row r="111" ht="24.0" customHeight="1"/>
    <row r="112" ht="24.0" customHeight="1"/>
    <row r="113" ht="24.0" customHeight="1"/>
    <row r="114" ht="24.0" customHeight="1"/>
    <row r="115" ht="24.0" customHeight="1"/>
    <row r="116" ht="24.0" customHeight="1"/>
    <row r="117" ht="24.0" customHeight="1"/>
    <row r="118" ht="24.0" customHeight="1"/>
    <row r="119" ht="24.0" customHeight="1"/>
    <row r="120" ht="24.0" customHeight="1"/>
    <row r="121" ht="24.0" customHeight="1"/>
    <row r="122" ht="24.0" customHeight="1"/>
    <row r="123" ht="24.0" customHeight="1"/>
    <row r="124" ht="24.0" customHeight="1"/>
    <row r="125" ht="24.0" customHeight="1"/>
    <row r="126" ht="24.0" customHeight="1"/>
    <row r="127" ht="24.0" customHeight="1"/>
    <row r="128" ht="24.0" customHeight="1"/>
    <row r="129" ht="24.0" customHeight="1"/>
    <row r="130" ht="24.0" customHeight="1"/>
    <row r="131" ht="24.0" customHeight="1"/>
    <row r="132" ht="24.0" customHeight="1"/>
    <row r="133" ht="24.0" customHeight="1"/>
    <row r="134" ht="24.0" customHeight="1"/>
    <row r="135" ht="24.0" customHeight="1"/>
    <row r="136" ht="24.0" customHeight="1"/>
    <row r="137" ht="24.0" customHeight="1"/>
    <row r="138" ht="24.0" customHeight="1"/>
    <row r="139" ht="24.0" customHeight="1"/>
    <row r="140" ht="24.0" customHeight="1"/>
    <row r="141" ht="24.0" customHeight="1"/>
    <row r="142" ht="24.0" customHeight="1"/>
    <row r="143" ht="24.0" customHeight="1"/>
    <row r="144" ht="24.0" customHeight="1"/>
    <row r="145" ht="24.0" customHeight="1"/>
    <row r="146" ht="24.0" customHeight="1"/>
    <row r="147" ht="24.0" customHeight="1"/>
    <row r="148" ht="24.0" customHeight="1"/>
    <row r="149" ht="24.0" customHeight="1"/>
    <row r="150" ht="24.0" customHeight="1"/>
    <row r="151" ht="24.0" customHeight="1"/>
    <row r="152" ht="24.0" customHeight="1"/>
    <row r="153" ht="24.0" customHeight="1"/>
    <row r="154" ht="24.0" customHeight="1"/>
    <row r="155" ht="24.0" customHeight="1"/>
    <row r="156" ht="24.0" customHeight="1"/>
    <row r="157" ht="24.0" customHeight="1"/>
    <row r="158" ht="24.0" customHeight="1"/>
    <row r="159" ht="24.0" customHeight="1"/>
    <row r="160" ht="24.0" customHeight="1"/>
    <row r="161" ht="24.0" customHeight="1"/>
    <row r="162" ht="24.0" customHeight="1"/>
    <row r="163" ht="24.0" customHeight="1"/>
    <row r="164" ht="24.0" customHeight="1"/>
    <row r="165" ht="24.0" customHeight="1"/>
    <row r="166" ht="24.0" customHeight="1"/>
    <row r="167" ht="24.0" customHeight="1"/>
    <row r="168" ht="24.0" customHeight="1"/>
    <row r="169" ht="24.0" customHeight="1"/>
    <row r="170" ht="24.0" customHeight="1"/>
    <row r="171" ht="24.0" customHeight="1"/>
    <row r="172" ht="24.0" customHeight="1"/>
    <row r="173" ht="24.0" customHeight="1"/>
    <row r="174" ht="24.0" customHeight="1"/>
    <row r="175" ht="24.0" customHeight="1"/>
    <row r="176" ht="24.0" customHeight="1"/>
    <row r="177" ht="24.0" customHeight="1"/>
    <row r="178" ht="24.0" customHeight="1"/>
    <row r="179" ht="24.0" customHeight="1"/>
    <row r="180" ht="24.0" customHeight="1"/>
    <row r="181" ht="24.0" customHeight="1"/>
    <row r="182" ht="24.0" customHeight="1"/>
    <row r="183" ht="24.0" customHeight="1"/>
    <row r="184" ht="24.0" customHeight="1"/>
    <row r="185" ht="24.0" customHeight="1"/>
    <row r="186" ht="24.0" customHeight="1"/>
    <row r="187" ht="24.0" customHeight="1"/>
    <row r="188" ht="24.0" customHeight="1"/>
    <row r="189" ht="24.0" customHeight="1"/>
    <row r="190" ht="24.0" customHeight="1"/>
    <row r="191" ht="24.0" customHeight="1"/>
    <row r="192" ht="24.0" customHeight="1"/>
    <row r="193" ht="24.0" customHeight="1"/>
    <row r="194" ht="24.0" customHeight="1"/>
    <row r="195" ht="24.0" customHeight="1"/>
    <row r="196" ht="24.0" customHeight="1"/>
    <row r="197" ht="24.0" customHeight="1"/>
    <row r="198" ht="24.0" customHeight="1"/>
    <row r="199" ht="24.0" customHeight="1"/>
    <row r="200" ht="24.0" customHeight="1"/>
    <row r="201" ht="24.0" customHeight="1"/>
    <row r="202" ht="24.0" customHeight="1"/>
    <row r="203" ht="24.0" customHeight="1"/>
    <row r="204" ht="24.0" customHeight="1"/>
    <row r="205" ht="24.0" customHeight="1"/>
    <row r="206" ht="24.0" customHeight="1"/>
    <row r="207" ht="24.0" customHeight="1"/>
    <row r="208" ht="24.0" customHeight="1"/>
    <row r="209" ht="24.0" customHeight="1"/>
    <row r="210" ht="24.0" customHeight="1"/>
    <row r="211" ht="24.0" customHeight="1"/>
    <row r="212" ht="24.0" customHeight="1"/>
    <row r="213" ht="24.0" customHeight="1"/>
    <row r="214" ht="24.0" customHeight="1"/>
    <row r="215" ht="24.0" customHeight="1"/>
    <row r="216" ht="24.0" customHeight="1"/>
    <row r="217" ht="24.0" customHeight="1"/>
    <row r="218" ht="24.0" customHeight="1"/>
    <row r="219" ht="24.0" customHeight="1"/>
    <row r="220" ht="24.0" customHeight="1"/>
    <row r="221" ht="24.0" customHeight="1"/>
    <row r="222" ht="24.0" customHeight="1"/>
    <row r="223" ht="24.0" customHeight="1"/>
    <row r="224" ht="24.0" customHeight="1"/>
    <row r="225" ht="24.0" customHeight="1"/>
    <row r="226" ht="24.0" customHeight="1"/>
    <row r="227" ht="24.0" customHeight="1"/>
    <row r="228" ht="24.0" customHeight="1"/>
    <row r="229" ht="24.0" customHeight="1"/>
    <row r="230" ht="24.0" customHeight="1"/>
    <row r="231" ht="24.0" customHeight="1"/>
    <row r="232" ht="24.0" customHeight="1"/>
    <row r="233" ht="24.0" customHeight="1"/>
    <row r="234" ht="24.0" customHeight="1"/>
    <row r="235" ht="24.0" customHeight="1"/>
    <row r="236" ht="24.0" customHeight="1"/>
    <row r="237" ht="24.0" customHeight="1"/>
    <row r="238" ht="24.0" customHeight="1"/>
    <row r="239" ht="24.0" customHeight="1"/>
    <row r="240" ht="24.0" customHeight="1"/>
    <row r="241" ht="24.0" customHeight="1"/>
    <row r="242" ht="24.0" customHeight="1"/>
    <row r="243" ht="24.0" customHeight="1"/>
    <row r="244" ht="24.0" customHeight="1"/>
    <row r="245" ht="24.0" customHeight="1"/>
    <row r="246" ht="24.0" customHeight="1"/>
    <row r="247" ht="24.0" customHeight="1"/>
    <row r="248" ht="24.0" customHeight="1"/>
    <row r="249" ht="24.0" customHeight="1"/>
    <row r="250" ht="24.0" customHeight="1"/>
    <row r="251" ht="24.0" customHeight="1"/>
    <row r="252" ht="24.0" customHeight="1"/>
    <row r="253" ht="24.0" customHeight="1"/>
    <row r="254" ht="24.0" customHeight="1"/>
    <row r="255" ht="24.0" customHeight="1"/>
    <row r="256" ht="24.0" customHeight="1"/>
    <row r="257" ht="24.0" customHeight="1"/>
    <row r="258" ht="24.0" customHeight="1"/>
    <row r="259" ht="24.0" customHeight="1"/>
    <row r="260" ht="24.0" customHeight="1"/>
    <row r="261" ht="24.0" customHeight="1"/>
    <row r="262" ht="24.0" customHeight="1"/>
    <row r="263" ht="24.0" customHeight="1"/>
    <row r="264" ht="24.0" customHeight="1"/>
    <row r="265" ht="24.0" customHeight="1"/>
    <row r="266" ht="24.0" customHeight="1"/>
    <row r="267" ht="24.0" customHeight="1"/>
    <row r="268" ht="24.0" customHeight="1"/>
    <row r="269" ht="24.0" customHeight="1"/>
    <row r="270" ht="24.0" customHeight="1"/>
    <row r="271" ht="24.0" customHeight="1"/>
    <row r="272" ht="24.0" customHeight="1"/>
    <row r="273" ht="24.0" customHeight="1"/>
    <row r="274" ht="24.0" customHeight="1"/>
    <row r="275" ht="24.0" customHeight="1"/>
    <row r="276" ht="24.0" customHeight="1"/>
    <row r="277" ht="24.0" customHeight="1"/>
    <row r="278" ht="24.0" customHeight="1"/>
    <row r="279" ht="24.0" customHeight="1"/>
    <row r="280" ht="24.0" customHeight="1"/>
    <row r="281" ht="24.0" customHeight="1"/>
    <row r="282" ht="24.0" customHeight="1"/>
    <row r="283" ht="24.0" customHeight="1"/>
    <row r="284" ht="24.0" customHeight="1"/>
    <row r="285" ht="24.0" customHeight="1"/>
    <row r="286" ht="24.0" customHeight="1"/>
    <row r="287" ht="24.0" customHeight="1"/>
    <row r="288" ht="24.0" customHeight="1"/>
    <row r="289" ht="24.0" customHeight="1"/>
    <row r="290" ht="24.0" customHeight="1"/>
    <row r="291" ht="24.0" customHeight="1"/>
    <row r="292" ht="24.0" customHeight="1"/>
    <row r="293" ht="24.0" customHeight="1"/>
    <row r="294" ht="24.0" customHeight="1"/>
    <row r="295" ht="24.0" customHeight="1"/>
    <row r="296" ht="24.0" customHeight="1"/>
    <row r="297" ht="24.0" customHeight="1"/>
    <row r="298" ht="24.0" customHeight="1"/>
    <row r="299" ht="24.0" customHeight="1"/>
    <row r="300" ht="24.0" customHeight="1"/>
    <row r="301" ht="24.0" customHeight="1"/>
    <row r="302" ht="24.0" customHeight="1"/>
    <row r="303" ht="24.0" customHeight="1"/>
    <row r="304" ht="24.0" customHeight="1"/>
    <row r="305" ht="24.0" customHeight="1"/>
    <row r="306" ht="24.0" customHeight="1"/>
    <row r="307" ht="24.0" customHeight="1"/>
    <row r="308" ht="24.0" customHeight="1"/>
    <row r="309" ht="24.0" customHeight="1"/>
    <row r="310" ht="24.0" customHeight="1"/>
    <row r="311" ht="24.0" customHeight="1"/>
    <row r="312" ht="24.0" customHeight="1"/>
    <row r="313" ht="24.0" customHeight="1"/>
    <row r="314" ht="24.0" customHeight="1"/>
    <row r="315" ht="24.0" customHeight="1"/>
    <row r="316" ht="24.0" customHeight="1"/>
    <row r="317" ht="24.0" customHeight="1"/>
    <row r="318" ht="24.0" customHeight="1"/>
    <row r="319" ht="24.0" customHeight="1"/>
    <row r="320" ht="24.0" customHeight="1"/>
    <row r="321" ht="24.0" customHeight="1"/>
    <row r="322" ht="24.0" customHeight="1"/>
    <row r="323" ht="24.0" customHeight="1"/>
    <row r="324" ht="24.0" customHeight="1"/>
    <row r="325" ht="24.0" customHeight="1"/>
    <row r="326" ht="24.0" customHeight="1"/>
    <row r="327" ht="24.0" customHeight="1"/>
    <row r="328" ht="24.0" customHeight="1"/>
    <row r="329" ht="24.0" customHeight="1"/>
    <row r="330" ht="24.0" customHeight="1"/>
    <row r="331" ht="24.0" customHeight="1"/>
    <row r="332" ht="24.0" customHeight="1"/>
    <row r="333" ht="24.0" customHeight="1"/>
    <row r="334" ht="24.0" customHeight="1"/>
    <row r="335" ht="24.0" customHeight="1"/>
    <row r="336" ht="24.0" customHeight="1"/>
    <row r="337" ht="24.0" customHeight="1"/>
    <row r="338" ht="24.0" customHeight="1"/>
    <row r="339" ht="24.0" customHeight="1"/>
    <row r="340" ht="24.0" customHeight="1"/>
    <row r="341" ht="24.0" customHeight="1"/>
    <row r="342" ht="24.0" customHeight="1"/>
    <row r="343" ht="24.0" customHeight="1"/>
    <row r="344" ht="24.0" customHeight="1"/>
    <row r="345" ht="24.0" customHeight="1"/>
    <row r="346" ht="24.0" customHeight="1"/>
    <row r="347" ht="24.0" customHeight="1"/>
    <row r="348" ht="24.0" customHeight="1"/>
    <row r="349" ht="24.0" customHeight="1"/>
    <row r="350" ht="24.0" customHeight="1"/>
    <row r="351" ht="24.0" customHeight="1"/>
    <row r="352" ht="24.0" customHeight="1"/>
    <row r="353" ht="24.0" customHeight="1"/>
    <row r="354" ht="24.0" customHeight="1"/>
    <row r="355" ht="24.0" customHeight="1"/>
    <row r="356" ht="24.0" customHeight="1"/>
    <row r="357" ht="24.0" customHeight="1"/>
    <row r="358" ht="24.0" customHeight="1"/>
    <row r="359" ht="24.0" customHeight="1"/>
    <row r="360" ht="24.0" customHeight="1"/>
    <row r="361" ht="24.0" customHeight="1"/>
    <row r="362" ht="24.0" customHeight="1"/>
    <row r="363" ht="24.0" customHeight="1"/>
    <row r="364" ht="24.0" customHeight="1"/>
    <row r="365" ht="24.0" customHeight="1"/>
    <row r="366" ht="24.0" customHeight="1"/>
    <row r="367" ht="24.0" customHeight="1"/>
    <row r="368" ht="24.0" customHeight="1"/>
    <row r="369" ht="24.0" customHeight="1"/>
    <row r="370" ht="24.0" customHeight="1"/>
    <row r="371" ht="24.0" customHeight="1"/>
    <row r="372" ht="24.0" customHeight="1"/>
    <row r="373" ht="24.0" customHeight="1"/>
    <row r="374" ht="24.0" customHeight="1"/>
    <row r="375" ht="24.0" customHeight="1"/>
    <row r="376" ht="24.0" customHeight="1"/>
    <row r="377" ht="24.0" customHeight="1"/>
    <row r="378" ht="24.0" customHeight="1"/>
    <row r="379" ht="24.0" customHeight="1"/>
    <row r="380" ht="24.0" customHeight="1"/>
    <row r="381" ht="24.0" customHeight="1"/>
    <row r="382" ht="24.0" customHeight="1"/>
    <row r="383" ht="24.0" customHeight="1"/>
    <row r="384" ht="24.0" customHeight="1"/>
    <row r="385" ht="24.0" customHeight="1"/>
    <row r="386" ht="24.0" customHeight="1"/>
    <row r="387" ht="24.0" customHeight="1"/>
    <row r="388" ht="24.0" customHeight="1"/>
    <row r="389" ht="24.0" customHeight="1"/>
    <row r="390" ht="24.0" customHeight="1"/>
    <row r="391" ht="24.0" customHeight="1"/>
    <row r="392" ht="24.0" customHeight="1"/>
    <row r="393" ht="24.0" customHeight="1"/>
    <row r="394" ht="24.0" customHeight="1"/>
    <row r="395" ht="24.0" customHeight="1"/>
    <row r="396" ht="24.0" customHeight="1"/>
    <row r="397" ht="24.0" customHeight="1"/>
    <row r="398" ht="24.0" customHeight="1"/>
    <row r="399" ht="24.0" customHeight="1"/>
    <row r="400" ht="24.0" customHeight="1"/>
    <row r="401" ht="24.0" customHeight="1"/>
    <row r="402" ht="24.0" customHeight="1"/>
    <row r="403" ht="24.0" customHeight="1"/>
    <row r="404" ht="24.0" customHeight="1"/>
    <row r="405" ht="24.0" customHeight="1"/>
    <row r="406" ht="24.0" customHeight="1"/>
    <row r="407" ht="24.0" customHeight="1"/>
    <row r="408" ht="24.0" customHeight="1"/>
    <row r="409" ht="24.0" customHeight="1"/>
    <row r="410" ht="24.0" customHeight="1"/>
    <row r="411" ht="24.0" customHeight="1"/>
    <row r="412" ht="24.0" customHeight="1"/>
    <row r="413" ht="24.0" customHeight="1"/>
    <row r="414" ht="24.0" customHeight="1"/>
    <row r="415" ht="24.0" customHeight="1"/>
    <row r="416" ht="24.0" customHeight="1"/>
    <row r="417" ht="24.0" customHeight="1"/>
    <row r="418" ht="24.0" customHeight="1"/>
    <row r="419" ht="24.0" customHeight="1"/>
    <row r="420" ht="24.0" customHeight="1"/>
    <row r="421" ht="24.0" customHeight="1"/>
    <row r="422" ht="24.0" customHeight="1"/>
    <row r="423" ht="24.0" customHeight="1"/>
    <row r="424" ht="24.0" customHeight="1"/>
    <row r="425" ht="24.0" customHeight="1"/>
    <row r="426" ht="24.0" customHeight="1"/>
    <row r="427" ht="24.0" customHeight="1"/>
    <row r="428" ht="24.0" customHeight="1"/>
    <row r="429" ht="24.0" customHeight="1"/>
    <row r="430" ht="24.0" customHeight="1"/>
    <row r="431" ht="24.0" customHeight="1"/>
    <row r="432" ht="24.0" customHeight="1"/>
    <row r="433" ht="24.0" customHeight="1"/>
    <row r="434" ht="24.0" customHeight="1"/>
    <row r="435" ht="24.0" customHeight="1"/>
    <row r="436" ht="24.0" customHeight="1"/>
    <row r="437" ht="24.0" customHeight="1"/>
    <row r="438" ht="24.0" customHeight="1"/>
    <row r="439" ht="24.0" customHeight="1"/>
    <row r="440" ht="24.0" customHeight="1"/>
    <row r="441" ht="24.0" customHeight="1"/>
    <row r="442" ht="24.0" customHeight="1"/>
    <row r="443" ht="24.0" customHeight="1"/>
    <row r="444" ht="24.0" customHeight="1"/>
    <row r="445" ht="24.0" customHeight="1"/>
    <row r="446" ht="24.0" customHeight="1"/>
    <row r="447" ht="24.0" customHeight="1"/>
    <row r="448" ht="24.0" customHeight="1"/>
    <row r="449" ht="24.0" customHeight="1"/>
    <row r="450" ht="24.0" customHeight="1"/>
    <row r="451" ht="24.0" customHeight="1"/>
    <row r="452" ht="24.0" customHeight="1"/>
    <row r="453" ht="24.0" customHeight="1"/>
    <row r="454" ht="24.0" customHeight="1"/>
    <row r="455" ht="24.0" customHeight="1"/>
    <row r="456" ht="24.0" customHeight="1"/>
    <row r="457" ht="24.0" customHeight="1"/>
    <row r="458" ht="24.0" customHeight="1"/>
    <row r="459" ht="24.0" customHeight="1"/>
    <row r="460" ht="24.0" customHeight="1"/>
    <row r="461" ht="24.0" customHeight="1"/>
    <row r="462" ht="24.0" customHeight="1"/>
    <row r="463" ht="24.0" customHeight="1"/>
    <row r="464" ht="24.0" customHeight="1"/>
    <row r="465" ht="24.0" customHeight="1"/>
    <row r="466" ht="24.0" customHeight="1"/>
    <row r="467" ht="24.0" customHeight="1"/>
    <row r="468" ht="24.0" customHeight="1"/>
    <row r="469" ht="24.0" customHeight="1"/>
    <row r="470" ht="24.0" customHeight="1"/>
    <row r="471" ht="24.0" customHeight="1"/>
    <row r="472" ht="24.0" customHeight="1"/>
    <row r="473" ht="24.0" customHeight="1"/>
    <row r="474" ht="24.0" customHeight="1"/>
    <row r="475" ht="24.0" customHeight="1"/>
    <row r="476" ht="24.0" customHeight="1"/>
    <row r="477" ht="24.0" customHeight="1"/>
    <row r="478" ht="24.0" customHeight="1"/>
    <row r="479" ht="24.0" customHeight="1"/>
    <row r="480" ht="24.0" customHeight="1"/>
    <row r="481" ht="24.0" customHeight="1"/>
    <row r="482" ht="24.0" customHeight="1"/>
    <row r="483" ht="24.0" customHeight="1"/>
    <row r="484" ht="24.0" customHeight="1"/>
    <row r="485" ht="24.0" customHeight="1"/>
    <row r="486" ht="24.0" customHeight="1"/>
    <row r="487" ht="24.0" customHeight="1"/>
    <row r="488" ht="24.0" customHeight="1"/>
    <row r="489" ht="24.0" customHeight="1"/>
    <row r="490" ht="24.0" customHeight="1"/>
    <row r="491" ht="24.0" customHeight="1"/>
    <row r="492" ht="24.0" customHeight="1"/>
    <row r="493" ht="24.0" customHeight="1"/>
    <row r="494" ht="24.0" customHeight="1"/>
    <row r="495" ht="24.0" customHeight="1"/>
    <row r="496" ht="24.0" customHeight="1"/>
    <row r="497" ht="24.0" customHeight="1"/>
    <row r="498" ht="24.0" customHeight="1"/>
    <row r="499" ht="24.0" customHeight="1"/>
    <row r="500" ht="24.0" customHeight="1"/>
    <row r="501" ht="24.0" customHeight="1"/>
    <row r="502" ht="24.0" customHeight="1"/>
    <row r="503" ht="24.0" customHeight="1"/>
    <row r="504" ht="24.0" customHeight="1"/>
    <row r="505" ht="24.0" customHeight="1"/>
    <row r="506" ht="24.0" customHeight="1"/>
    <row r="507" ht="24.0" customHeight="1"/>
    <row r="508" ht="24.0" customHeight="1"/>
    <row r="509" ht="24.0" customHeight="1"/>
    <row r="510" ht="24.0" customHeight="1"/>
    <row r="511" ht="24.0" customHeight="1"/>
    <row r="512" ht="24.0" customHeight="1"/>
    <row r="513" ht="24.0" customHeight="1"/>
    <row r="514" ht="24.0" customHeight="1"/>
    <row r="515" ht="24.0" customHeight="1"/>
    <row r="516" ht="24.0" customHeight="1"/>
    <row r="517" ht="24.0" customHeight="1"/>
    <row r="518" ht="24.0" customHeight="1"/>
    <row r="519" ht="24.0" customHeight="1"/>
    <row r="520" ht="24.0" customHeight="1"/>
    <row r="521" ht="24.0" customHeight="1"/>
    <row r="522" ht="24.0" customHeight="1"/>
    <row r="523" ht="24.0" customHeight="1"/>
    <row r="524" ht="24.0" customHeight="1"/>
    <row r="525" ht="24.0" customHeight="1"/>
    <row r="526" ht="24.0" customHeight="1"/>
    <row r="527" ht="24.0" customHeight="1"/>
    <row r="528" ht="24.0" customHeight="1"/>
    <row r="529" ht="24.0" customHeight="1"/>
    <row r="530" ht="24.0" customHeight="1"/>
    <row r="531" ht="24.0" customHeight="1"/>
    <row r="532" ht="24.0" customHeight="1"/>
    <row r="533" ht="24.0" customHeight="1"/>
    <row r="534" ht="24.0" customHeight="1"/>
    <row r="535" ht="24.0" customHeight="1"/>
    <row r="536" ht="24.0" customHeight="1"/>
    <row r="537" ht="24.0" customHeight="1"/>
    <row r="538" ht="24.0" customHeight="1"/>
    <row r="539" ht="24.0" customHeight="1"/>
    <row r="540" ht="24.0" customHeight="1"/>
    <row r="541" ht="24.0" customHeight="1"/>
    <row r="542" ht="24.0" customHeight="1"/>
    <row r="543" ht="24.0" customHeight="1"/>
    <row r="544" ht="24.0" customHeight="1"/>
    <row r="545" ht="24.0" customHeight="1"/>
    <row r="546" ht="24.0" customHeight="1"/>
    <row r="547" ht="24.0" customHeight="1"/>
    <row r="548" ht="24.0" customHeight="1"/>
    <row r="549" ht="24.0" customHeight="1"/>
    <row r="550" ht="24.0" customHeight="1"/>
    <row r="551" ht="24.0" customHeight="1"/>
    <row r="552" ht="24.0" customHeight="1"/>
    <row r="553" ht="24.0" customHeight="1"/>
    <row r="554" ht="24.0" customHeight="1"/>
    <row r="555" ht="24.0" customHeight="1"/>
    <row r="556" ht="24.0" customHeight="1"/>
    <row r="557" ht="24.0" customHeight="1"/>
    <row r="558" ht="24.0" customHeight="1"/>
    <row r="559" ht="24.0" customHeight="1"/>
    <row r="560" ht="24.0" customHeight="1"/>
    <row r="561" ht="24.0" customHeight="1"/>
    <row r="562" ht="24.0" customHeight="1"/>
    <row r="563" ht="24.0" customHeight="1"/>
    <row r="564" ht="24.0" customHeight="1"/>
    <row r="565" ht="24.0" customHeight="1"/>
    <row r="566" ht="24.0" customHeight="1"/>
    <row r="567" ht="24.0" customHeight="1"/>
    <row r="568" ht="24.0" customHeight="1"/>
    <row r="569" ht="24.0" customHeight="1"/>
    <row r="570" ht="24.0" customHeight="1"/>
    <row r="571" ht="24.0" customHeight="1"/>
    <row r="572" ht="24.0" customHeight="1"/>
    <row r="573" ht="24.0" customHeight="1"/>
    <row r="574" ht="24.0" customHeight="1"/>
    <row r="575" ht="24.0" customHeight="1"/>
    <row r="576" ht="24.0" customHeight="1"/>
    <row r="577" ht="24.0" customHeight="1"/>
    <row r="578" ht="24.0" customHeight="1"/>
    <row r="579" ht="24.0" customHeight="1"/>
    <row r="580" ht="24.0" customHeight="1"/>
    <row r="581" ht="24.0" customHeight="1"/>
    <row r="582" ht="24.0" customHeight="1"/>
    <row r="583" ht="24.0" customHeight="1"/>
    <row r="584" ht="24.0" customHeight="1"/>
    <row r="585" ht="24.0" customHeight="1"/>
    <row r="586" ht="24.0" customHeight="1"/>
    <row r="587" ht="24.0" customHeight="1"/>
    <row r="588" ht="24.0" customHeight="1"/>
    <row r="589" ht="24.0" customHeight="1"/>
    <row r="590" ht="24.0" customHeight="1"/>
    <row r="591" ht="24.0" customHeight="1"/>
    <row r="592" ht="24.0" customHeight="1"/>
    <row r="593" ht="24.0" customHeight="1"/>
    <row r="594" ht="24.0" customHeight="1"/>
    <row r="595" ht="24.0" customHeight="1"/>
    <row r="596" ht="24.0" customHeight="1"/>
    <row r="597" ht="24.0" customHeight="1"/>
    <row r="598" ht="24.0" customHeight="1"/>
    <row r="599" ht="24.0" customHeight="1"/>
    <row r="600" ht="24.0" customHeight="1"/>
    <row r="601" ht="24.0" customHeight="1"/>
    <row r="602" ht="24.0" customHeight="1"/>
    <row r="603" ht="24.0" customHeight="1"/>
    <row r="604" ht="24.0" customHeight="1"/>
    <row r="605" ht="24.0" customHeight="1"/>
    <row r="606" ht="24.0" customHeight="1"/>
    <row r="607" ht="24.0" customHeight="1"/>
    <row r="608" ht="24.0" customHeight="1"/>
    <row r="609" ht="24.0" customHeight="1"/>
    <row r="610" ht="24.0" customHeight="1"/>
    <row r="611" ht="24.0" customHeight="1"/>
    <row r="612" ht="24.0" customHeight="1"/>
    <row r="613" ht="24.0" customHeight="1"/>
    <row r="614" ht="24.0" customHeight="1"/>
    <row r="615" ht="24.0" customHeight="1"/>
    <row r="616" ht="24.0" customHeight="1"/>
    <row r="617" ht="24.0" customHeight="1"/>
    <row r="618" ht="24.0" customHeight="1"/>
    <row r="619" ht="24.0" customHeight="1"/>
    <row r="620" ht="24.0" customHeight="1"/>
    <row r="621" ht="24.0" customHeight="1"/>
    <row r="622" ht="24.0" customHeight="1"/>
    <row r="623" ht="24.0" customHeight="1"/>
    <row r="624" ht="24.0" customHeight="1"/>
    <row r="625" ht="24.0" customHeight="1"/>
    <row r="626" ht="24.0" customHeight="1"/>
    <row r="627" ht="24.0" customHeight="1"/>
    <row r="628" ht="24.0" customHeight="1"/>
    <row r="629" ht="24.0" customHeight="1"/>
    <row r="630" ht="24.0" customHeight="1"/>
    <row r="631" ht="24.0" customHeight="1"/>
    <row r="632" ht="24.0" customHeight="1"/>
    <row r="633" ht="24.0" customHeight="1"/>
    <row r="634" ht="24.0" customHeight="1"/>
    <row r="635" ht="24.0" customHeight="1"/>
    <row r="636" ht="24.0" customHeight="1"/>
    <row r="637" ht="24.0" customHeight="1"/>
    <row r="638" ht="24.0" customHeight="1"/>
    <row r="639" ht="24.0" customHeight="1"/>
    <row r="640" ht="24.0" customHeight="1"/>
    <row r="641" ht="24.0" customHeight="1"/>
    <row r="642" ht="24.0" customHeight="1"/>
    <row r="643" ht="24.0" customHeight="1"/>
    <row r="644" ht="24.0" customHeight="1"/>
    <row r="645" ht="24.0" customHeight="1"/>
    <row r="646" ht="24.0" customHeight="1"/>
    <row r="647" ht="24.0" customHeight="1"/>
    <row r="648" ht="24.0" customHeight="1"/>
    <row r="649" ht="24.0" customHeight="1"/>
    <row r="650" ht="24.0" customHeight="1"/>
    <row r="651" ht="24.0" customHeight="1"/>
    <row r="652" ht="24.0" customHeight="1"/>
    <row r="653" ht="24.0" customHeight="1"/>
    <row r="654" ht="24.0" customHeight="1"/>
    <row r="655" ht="24.0" customHeight="1"/>
    <row r="656" ht="24.0" customHeight="1"/>
    <row r="657" ht="24.0" customHeight="1"/>
    <row r="658" ht="24.0" customHeight="1"/>
    <row r="659" ht="24.0" customHeight="1"/>
    <row r="660" ht="24.0" customHeight="1"/>
    <row r="661" ht="24.0" customHeight="1"/>
    <row r="662" ht="24.0" customHeight="1"/>
    <row r="663" ht="24.0" customHeight="1"/>
    <row r="664" ht="24.0" customHeight="1"/>
    <row r="665" ht="24.0" customHeight="1"/>
    <row r="666" ht="24.0" customHeight="1"/>
    <row r="667" ht="24.0" customHeight="1"/>
    <row r="668" ht="24.0" customHeight="1"/>
    <row r="669" ht="24.0" customHeight="1"/>
    <row r="670" ht="24.0" customHeight="1"/>
    <row r="671" ht="24.0" customHeight="1"/>
    <row r="672" ht="24.0" customHeight="1"/>
    <row r="673" ht="24.0" customHeight="1"/>
    <row r="674" ht="24.0" customHeight="1"/>
    <row r="675" ht="24.0" customHeight="1"/>
    <row r="676" ht="24.0" customHeight="1"/>
    <row r="677" ht="24.0" customHeight="1"/>
    <row r="678" ht="24.0" customHeight="1"/>
    <row r="679" ht="24.0" customHeight="1"/>
    <row r="680" ht="24.0" customHeight="1"/>
    <row r="681" ht="24.0" customHeight="1"/>
    <row r="682" ht="24.0" customHeight="1"/>
    <row r="683" ht="24.0" customHeight="1"/>
    <row r="684" ht="24.0" customHeight="1"/>
    <row r="685" ht="24.0" customHeight="1"/>
    <row r="686" ht="24.0" customHeight="1"/>
    <row r="687" ht="24.0" customHeight="1"/>
    <row r="688" ht="24.0" customHeight="1"/>
    <row r="689" ht="24.0" customHeight="1"/>
    <row r="690" ht="24.0" customHeight="1"/>
    <row r="691" ht="24.0" customHeight="1"/>
    <row r="692" ht="24.0" customHeight="1"/>
    <row r="693" ht="24.0" customHeight="1"/>
    <row r="694" ht="24.0" customHeight="1"/>
    <row r="695" ht="24.0" customHeight="1"/>
    <row r="696" ht="24.0" customHeight="1"/>
    <row r="697" ht="24.0" customHeight="1"/>
    <row r="698" ht="24.0" customHeight="1"/>
    <row r="699" ht="24.0" customHeight="1"/>
    <row r="700" ht="24.0" customHeight="1"/>
    <row r="701" ht="24.0" customHeight="1"/>
    <row r="702" ht="24.0" customHeight="1"/>
    <row r="703" ht="24.0" customHeight="1"/>
    <row r="704" ht="24.0" customHeight="1"/>
    <row r="705" ht="24.0" customHeight="1"/>
    <row r="706" ht="24.0" customHeight="1"/>
    <row r="707" ht="24.0" customHeight="1"/>
    <row r="708" ht="24.0" customHeight="1"/>
    <row r="709" ht="24.0" customHeight="1"/>
    <row r="710" ht="24.0" customHeight="1"/>
    <row r="711" ht="24.0" customHeight="1"/>
    <row r="712" ht="24.0" customHeight="1"/>
    <row r="713" ht="24.0" customHeight="1"/>
    <row r="714" ht="24.0" customHeight="1"/>
    <row r="715" ht="24.0" customHeight="1"/>
    <row r="716" ht="24.0" customHeight="1"/>
    <row r="717" ht="24.0" customHeight="1"/>
    <row r="718" ht="24.0" customHeight="1"/>
    <row r="719" ht="24.0" customHeight="1"/>
    <row r="720" ht="24.0" customHeight="1"/>
    <row r="721" ht="24.0" customHeight="1"/>
    <row r="722" ht="24.0" customHeight="1"/>
    <row r="723" ht="24.0" customHeight="1"/>
    <row r="724" ht="24.0" customHeight="1"/>
    <row r="725" ht="24.0" customHeight="1"/>
    <row r="726" ht="24.0" customHeight="1"/>
    <row r="727" ht="24.0" customHeight="1"/>
    <row r="728" ht="24.0" customHeight="1"/>
    <row r="729" ht="24.0" customHeight="1"/>
    <row r="730" ht="24.0" customHeight="1"/>
    <row r="731" ht="24.0" customHeight="1"/>
    <row r="732" ht="24.0" customHeight="1"/>
    <row r="733" ht="24.0" customHeight="1"/>
    <row r="734" ht="24.0" customHeight="1"/>
    <row r="735" ht="24.0" customHeight="1"/>
    <row r="736" ht="24.0" customHeight="1"/>
    <row r="737" ht="24.0" customHeight="1"/>
    <row r="738" ht="24.0" customHeight="1"/>
    <row r="739" ht="24.0" customHeight="1"/>
    <row r="740" ht="24.0" customHeight="1"/>
    <row r="741" ht="24.0" customHeight="1"/>
    <row r="742" ht="24.0" customHeight="1"/>
    <row r="743" ht="24.0" customHeight="1"/>
    <row r="744" ht="24.0" customHeight="1"/>
    <row r="745" ht="24.0" customHeight="1"/>
    <row r="746" ht="24.0" customHeight="1"/>
    <row r="747" ht="24.0" customHeight="1"/>
    <row r="748" ht="24.0" customHeight="1"/>
    <row r="749" ht="24.0" customHeight="1"/>
    <row r="750" ht="24.0" customHeight="1"/>
    <row r="751" ht="24.0" customHeight="1"/>
    <row r="752" ht="24.0" customHeight="1"/>
    <row r="753" ht="24.0" customHeight="1"/>
    <row r="754" ht="24.0" customHeight="1"/>
    <row r="755" ht="24.0" customHeight="1"/>
    <row r="756" ht="24.0" customHeight="1"/>
    <row r="757" ht="24.0" customHeight="1"/>
    <row r="758" ht="24.0" customHeight="1"/>
    <row r="759" ht="24.0" customHeight="1"/>
    <row r="760" ht="24.0" customHeight="1"/>
    <row r="761" ht="24.0" customHeight="1"/>
    <row r="762" ht="24.0" customHeight="1"/>
    <row r="763" ht="24.0" customHeight="1"/>
    <row r="764" ht="24.0" customHeight="1"/>
    <row r="765" ht="24.0" customHeight="1"/>
    <row r="766" ht="24.0" customHeight="1"/>
    <row r="767" ht="24.0" customHeight="1"/>
    <row r="768" ht="24.0" customHeight="1"/>
    <row r="769" ht="24.0" customHeight="1"/>
    <row r="770" ht="24.0" customHeight="1"/>
    <row r="771" ht="24.0" customHeight="1"/>
    <row r="772" ht="24.0" customHeight="1"/>
    <row r="773" ht="24.0" customHeight="1"/>
    <row r="774" ht="24.0" customHeight="1"/>
    <row r="775" ht="24.0" customHeight="1"/>
    <row r="776" ht="24.0" customHeight="1"/>
    <row r="777" ht="24.0" customHeight="1"/>
    <row r="778" ht="24.0" customHeight="1"/>
    <row r="779" ht="24.0" customHeight="1"/>
    <row r="780" ht="24.0" customHeight="1"/>
    <row r="781" ht="24.0" customHeight="1"/>
    <row r="782" ht="24.0" customHeight="1"/>
    <row r="783" ht="24.0" customHeight="1"/>
    <row r="784" ht="24.0" customHeight="1"/>
    <row r="785" ht="24.0" customHeight="1"/>
    <row r="786" ht="24.0" customHeight="1"/>
    <row r="787" ht="24.0" customHeight="1"/>
    <row r="788" ht="24.0" customHeight="1"/>
    <row r="789" ht="24.0" customHeight="1"/>
    <row r="790" ht="24.0" customHeight="1"/>
    <row r="791" ht="24.0" customHeight="1"/>
    <row r="792" ht="24.0" customHeight="1"/>
    <row r="793" ht="24.0" customHeight="1"/>
    <row r="794" ht="24.0" customHeight="1"/>
    <row r="795" ht="24.0" customHeight="1"/>
    <row r="796" ht="24.0" customHeight="1"/>
    <row r="797" ht="24.0" customHeight="1"/>
    <row r="798" ht="24.0" customHeight="1"/>
    <row r="799" ht="24.0" customHeight="1"/>
    <row r="800" ht="24.0" customHeight="1"/>
    <row r="801" ht="24.0" customHeight="1"/>
    <row r="802" ht="24.0" customHeight="1"/>
    <row r="803" ht="24.0" customHeight="1"/>
    <row r="804" ht="24.0" customHeight="1"/>
    <row r="805" ht="24.0" customHeight="1"/>
    <row r="806" ht="24.0" customHeight="1"/>
    <row r="807" ht="24.0" customHeight="1"/>
    <row r="808" ht="24.0" customHeight="1"/>
    <row r="809" ht="24.0" customHeight="1"/>
    <row r="810" ht="24.0" customHeight="1"/>
    <row r="811" ht="24.0" customHeight="1"/>
    <row r="812" ht="24.0" customHeight="1"/>
    <row r="813" ht="24.0" customHeight="1"/>
    <row r="814" ht="24.0" customHeight="1"/>
    <row r="815" ht="24.0" customHeight="1"/>
    <row r="816" ht="24.0" customHeight="1"/>
    <row r="817" ht="24.0" customHeight="1"/>
    <row r="818" ht="24.0" customHeight="1"/>
    <row r="819" ht="24.0" customHeight="1"/>
    <row r="820" ht="24.0" customHeight="1"/>
    <row r="821" ht="24.0" customHeight="1"/>
    <row r="822" ht="24.0" customHeight="1"/>
    <row r="823" ht="24.0" customHeight="1"/>
    <row r="824" ht="24.0" customHeight="1"/>
    <row r="825" ht="24.0" customHeight="1"/>
    <row r="826" ht="24.0" customHeight="1"/>
    <row r="827" ht="24.0" customHeight="1"/>
    <row r="828" ht="24.0" customHeight="1"/>
    <row r="829" ht="24.0" customHeight="1"/>
    <row r="830" ht="24.0" customHeight="1"/>
    <row r="831" ht="24.0" customHeight="1"/>
    <row r="832" ht="24.0" customHeight="1"/>
    <row r="833" ht="24.0" customHeight="1"/>
    <row r="834" ht="24.0" customHeight="1"/>
    <row r="835" ht="24.0" customHeight="1"/>
    <row r="836" ht="24.0" customHeight="1"/>
    <row r="837" ht="24.0" customHeight="1"/>
    <row r="838" ht="24.0" customHeight="1"/>
    <row r="839" ht="24.0" customHeight="1"/>
    <row r="840" ht="24.0" customHeight="1"/>
    <row r="841" ht="24.0" customHeight="1"/>
    <row r="842" ht="24.0" customHeight="1"/>
    <row r="843" ht="24.0" customHeight="1"/>
    <row r="844" ht="24.0" customHeight="1"/>
    <row r="845" ht="24.0" customHeight="1"/>
    <row r="846" ht="24.0" customHeight="1"/>
    <row r="847" ht="24.0" customHeight="1"/>
    <row r="848" ht="24.0" customHeight="1"/>
    <row r="849" ht="24.0" customHeight="1"/>
    <row r="850" ht="24.0" customHeight="1"/>
    <row r="851" ht="24.0" customHeight="1"/>
    <row r="852" ht="24.0" customHeight="1"/>
    <row r="853" ht="24.0" customHeight="1"/>
    <row r="854" ht="24.0" customHeight="1"/>
    <row r="855" ht="24.0" customHeight="1"/>
    <row r="856" ht="24.0" customHeight="1"/>
    <row r="857" ht="24.0" customHeight="1"/>
    <row r="858" ht="24.0" customHeight="1"/>
    <row r="859" ht="24.0" customHeight="1"/>
    <row r="860" ht="24.0" customHeight="1"/>
    <row r="861" ht="24.0" customHeight="1"/>
    <row r="862" ht="24.0" customHeight="1"/>
    <row r="863" ht="24.0" customHeight="1"/>
    <row r="864" ht="24.0" customHeight="1"/>
    <row r="865" ht="24.0" customHeight="1"/>
    <row r="866" ht="24.0" customHeight="1"/>
    <row r="867" ht="24.0" customHeight="1"/>
    <row r="868" ht="24.0" customHeight="1"/>
    <row r="869" ht="24.0" customHeight="1"/>
    <row r="870" ht="24.0" customHeight="1"/>
    <row r="871" ht="24.0" customHeight="1"/>
    <row r="872" ht="24.0" customHeight="1"/>
    <row r="873" ht="24.0" customHeight="1"/>
    <row r="874" ht="24.0" customHeight="1"/>
    <row r="875" ht="24.0" customHeight="1"/>
    <row r="876" ht="24.0" customHeight="1"/>
    <row r="877" ht="24.0" customHeight="1"/>
    <row r="878" ht="24.0" customHeight="1"/>
    <row r="879" ht="24.0" customHeight="1"/>
    <row r="880" ht="24.0" customHeight="1"/>
    <row r="881" ht="24.0" customHeight="1"/>
    <row r="882" ht="24.0" customHeight="1"/>
    <row r="883" ht="24.0" customHeight="1"/>
    <row r="884" ht="24.0" customHeight="1"/>
    <row r="885" ht="24.0" customHeight="1"/>
    <row r="886" ht="24.0" customHeight="1"/>
    <row r="887" ht="24.0" customHeight="1"/>
    <row r="888" ht="24.0" customHeight="1"/>
    <row r="889" ht="24.0" customHeight="1"/>
    <row r="890" ht="24.0" customHeight="1"/>
    <row r="891" ht="24.0" customHeight="1"/>
    <row r="892" ht="24.0" customHeight="1"/>
    <row r="893" ht="24.0" customHeight="1"/>
    <row r="894" ht="24.0" customHeight="1"/>
    <row r="895" ht="24.0" customHeight="1"/>
    <row r="896" ht="24.0" customHeight="1"/>
    <row r="897" ht="24.0" customHeight="1"/>
    <row r="898" ht="24.0" customHeight="1"/>
    <row r="899" ht="24.0" customHeight="1"/>
    <row r="900" ht="24.0" customHeight="1"/>
    <row r="901" ht="24.0" customHeight="1"/>
    <row r="902" ht="24.0" customHeight="1"/>
    <row r="903" ht="24.0" customHeight="1"/>
    <row r="904" ht="24.0" customHeight="1"/>
    <row r="905" ht="24.0" customHeight="1"/>
    <row r="906" ht="24.0" customHeight="1"/>
    <row r="907" ht="24.0" customHeight="1"/>
    <row r="908" ht="24.0" customHeight="1"/>
    <row r="909" ht="24.0" customHeight="1"/>
    <row r="910" ht="24.0" customHeight="1"/>
    <row r="911" ht="24.0" customHeight="1"/>
    <row r="912" ht="24.0" customHeight="1"/>
    <row r="913" ht="24.0" customHeight="1"/>
    <row r="914" ht="24.0" customHeight="1"/>
    <row r="915" ht="24.0" customHeight="1"/>
    <row r="916" ht="24.0" customHeight="1"/>
    <row r="917" ht="24.0" customHeight="1"/>
    <row r="918" ht="24.0" customHeight="1"/>
    <row r="919" ht="24.0" customHeight="1"/>
    <row r="920" ht="24.0" customHeight="1"/>
    <row r="921" ht="24.0" customHeight="1"/>
    <row r="922" ht="24.0" customHeight="1"/>
    <row r="923" ht="24.0" customHeight="1"/>
    <row r="924" ht="24.0" customHeight="1"/>
    <row r="925" ht="24.0" customHeight="1"/>
    <row r="926" ht="24.0" customHeight="1"/>
    <row r="927" ht="24.0" customHeight="1"/>
    <row r="928" ht="24.0" customHeight="1"/>
    <row r="929" ht="24.0" customHeight="1"/>
    <row r="930" ht="24.0" customHeight="1"/>
    <row r="931" ht="24.0" customHeight="1"/>
    <row r="932" ht="24.0" customHeight="1"/>
    <row r="933" ht="24.0" customHeight="1"/>
    <row r="934" ht="24.0" customHeight="1"/>
    <row r="935" ht="24.0" customHeight="1"/>
    <row r="936" ht="24.0" customHeight="1"/>
    <row r="937" ht="24.0" customHeight="1"/>
    <row r="938" ht="24.0" customHeight="1"/>
    <row r="939" ht="24.0" customHeight="1"/>
    <row r="940" ht="24.0" customHeight="1"/>
    <row r="941" ht="24.0" customHeight="1"/>
    <row r="942" ht="24.0" customHeight="1"/>
    <row r="943" ht="24.0" customHeight="1"/>
    <row r="944" ht="24.0" customHeight="1"/>
    <row r="945" ht="24.0" customHeight="1"/>
    <row r="946" ht="24.0" customHeight="1"/>
    <row r="947" ht="24.0" customHeight="1"/>
    <row r="948" ht="24.0" customHeight="1"/>
    <row r="949" ht="24.0" customHeight="1"/>
    <row r="950" ht="24.0" customHeight="1"/>
    <row r="951" ht="24.0" customHeight="1"/>
    <row r="952" ht="24.0" customHeight="1"/>
    <row r="953" ht="24.0" customHeight="1"/>
    <row r="954" ht="24.0" customHeight="1"/>
    <row r="955" ht="24.0" customHeight="1"/>
    <row r="956" ht="24.0" customHeight="1"/>
    <row r="957" ht="24.0" customHeight="1"/>
    <row r="958" ht="24.0" customHeight="1"/>
    <row r="959" ht="24.0" customHeight="1"/>
    <row r="960" ht="24.0" customHeight="1"/>
    <row r="961" ht="24.0" customHeight="1"/>
    <row r="962" ht="24.0" customHeight="1"/>
    <row r="963" ht="24.0" customHeight="1"/>
    <row r="964" ht="24.0" customHeight="1"/>
    <row r="965" ht="24.0" customHeight="1"/>
    <row r="966" ht="24.0" customHeight="1"/>
    <row r="967" ht="24.0" customHeight="1"/>
    <row r="968" ht="24.0" customHeight="1"/>
    <row r="969" ht="24.0" customHeight="1"/>
    <row r="970" ht="24.0" customHeight="1"/>
    <row r="971" ht="24.0" customHeight="1"/>
    <row r="972" ht="24.0" customHeight="1"/>
    <row r="973" ht="24.0" customHeight="1"/>
    <row r="974" ht="24.0" customHeight="1"/>
    <row r="975" ht="24.0" customHeight="1"/>
    <row r="976" ht="24.0" customHeight="1"/>
    <row r="977" ht="24.0" customHeight="1"/>
    <row r="978" ht="24.0" customHeight="1"/>
    <row r="979" ht="24.0" customHeight="1"/>
    <row r="980" ht="24.0" customHeight="1"/>
    <row r="981" ht="24.0" customHeight="1"/>
    <row r="982" ht="24.0" customHeight="1"/>
    <row r="983" ht="24.0" customHeight="1"/>
    <row r="984" ht="24.0" customHeight="1"/>
    <row r="985" ht="24.0" customHeight="1"/>
    <row r="986" ht="24.0" customHeight="1"/>
    <row r="987" ht="24.0" customHeight="1"/>
    <row r="988" ht="24.0" customHeight="1"/>
    <row r="989" ht="24.0" customHeight="1"/>
    <row r="990" ht="24.0" customHeight="1"/>
    <row r="991" ht="24.0" customHeight="1"/>
    <row r="992" ht="24.0" customHeight="1"/>
    <row r="993" ht="24.0" customHeight="1"/>
    <row r="994" ht="24.0" customHeight="1"/>
    <row r="995" ht="24.0" customHeight="1"/>
    <row r="996" ht="24.0" customHeight="1"/>
    <row r="997" ht="24.0" customHeight="1"/>
    <row r="998" ht="24.0" customHeight="1"/>
    <row r="999" ht="24.0" customHeight="1"/>
    <row r="1000" ht="24.0" customHeight="1"/>
  </sheetData>
  <mergeCells count="3">
    <mergeCell ref="B1:F1"/>
    <mergeCell ref="B13:F13"/>
    <mergeCell ref="B21:E21"/>
  </mergeCells>
  <conditionalFormatting sqref="E4">
    <cfRule type="expression" dxfId="0" priority="1">
      <formula>AND(ISNUMBER(E4),ROUND(E4,2)=INT(ROUND(E4,2)))</formula>
    </cfRule>
  </conditionalFormatting>
  <conditionalFormatting sqref="E4">
    <cfRule type="expression" dxfId="1" priority="2">
      <formula>AND(ISNUMBER(E4),ROUND(E4,2)&lt;&gt;INT(ROUND(E4,2)))</formula>
    </cfRule>
  </conditionalFormatting>
  <conditionalFormatting sqref="F4">
    <cfRule type="expression" dxfId="0" priority="3">
      <formula>AND(ISNUMBER(F4),ROUND(F4,2)=INT(ROUND(F4,2)))</formula>
    </cfRule>
  </conditionalFormatting>
  <conditionalFormatting sqref="F4">
    <cfRule type="expression" dxfId="1" priority="4">
      <formula>AND(ISNUMBER(F4),ROUND(F4,2)&lt;&gt;INT(ROUND(F4,2)))</formula>
    </cfRule>
  </conditionalFormatting>
  <conditionalFormatting sqref="E5">
    <cfRule type="expression" dxfId="0" priority="5">
      <formula>AND(ISNUMBER(E5),ROUND(E5,2)=INT(ROUND(E5,2)))</formula>
    </cfRule>
  </conditionalFormatting>
  <conditionalFormatting sqref="E5">
    <cfRule type="expression" dxfId="1" priority="6">
      <formula>AND(ISNUMBER(E5),ROUND(E5,2)&lt;&gt;INT(ROUND(E5,2)))</formula>
    </cfRule>
  </conditionalFormatting>
  <conditionalFormatting sqref="F5">
    <cfRule type="expression" dxfId="0" priority="7">
      <formula>AND(ISNUMBER(F5),ROUND(F5,2)=INT(ROUND(F5,2)))</formula>
    </cfRule>
  </conditionalFormatting>
  <conditionalFormatting sqref="F5">
    <cfRule type="expression" dxfId="1" priority="8">
      <formula>AND(ISNUMBER(F5),ROUND(F5,2)&lt;&gt;INT(ROUND(F5,2)))</formula>
    </cfRule>
  </conditionalFormatting>
  <conditionalFormatting sqref="E6">
    <cfRule type="expression" dxfId="0" priority="9">
      <formula>AND(ISNUMBER(E6),ROUND(E6,2)=INT(ROUND(E6,2)))</formula>
    </cfRule>
  </conditionalFormatting>
  <conditionalFormatting sqref="E6">
    <cfRule type="expression" dxfId="1" priority="10">
      <formula>AND(ISNUMBER(E6),ROUND(E6,2)&lt;&gt;INT(ROUND(E6,2)))</formula>
    </cfRule>
  </conditionalFormatting>
  <conditionalFormatting sqref="F6">
    <cfRule type="expression" dxfId="0" priority="11">
      <formula>AND(ISNUMBER(F6),ROUND(F6,2)=INT(ROUND(F6,2)))</formula>
    </cfRule>
  </conditionalFormatting>
  <conditionalFormatting sqref="F6">
    <cfRule type="expression" dxfId="1" priority="12">
      <formula>AND(ISNUMBER(F6),ROUND(F6,2)&lt;&gt;INT(ROUND(F6,2)))</formula>
    </cfRule>
  </conditionalFormatting>
  <conditionalFormatting sqref="E7">
    <cfRule type="expression" dxfId="0" priority="13">
      <formula>AND(ISNUMBER(E7),ROUND(E7,2)=INT(ROUND(E7,2)))</formula>
    </cfRule>
  </conditionalFormatting>
  <conditionalFormatting sqref="E7">
    <cfRule type="expression" dxfId="1" priority="14">
      <formula>AND(ISNUMBER(E7),ROUND(E7,2)&lt;&gt;INT(ROUND(E7,2)))</formula>
    </cfRule>
  </conditionalFormatting>
  <conditionalFormatting sqref="F7">
    <cfRule type="expression" dxfId="0" priority="15">
      <formula>AND(ISNUMBER(F7),ROUND(F7,2)=INT(ROUND(F7,2)))</formula>
    </cfRule>
  </conditionalFormatting>
  <conditionalFormatting sqref="F7">
    <cfRule type="expression" dxfId="1" priority="16">
      <formula>AND(ISNUMBER(F7),ROUND(F7,2)&lt;&gt;INT(ROUND(F7,2)))</formula>
    </cfRule>
  </conditionalFormatting>
  <conditionalFormatting sqref="E8">
    <cfRule type="expression" dxfId="0" priority="17">
      <formula>AND(ISNUMBER(E8),ROUND(E8,2)=INT(ROUND(E8,2)))</formula>
    </cfRule>
  </conditionalFormatting>
  <conditionalFormatting sqref="E8">
    <cfRule type="expression" dxfId="1" priority="18">
      <formula>AND(ISNUMBER(E8),ROUND(E8,2)&lt;&gt;INT(ROUND(E8,2)))</formula>
    </cfRule>
  </conditionalFormatting>
  <conditionalFormatting sqref="F8">
    <cfRule type="expression" dxfId="0" priority="19">
      <formula>AND(ISNUMBER(F8),ROUND(F8,2)=INT(ROUND(F8,2)))</formula>
    </cfRule>
  </conditionalFormatting>
  <conditionalFormatting sqref="F8">
    <cfRule type="expression" dxfId="1" priority="20">
      <formula>AND(ISNUMBER(F8),ROUND(F8,2)&lt;&gt;INT(ROUND(F8,2)))</formula>
    </cfRule>
  </conditionalFormatting>
  <conditionalFormatting sqref="E9">
    <cfRule type="expression" dxfId="0" priority="21">
      <formula>AND(ISNUMBER(E9),ROUND(E9,2)=INT(ROUND(E9,2)))</formula>
    </cfRule>
  </conditionalFormatting>
  <conditionalFormatting sqref="E9">
    <cfRule type="expression" dxfId="1" priority="22">
      <formula>AND(ISNUMBER(E9),ROUND(E9,2)&lt;&gt;INT(ROUND(E9,2)))</formula>
    </cfRule>
  </conditionalFormatting>
  <conditionalFormatting sqref="F9">
    <cfRule type="expression" dxfId="0" priority="23">
      <formula>AND(ISNUMBER(F9),ROUND(F9,2)=INT(ROUND(F9,2)))</formula>
    </cfRule>
  </conditionalFormatting>
  <conditionalFormatting sqref="F9">
    <cfRule type="expression" dxfId="1" priority="24">
      <formula>AND(ISNUMBER(F9),ROUND(F9,2)&lt;&gt;INT(ROUND(F9,2)))</formula>
    </cfRule>
  </conditionalFormatting>
  <conditionalFormatting sqref="E10">
    <cfRule type="expression" dxfId="0" priority="25">
      <formula>AND(ISNUMBER(E10),ROUND(E10,2)=INT(ROUND(E10,2)))</formula>
    </cfRule>
  </conditionalFormatting>
  <conditionalFormatting sqref="E10">
    <cfRule type="expression" dxfId="1" priority="26">
      <formula>AND(ISNUMBER(E10),ROUND(E10,2)&lt;&gt;INT(ROUND(E10,2)))</formula>
    </cfRule>
  </conditionalFormatting>
  <conditionalFormatting sqref="F10">
    <cfRule type="expression" dxfId="0" priority="27">
      <formula>AND(ISNUMBER(F10),ROUND(F10,2)=INT(ROUND(F10,2)))</formula>
    </cfRule>
  </conditionalFormatting>
  <conditionalFormatting sqref="F10">
    <cfRule type="expression" dxfId="1" priority="28">
      <formula>AND(ISNUMBER(F10),ROUND(F10,2)&lt;&gt;INT(ROUND(F10,2)))</formula>
    </cfRule>
  </conditionalFormatting>
  <conditionalFormatting sqref="E11">
    <cfRule type="expression" dxfId="0" priority="29">
      <formula>AND(ISNUMBER(E11),ROUND(E11,2)=INT(ROUND(E11,2)))</formula>
    </cfRule>
  </conditionalFormatting>
  <conditionalFormatting sqref="E11">
    <cfRule type="expression" dxfId="1" priority="30">
      <formula>AND(ISNUMBER(E11),ROUND(E11,2)&lt;&gt;INT(ROUND(E11,2)))</formula>
    </cfRule>
  </conditionalFormatting>
  <conditionalFormatting sqref="F11">
    <cfRule type="expression" dxfId="0" priority="31">
      <formula>AND(ISNUMBER(F11),ROUND(F11,2)=INT(ROUND(F11,2)))</formula>
    </cfRule>
  </conditionalFormatting>
  <conditionalFormatting sqref="F11">
    <cfRule type="expression" dxfId="1" priority="32">
      <formula>AND(ISNUMBER(F11),ROUND(F11,2)&lt;&gt;INT(ROUND(F11,2)))</formula>
    </cfRule>
  </conditionalFormatting>
  <conditionalFormatting sqref="E16">
    <cfRule type="expression" dxfId="0" priority="33">
      <formula>AND(ISNUMBER(E16),ROUND(E16,2)=INT(ROUND(E16,2)))</formula>
    </cfRule>
  </conditionalFormatting>
  <conditionalFormatting sqref="E16">
    <cfRule type="expression" dxfId="1" priority="34">
      <formula>AND(ISNUMBER(E16),ROUND(E16,2)&lt;&gt;INT(ROUND(E16,2)))</formula>
    </cfRule>
  </conditionalFormatting>
  <conditionalFormatting sqref="F16">
    <cfRule type="expression" dxfId="0" priority="35">
      <formula>AND(ISNUMBER(F16),ROUND(F16,2)=INT(ROUND(F16,2)))</formula>
    </cfRule>
  </conditionalFormatting>
  <conditionalFormatting sqref="F16">
    <cfRule type="expression" dxfId="1" priority="36">
      <formula>AND(ISNUMBER(F16),ROUND(F16,2)&lt;&gt;INT(ROUND(F16,2)))</formula>
    </cfRule>
  </conditionalFormatting>
  <conditionalFormatting sqref="E17">
    <cfRule type="expression" dxfId="0" priority="37">
      <formula>AND(ISNUMBER(E17),ROUND(E17,2)=INT(ROUND(E17,2)))</formula>
    </cfRule>
  </conditionalFormatting>
  <conditionalFormatting sqref="E17">
    <cfRule type="expression" dxfId="1" priority="38">
      <formula>AND(ISNUMBER(E17),ROUND(E17,2)&lt;&gt;INT(ROUND(E17,2)))</formula>
    </cfRule>
  </conditionalFormatting>
  <conditionalFormatting sqref="F17">
    <cfRule type="expression" dxfId="0" priority="39">
      <formula>AND(ISNUMBER(F17),ROUND(F17,2)=INT(ROUND(F17,2)))</formula>
    </cfRule>
  </conditionalFormatting>
  <conditionalFormatting sqref="F17">
    <cfRule type="expression" dxfId="1" priority="40">
      <formula>AND(ISNUMBER(F17),ROUND(F17,2)&lt;&gt;INT(ROUND(F17,2)))</formula>
    </cfRule>
  </conditionalFormatting>
  <conditionalFormatting sqref="E18">
    <cfRule type="expression" dxfId="0" priority="41">
      <formula>AND(ISNUMBER(E18),ROUND(E18,2)=INT(ROUND(E18,2)))</formula>
    </cfRule>
  </conditionalFormatting>
  <conditionalFormatting sqref="E18">
    <cfRule type="expression" dxfId="1" priority="42">
      <formula>AND(ISNUMBER(E18),ROUND(E18,2)&lt;&gt;INT(ROUND(E18,2)))</formula>
    </cfRule>
  </conditionalFormatting>
  <conditionalFormatting sqref="F18">
    <cfRule type="expression" dxfId="0" priority="43">
      <formula>AND(ISNUMBER(F18),ROUND(F18,2)=INT(ROUND(F18,2)))</formula>
    </cfRule>
  </conditionalFormatting>
  <conditionalFormatting sqref="F18">
    <cfRule type="expression" dxfId="1" priority="44">
      <formula>AND(ISNUMBER(F18),ROUND(F18,2)&lt;&gt;INT(ROUND(F18,2)))</formula>
    </cfRule>
  </conditionalFormatting>
  <conditionalFormatting sqref="F21">
    <cfRule type="expression" dxfId="0" priority="45">
      <formula>AND(ISNUMBER(F21),ROUND(F21,2)=INT(ROUND(F21,2)))</formula>
    </cfRule>
  </conditionalFormatting>
  <conditionalFormatting sqref="F21">
    <cfRule type="expression" dxfId="1" priority="46">
      <formula>AND(ISNUMBER(F21),ROUND(F21,2)&lt;&gt;INT(ROUND(F21,2)))</formula>
    </cfRule>
  </conditionalFormatting>
  <dataValidations>
    <dataValidation type="decimal" operator="greaterThanOrEqual" allowBlank="1" showInputMessage="1" showErrorMessage="1" prompt="יש להזין מספר לא שלילי" sqref="D4:D11 D16:D18">
      <formula1>0.0</formula1>
    </dataValidation>
    <dataValidation type="custom" allowBlank="1" showInputMessage="1" showErrorMessage="1" prompt="מספר לא שלילי, כלול או לא רלוונטי בלבד" sqref="E4:E11 E16:E18">
      <formula1>OR(ISBLANK(E4),AND(ISNUMBER(E4),E4&gt;=0),E4="כלול",E4="לא רלוונטי")</formula1>
    </dataValidation>
  </dataValidations>
  <printOptions/>
  <pageMargins bottom="0.75" footer="0.0" header="0.0" left="0.25" right="0.25" top="0.75"/>
  <pageSetup fitToHeight="0" paperSize="9" orientation="portrait"/>
  <headerFooter>
    <oddFooter>&amp;Cעמוד &amp;P</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rightToLeft="1" workbookViewId="0"/>
  </sheetViews>
  <sheetFormatPr customHeight="1" defaultColWidth="14.43" defaultRowHeight="15.0"/>
  <cols>
    <col customWidth="1" min="1" max="1" width="7.29"/>
    <col customWidth="1" min="2" max="2" width="66.29"/>
    <col customWidth="1" min="3" max="6" width="8.14"/>
    <col customWidth="1" hidden="1" min="7" max="7" width="36.0"/>
    <col customWidth="1" hidden="1" min="8" max="8" width="12.0"/>
    <col customWidth="1" min="9" max="26" width="8.71"/>
  </cols>
  <sheetData>
    <row r="1" ht="31.5" customHeight="1">
      <c r="A1" s="10"/>
      <c r="B1" s="3" t="s">
        <v>57</v>
      </c>
      <c r="G1" s="2" t="s">
        <v>55</v>
      </c>
      <c r="H1" s="2" t="s">
        <v>53</v>
      </c>
    </row>
    <row r="2" ht="31.5" customHeight="1">
      <c r="A2" s="16" t="s">
        <v>59</v>
      </c>
      <c r="B2" s="17" t="s">
        <v>67</v>
      </c>
      <c r="C2" s="16" t="s">
        <v>72</v>
      </c>
      <c r="D2" s="16" t="s">
        <v>76</v>
      </c>
      <c r="E2" s="16" t="s">
        <v>79</v>
      </c>
      <c r="F2" s="16" t="s">
        <v>81</v>
      </c>
      <c r="G2" s="2"/>
      <c r="H2" s="2" t="s">
        <v>84</v>
      </c>
    </row>
    <row r="3" ht="81.0" customHeight="1">
      <c r="A3" s="19"/>
      <c r="B3" s="20" t="s">
        <v>315</v>
      </c>
      <c r="C3" s="19"/>
      <c r="D3" s="19"/>
      <c r="E3" s="19"/>
      <c r="F3" s="19"/>
      <c r="G3" s="12" t="s">
        <v>316</v>
      </c>
      <c r="H3" s="12" t="s">
        <v>105</v>
      </c>
    </row>
    <row r="4" ht="63.75" customHeight="1">
      <c r="A4" s="19"/>
      <c r="B4" s="20" t="s">
        <v>317</v>
      </c>
      <c r="C4" s="19" t="s">
        <v>147</v>
      </c>
      <c r="D4" s="19"/>
      <c r="E4" s="22"/>
      <c r="F4" s="22" t="str">
        <f t="shared" ref="F4:F7" si="1">IF(ISBLANK(D4),"",IF(NOT(ISNUMBER(D4)),"קלט לא תקין",IF(D4&lt;0,"קלט לא תקין",IF(ISBLANK(E4),"",IF(OR(E4="כלול",E4="לא רלוונטי"),0,IF(NOT(ISNUMBER(E4)),"קלט לא תקין",IF(E4&lt;0,"קלט לא תקין",ROUND(D4*E4,2))))))))</f>
        <v/>
      </c>
      <c r="G4" s="12" t="s">
        <v>326</v>
      </c>
      <c r="H4" s="12" t="s">
        <v>113</v>
      </c>
    </row>
    <row r="5" ht="63.75" customHeight="1">
      <c r="A5" s="19"/>
      <c r="B5" s="20" t="s">
        <v>327</v>
      </c>
      <c r="C5" s="19" t="s">
        <v>126</v>
      </c>
      <c r="D5" s="19"/>
      <c r="E5" s="22"/>
      <c r="F5" s="22" t="str">
        <f t="shared" si="1"/>
        <v/>
      </c>
      <c r="G5" s="12" t="s">
        <v>328</v>
      </c>
      <c r="H5" s="12" t="s">
        <v>113</v>
      </c>
    </row>
    <row r="6" ht="63.75" customHeight="1">
      <c r="A6" s="19"/>
      <c r="B6" s="20" t="s">
        <v>329</v>
      </c>
      <c r="C6" s="19" t="s">
        <v>126</v>
      </c>
      <c r="D6" s="19"/>
      <c r="E6" s="22"/>
      <c r="F6" s="22" t="str">
        <f t="shared" si="1"/>
        <v/>
      </c>
      <c r="G6" s="12" t="s">
        <v>330</v>
      </c>
      <c r="H6" s="12" t="s">
        <v>113</v>
      </c>
    </row>
    <row r="7" ht="63.75" customHeight="1">
      <c r="A7" s="19"/>
      <c r="B7" s="20" t="s">
        <v>331</v>
      </c>
      <c r="C7" s="19" t="s">
        <v>108</v>
      </c>
      <c r="D7" s="19"/>
      <c r="E7" s="22"/>
      <c r="F7" s="22" t="str">
        <f t="shared" si="1"/>
        <v/>
      </c>
      <c r="G7" s="12" t="s">
        <v>332</v>
      </c>
      <c r="H7" s="12" t="s">
        <v>113</v>
      </c>
    </row>
    <row r="8" ht="285.0" customHeight="1">
      <c r="A8" s="19"/>
      <c r="B8" s="20"/>
      <c r="C8" s="19"/>
      <c r="D8" s="19"/>
      <c r="E8" s="19"/>
      <c r="F8" s="19"/>
      <c r="G8" s="12"/>
      <c r="H8" s="12" t="s">
        <v>86</v>
      </c>
    </row>
    <row r="9" ht="31.5" customHeight="1">
      <c r="A9" s="6"/>
      <c r="B9" s="7" t="s">
        <v>130</v>
      </c>
      <c r="C9" s="8"/>
      <c r="D9" s="8"/>
      <c r="E9" s="9"/>
      <c r="F9" s="23">
        <f>SUM(F4,F5,F6,F7)</f>
        <v>0</v>
      </c>
      <c r="G9" s="12"/>
      <c r="H9" s="12" t="s">
        <v>136</v>
      </c>
    </row>
    <row r="10" ht="24.0" customHeight="1"/>
    <row r="11" ht="24.0" customHeight="1"/>
    <row r="12" ht="24.0" customHeight="1"/>
    <row r="13" ht="24.0" customHeight="1"/>
    <row r="14" ht="24.0" customHeight="1"/>
    <row r="15" ht="24.0" customHeight="1"/>
    <row r="16" ht="24.0" customHeight="1"/>
    <row r="17" ht="24.0" customHeight="1"/>
    <row r="18" ht="24.0" customHeight="1"/>
    <row r="19" ht="24.0" customHeight="1"/>
    <row r="20" ht="24.0" customHeight="1"/>
    <row r="21" ht="24.0" customHeight="1"/>
    <row r="22" ht="24.0" customHeight="1"/>
    <row r="23" ht="24.0" customHeight="1"/>
    <row r="24" ht="24.0" customHeight="1"/>
    <row r="25" ht="24.0" customHeight="1"/>
    <row r="26" ht="24.0" customHeight="1"/>
    <row r="27" ht="24.0" customHeight="1"/>
    <row r="28" ht="24.0" customHeight="1"/>
    <row r="29" ht="24.0" customHeight="1"/>
    <row r="30" ht="24.0" customHeight="1"/>
    <row r="31" ht="24.0" customHeight="1"/>
    <row r="32" ht="24.0" customHeight="1"/>
    <row r="33" ht="24.0" customHeight="1"/>
    <row r="34" ht="24.0" customHeight="1"/>
    <row r="35" ht="24.0" customHeight="1"/>
    <row r="36" ht="24.0" customHeight="1"/>
    <row r="37" ht="24.0" customHeight="1"/>
    <row r="38" ht="24.0" customHeight="1"/>
    <row r="39" ht="24.0" customHeight="1"/>
    <row r="40" ht="24.0" customHeight="1"/>
    <row r="41" ht="24.0" customHeight="1"/>
    <row r="42" ht="24.0" customHeight="1"/>
    <row r="43" ht="24.0" customHeight="1"/>
    <row r="44" ht="24.0" customHeight="1"/>
    <row r="45" ht="24.0" customHeight="1"/>
    <row r="46" ht="24.0" customHeight="1"/>
    <row r="47" ht="24.0" customHeight="1"/>
    <row r="48" ht="24.0" customHeight="1"/>
    <row r="49" ht="24.0" customHeight="1"/>
    <row r="50" ht="24.0" customHeight="1"/>
    <row r="51" ht="24.0" customHeight="1"/>
    <row r="52" ht="24.0" customHeight="1"/>
    <row r="53" ht="24.0" customHeight="1"/>
    <row r="54" ht="24.0" customHeight="1"/>
    <row r="55" ht="24.0" customHeight="1"/>
    <row r="56" ht="24.0" customHeight="1"/>
    <row r="57" ht="24.0" customHeight="1"/>
    <row r="58" ht="24.0" customHeight="1"/>
    <row r="59" ht="24.0" customHeight="1"/>
    <row r="60" ht="24.0" customHeight="1"/>
    <row r="61" ht="24.0" customHeight="1"/>
    <row r="62" ht="24.0" customHeight="1"/>
    <row r="63" ht="24.0" customHeight="1"/>
    <row r="64" ht="24.0" customHeight="1"/>
    <row r="65" ht="24.0" customHeight="1"/>
    <row r="66" ht="24.0" customHeight="1"/>
    <row r="67" ht="24.0" customHeight="1"/>
    <row r="68" ht="24.0" customHeight="1"/>
    <row r="69" ht="24.0" customHeight="1"/>
    <row r="70" ht="24.0" customHeight="1"/>
    <row r="71" ht="24.0" customHeight="1"/>
    <row r="72" ht="24.0" customHeight="1"/>
    <row r="73" ht="24.0" customHeight="1"/>
    <row r="74" ht="24.0" customHeight="1"/>
    <row r="75" ht="24.0" customHeight="1"/>
    <row r="76" ht="24.0" customHeight="1"/>
    <row r="77" ht="24.0" customHeight="1"/>
    <row r="78" ht="24.0" customHeight="1"/>
    <row r="79" ht="24.0" customHeight="1"/>
    <row r="80" ht="24.0" customHeight="1"/>
    <row r="81" ht="24.0" customHeight="1"/>
    <row r="82" ht="24.0" customHeight="1"/>
    <row r="83" ht="24.0" customHeight="1"/>
    <row r="84" ht="24.0" customHeight="1"/>
    <row r="85" ht="24.0" customHeight="1"/>
    <row r="86" ht="24.0" customHeight="1"/>
    <row r="87" ht="24.0" customHeight="1"/>
    <row r="88" ht="24.0" customHeight="1"/>
    <row r="89" ht="24.0" customHeight="1"/>
    <row r="90" ht="24.0" customHeight="1"/>
    <row r="91" ht="24.0" customHeight="1"/>
    <row r="92" ht="24.0" customHeight="1"/>
    <row r="93" ht="24.0" customHeight="1"/>
    <row r="94" ht="24.0" customHeight="1"/>
    <row r="95" ht="24.0" customHeight="1"/>
    <row r="96" ht="24.0" customHeight="1"/>
    <row r="97" ht="24.0" customHeight="1"/>
    <row r="98" ht="24.0" customHeight="1"/>
    <row r="99" ht="24.0" customHeight="1"/>
    <row r="100" ht="24.0" customHeight="1"/>
    <row r="101" ht="24.0" customHeight="1"/>
    <row r="102" ht="24.0" customHeight="1"/>
    <row r="103" ht="24.0" customHeight="1"/>
    <row r="104" ht="24.0" customHeight="1"/>
    <row r="105" ht="24.0" customHeight="1"/>
    <row r="106" ht="24.0" customHeight="1"/>
    <row r="107" ht="24.0" customHeight="1"/>
    <row r="108" ht="24.0" customHeight="1"/>
    <row r="109" ht="24.0" customHeight="1"/>
    <row r="110" ht="24.0" customHeight="1"/>
    <row r="111" ht="24.0" customHeight="1"/>
    <row r="112" ht="24.0" customHeight="1"/>
    <row r="113" ht="24.0" customHeight="1"/>
    <row r="114" ht="24.0" customHeight="1"/>
    <row r="115" ht="24.0" customHeight="1"/>
    <row r="116" ht="24.0" customHeight="1"/>
    <row r="117" ht="24.0" customHeight="1"/>
    <row r="118" ht="24.0" customHeight="1"/>
    <row r="119" ht="24.0" customHeight="1"/>
    <row r="120" ht="24.0" customHeight="1"/>
    <row r="121" ht="24.0" customHeight="1"/>
    <row r="122" ht="24.0" customHeight="1"/>
    <row r="123" ht="24.0" customHeight="1"/>
    <row r="124" ht="24.0" customHeight="1"/>
    <row r="125" ht="24.0" customHeight="1"/>
    <row r="126" ht="24.0" customHeight="1"/>
    <row r="127" ht="24.0" customHeight="1"/>
    <row r="128" ht="24.0" customHeight="1"/>
    <row r="129" ht="24.0" customHeight="1"/>
    <row r="130" ht="24.0" customHeight="1"/>
    <row r="131" ht="24.0" customHeight="1"/>
    <row r="132" ht="24.0" customHeight="1"/>
    <row r="133" ht="24.0" customHeight="1"/>
    <row r="134" ht="24.0" customHeight="1"/>
    <row r="135" ht="24.0" customHeight="1"/>
    <row r="136" ht="24.0" customHeight="1"/>
    <row r="137" ht="24.0" customHeight="1"/>
    <row r="138" ht="24.0" customHeight="1"/>
    <row r="139" ht="24.0" customHeight="1"/>
    <row r="140" ht="24.0" customHeight="1"/>
    <row r="141" ht="24.0" customHeight="1"/>
    <row r="142" ht="24.0" customHeight="1"/>
    <row r="143" ht="24.0" customHeight="1"/>
    <row r="144" ht="24.0" customHeight="1"/>
    <row r="145" ht="24.0" customHeight="1"/>
    <row r="146" ht="24.0" customHeight="1"/>
    <row r="147" ht="24.0" customHeight="1"/>
    <row r="148" ht="24.0" customHeight="1"/>
    <row r="149" ht="24.0" customHeight="1"/>
    <row r="150" ht="24.0" customHeight="1"/>
    <row r="151" ht="24.0" customHeight="1"/>
    <row r="152" ht="24.0" customHeight="1"/>
    <row r="153" ht="24.0" customHeight="1"/>
    <row r="154" ht="24.0" customHeight="1"/>
    <row r="155" ht="24.0" customHeight="1"/>
    <row r="156" ht="24.0" customHeight="1"/>
    <row r="157" ht="24.0" customHeight="1"/>
    <row r="158" ht="24.0" customHeight="1"/>
    <row r="159" ht="24.0" customHeight="1"/>
    <row r="160" ht="24.0" customHeight="1"/>
    <row r="161" ht="24.0" customHeight="1"/>
    <row r="162" ht="24.0" customHeight="1"/>
    <row r="163" ht="24.0" customHeight="1"/>
    <row r="164" ht="24.0" customHeight="1"/>
    <row r="165" ht="24.0" customHeight="1"/>
    <row r="166" ht="24.0" customHeight="1"/>
    <row r="167" ht="24.0" customHeight="1"/>
    <row r="168" ht="24.0" customHeight="1"/>
    <row r="169" ht="24.0" customHeight="1"/>
    <row r="170" ht="24.0" customHeight="1"/>
    <row r="171" ht="24.0" customHeight="1"/>
    <row r="172" ht="24.0" customHeight="1"/>
    <row r="173" ht="24.0" customHeight="1"/>
    <row r="174" ht="24.0" customHeight="1"/>
    <row r="175" ht="24.0" customHeight="1"/>
    <row r="176" ht="24.0" customHeight="1"/>
    <row r="177" ht="24.0" customHeight="1"/>
    <row r="178" ht="24.0" customHeight="1"/>
    <row r="179" ht="24.0" customHeight="1"/>
    <row r="180" ht="24.0" customHeight="1"/>
    <row r="181" ht="24.0" customHeight="1"/>
    <row r="182" ht="24.0" customHeight="1"/>
    <row r="183" ht="24.0" customHeight="1"/>
    <row r="184" ht="24.0" customHeight="1"/>
    <row r="185" ht="24.0" customHeight="1"/>
    <row r="186" ht="24.0" customHeight="1"/>
    <row r="187" ht="24.0" customHeight="1"/>
    <row r="188" ht="24.0" customHeight="1"/>
    <row r="189" ht="24.0" customHeight="1"/>
    <row r="190" ht="24.0" customHeight="1"/>
    <row r="191" ht="24.0" customHeight="1"/>
    <row r="192" ht="24.0" customHeight="1"/>
    <row r="193" ht="24.0" customHeight="1"/>
    <row r="194" ht="24.0" customHeight="1"/>
    <row r="195" ht="24.0" customHeight="1"/>
    <row r="196" ht="24.0" customHeight="1"/>
    <row r="197" ht="24.0" customHeight="1"/>
    <row r="198" ht="24.0" customHeight="1"/>
    <row r="199" ht="24.0" customHeight="1"/>
    <row r="200" ht="24.0" customHeight="1"/>
    <row r="201" ht="24.0" customHeight="1"/>
    <row r="202" ht="24.0" customHeight="1"/>
    <row r="203" ht="24.0" customHeight="1"/>
    <row r="204" ht="24.0" customHeight="1"/>
    <row r="205" ht="24.0" customHeight="1"/>
    <row r="206" ht="24.0" customHeight="1"/>
    <row r="207" ht="24.0" customHeight="1"/>
    <row r="208" ht="24.0" customHeight="1"/>
    <row r="209" ht="24.0" customHeight="1"/>
    <row r="210" ht="24.0" customHeight="1"/>
    <row r="211" ht="24.0" customHeight="1"/>
    <row r="212" ht="24.0" customHeight="1"/>
    <row r="213" ht="24.0" customHeight="1"/>
    <row r="214" ht="24.0" customHeight="1"/>
    <row r="215" ht="24.0" customHeight="1"/>
    <row r="216" ht="24.0" customHeight="1"/>
    <row r="217" ht="24.0" customHeight="1"/>
    <row r="218" ht="24.0" customHeight="1"/>
    <row r="219" ht="24.0" customHeight="1"/>
    <row r="220" ht="24.0" customHeight="1"/>
    <row r="221" ht="24.0" customHeight="1"/>
    <row r="222" ht="24.0" customHeight="1"/>
    <row r="223" ht="24.0" customHeight="1"/>
    <row r="224" ht="24.0" customHeight="1"/>
    <row r="225" ht="24.0" customHeight="1"/>
    <row r="226" ht="24.0" customHeight="1"/>
    <row r="227" ht="24.0" customHeight="1"/>
    <row r="228" ht="24.0" customHeight="1"/>
    <row r="229" ht="24.0" customHeight="1"/>
    <row r="230" ht="24.0" customHeight="1"/>
    <row r="231" ht="24.0" customHeight="1"/>
    <row r="232" ht="24.0" customHeight="1"/>
    <row r="233" ht="24.0" customHeight="1"/>
    <row r="234" ht="24.0" customHeight="1"/>
    <row r="235" ht="24.0" customHeight="1"/>
    <row r="236" ht="24.0" customHeight="1"/>
    <row r="237" ht="24.0" customHeight="1"/>
    <row r="238" ht="24.0" customHeight="1"/>
    <row r="239" ht="24.0" customHeight="1"/>
    <row r="240" ht="24.0" customHeight="1"/>
    <row r="241" ht="24.0" customHeight="1"/>
    <row r="242" ht="24.0" customHeight="1"/>
    <row r="243" ht="24.0" customHeight="1"/>
    <row r="244" ht="24.0" customHeight="1"/>
    <row r="245" ht="24.0" customHeight="1"/>
    <row r="246" ht="24.0" customHeight="1"/>
    <row r="247" ht="24.0" customHeight="1"/>
    <row r="248" ht="24.0" customHeight="1"/>
    <row r="249" ht="24.0" customHeight="1"/>
    <row r="250" ht="24.0" customHeight="1"/>
    <row r="251" ht="24.0" customHeight="1"/>
    <row r="252" ht="24.0" customHeight="1"/>
    <row r="253" ht="24.0" customHeight="1"/>
    <row r="254" ht="24.0" customHeight="1"/>
    <row r="255" ht="24.0" customHeight="1"/>
    <row r="256" ht="24.0" customHeight="1"/>
    <row r="257" ht="24.0" customHeight="1"/>
    <row r="258" ht="24.0" customHeight="1"/>
    <row r="259" ht="24.0" customHeight="1"/>
    <row r="260" ht="24.0" customHeight="1"/>
    <row r="261" ht="24.0" customHeight="1"/>
    <row r="262" ht="24.0" customHeight="1"/>
    <row r="263" ht="24.0" customHeight="1"/>
    <row r="264" ht="24.0" customHeight="1"/>
    <row r="265" ht="24.0" customHeight="1"/>
    <row r="266" ht="24.0" customHeight="1"/>
    <row r="267" ht="24.0" customHeight="1"/>
    <row r="268" ht="24.0" customHeight="1"/>
    <row r="269" ht="24.0" customHeight="1"/>
    <row r="270" ht="24.0" customHeight="1"/>
    <row r="271" ht="24.0" customHeight="1"/>
    <row r="272" ht="24.0" customHeight="1"/>
    <row r="273" ht="24.0" customHeight="1"/>
    <row r="274" ht="24.0" customHeight="1"/>
    <row r="275" ht="24.0" customHeight="1"/>
    <row r="276" ht="24.0" customHeight="1"/>
    <row r="277" ht="24.0" customHeight="1"/>
    <row r="278" ht="24.0" customHeight="1"/>
    <row r="279" ht="24.0" customHeight="1"/>
    <row r="280" ht="24.0" customHeight="1"/>
    <row r="281" ht="24.0" customHeight="1"/>
    <row r="282" ht="24.0" customHeight="1"/>
    <row r="283" ht="24.0" customHeight="1"/>
    <row r="284" ht="24.0" customHeight="1"/>
    <row r="285" ht="24.0" customHeight="1"/>
    <row r="286" ht="24.0" customHeight="1"/>
    <row r="287" ht="24.0" customHeight="1"/>
    <row r="288" ht="24.0" customHeight="1"/>
    <row r="289" ht="24.0" customHeight="1"/>
    <row r="290" ht="24.0" customHeight="1"/>
    <row r="291" ht="24.0" customHeight="1"/>
    <row r="292" ht="24.0" customHeight="1"/>
    <row r="293" ht="24.0" customHeight="1"/>
    <row r="294" ht="24.0" customHeight="1"/>
    <row r="295" ht="24.0" customHeight="1"/>
    <row r="296" ht="24.0" customHeight="1"/>
    <row r="297" ht="24.0" customHeight="1"/>
    <row r="298" ht="24.0" customHeight="1"/>
    <row r="299" ht="24.0" customHeight="1"/>
    <row r="300" ht="24.0" customHeight="1"/>
    <row r="301" ht="24.0" customHeight="1"/>
    <row r="302" ht="24.0" customHeight="1"/>
    <row r="303" ht="24.0" customHeight="1"/>
    <row r="304" ht="24.0" customHeight="1"/>
    <row r="305" ht="24.0" customHeight="1"/>
    <row r="306" ht="24.0" customHeight="1"/>
    <row r="307" ht="24.0" customHeight="1"/>
    <row r="308" ht="24.0" customHeight="1"/>
    <row r="309" ht="24.0" customHeight="1"/>
    <row r="310" ht="24.0" customHeight="1"/>
    <row r="311" ht="24.0" customHeight="1"/>
    <row r="312" ht="24.0" customHeight="1"/>
    <row r="313" ht="24.0" customHeight="1"/>
    <row r="314" ht="24.0" customHeight="1"/>
    <row r="315" ht="24.0" customHeight="1"/>
    <row r="316" ht="24.0" customHeight="1"/>
    <row r="317" ht="24.0" customHeight="1"/>
    <row r="318" ht="24.0" customHeight="1"/>
    <row r="319" ht="24.0" customHeight="1"/>
    <row r="320" ht="24.0" customHeight="1"/>
    <row r="321" ht="24.0" customHeight="1"/>
    <row r="322" ht="24.0" customHeight="1"/>
    <row r="323" ht="24.0" customHeight="1"/>
    <row r="324" ht="24.0" customHeight="1"/>
    <row r="325" ht="24.0" customHeight="1"/>
    <row r="326" ht="24.0" customHeight="1"/>
    <row r="327" ht="24.0" customHeight="1"/>
    <row r="328" ht="24.0" customHeight="1"/>
    <row r="329" ht="24.0" customHeight="1"/>
    <row r="330" ht="24.0" customHeight="1"/>
    <row r="331" ht="24.0" customHeight="1"/>
    <row r="332" ht="24.0" customHeight="1"/>
    <row r="333" ht="24.0" customHeight="1"/>
    <row r="334" ht="24.0" customHeight="1"/>
    <row r="335" ht="24.0" customHeight="1"/>
    <row r="336" ht="24.0" customHeight="1"/>
    <row r="337" ht="24.0" customHeight="1"/>
    <row r="338" ht="24.0" customHeight="1"/>
    <row r="339" ht="24.0" customHeight="1"/>
    <row r="340" ht="24.0" customHeight="1"/>
    <row r="341" ht="24.0" customHeight="1"/>
    <row r="342" ht="24.0" customHeight="1"/>
    <row r="343" ht="24.0" customHeight="1"/>
    <row r="344" ht="24.0" customHeight="1"/>
    <row r="345" ht="24.0" customHeight="1"/>
    <row r="346" ht="24.0" customHeight="1"/>
    <row r="347" ht="24.0" customHeight="1"/>
    <row r="348" ht="24.0" customHeight="1"/>
    <row r="349" ht="24.0" customHeight="1"/>
    <row r="350" ht="24.0" customHeight="1"/>
    <row r="351" ht="24.0" customHeight="1"/>
    <row r="352" ht="24.0" customHeight="1"/>
    <row r="353" ht="24.0" customHeight="1"/>
    <row r="354" ht="24.0" customHeight="1"/>
    <row r="355" ht="24.0" customHeight="1"/>
    <row r="356" ht="24.0" customHeight="1"/>
    <row r="357" ht="24.0" customHeight="1"/>
    <row r="358" ht="24.0" customHeight="1"/>
    <row r="359" ht="24.0" customHeight="1"/>
    <row r="360" ht="24.0" customHeight="1"/>
    <row r="361" ht="24.0" customHeight="1"/>
    <row r="362" ht="24.0" customHeight="1"/>
    <row r="363" ht="24.0" customHeight="1"/>
    <row r="364" ht="24.0" customHeight="1"/>
    <row r="365" ht="24.0" customHeight="1"/>
    <row r="366" ht="24.0" customHeight="1"/>
    <row r="367" ht="24.0" customHeight="1"/>
    <row r="368" ht="24.0" customHeight="1"/>
    <row r="369" ht="24.0" customHeight="1"/>
    <row r="370" ht="24.0" customHeight="1"/>
    <row r="371" ht="24.0" customHeight="1"/>
    <row r="372" ht="24.0" customHeight="1"/>
    <row r="373" ht="24.0" customHeight="1"/>
    <row r="374" ht="24.0" customHeight="1"/>
    <row r="375" ht="24.0" customHeight="1"/>
    <row r="376" ht="24.0" customHeight="1"/>
    <row r="377" ht="24.0" customHeight="1"/>
    <row r="378" ht="24.0" customHeight="1"/>
    <row r="379" ht="24.0" customHeight="1"/>
    <row r="380" ht="24.0" customHeight="1"/>
    <row r="381" ht="24.0" customHeight="1"/>
    <row r="382" ht="24.0" customHeight="1"/>
    <row r="383" ht="24.0" customHeight="1"/>
    <row r="384" ht="24.0" customHeight="1"/>
    <row r="385" ht="24.0" customHeight="1"/>
    <row r="386" ht="24.0" customHeight="1"/>
    <row r="387" ht="24.0" customHeight="1"/>
    <row r="388" ht="24.0" customHeight="1"/>
    <row r="389" ht="24.0" customHeight="1"/>
    <row r="390" ht="24.0" customHeight="1"/>
    <row r="391" ht="24.0" customHeight="1"/>
    <row r="392" ht="24.0" customHeight="1"/>
    <row r="393" ht="24.0" customHeight="1"/>
    <row r="394" ht="24.0" customHeight="1"/>
    <row r="395" ht="24.0" customHeight="1"/>
    <row r="396" ht="24.0" customHeight="1"/>
    <row r="397" ht="24.0" customHeight="1"/>
    <row r="398" ht="24.0" customHeight="1"/>
    <row r="399" ht="24.0" customHeight="1"/>
    <row r="400" ht="24.0" customHeight="1"/>
    <row r="401" ht="24.0" customHeight="1"/>
    <row r="402" ht="24.0" customHeight="1"/>
    <row r="403" ht="24.0" customHeight="1"/>
    <row r="404" ht="24.0" customHeight="1"/>
    <row r="405" ht="24.0" customHeight="1"/>
    <row r="406" ht="24.0" customHeight="1"/>
    <row r="407" ht="24.0" customHeight="1"/>
    <row r="408" ht="24.0" customHeight="1"/>
    <row r="409" ht="24.0" customHeight="1"/>
    <row r="410" ht="24.0" customHeight="1"/>
    <row r="411" ht="24.0" customHeight="1"/>
    <row r="412" ht="24.0" customHeight="1"/>
    <row r="413" ht="24.0" customHeight="1"/>
    <row r="414" ht="24.0" customHeight="1"/>
    <row r="415" ht="24.0" customHeight="1"/>
    <row r="416" ht="24.0" customHeight="1"/>
    <row r="417" ht="24.0" customHeight="1"/>
    <row r="418" ht="24.0" customHeight="1"/>
    <row r="419" ht="24.0" customHeight="1"/>
    <row r="420" ht="24.0" customHeight="1"/>
    <row r="421" ht="24.0" customHeight="1"/>
    <row r="422" ht="24.0" customHeight="1"/>
    <row r="423" ht="24.0" customHeight="1"/>
    <row r="424" ht="24.0" customHeight="1"/>
    <row r="425" ht="24.0" customHeight="1"/>
    <row r="426" ht="24.0" customHeight="1"/>
    <row r="427" ht="24.0" customHeight="1"/>
    <row r="428" ht="24.0" customHeight="1"/>
    <row r="429" ht="24.0" customHeight="1"/>
    <row r="430" ht="24.0" customHeight="1"/>
    <row r="431" ht="24.0" customHeight="1"/>
    <row r="432" ht="24.0" customHeight="1"/>
    <row r="433" ht="24.0" customHeight="1"/>
    <row r="434" ht="24.0" customHeight="1"/>
    <row r="435" ht="24.0" customHeight="1"/>
    <row r="436" ht="24.0" customHeight="1"/>
    <row r="437" ht="24.0" customHeight="1"/>
    <row r="438" ht="24.0" customHeight="1"/>
    <row r="439" ht="24.0" customHeight="1"/>
    <row r="440" ht="24.0" customHeight="1"/>
    <row r="441" ht="24.0" customHeight="1"/>
    <row r="442" ht="24.0" customHeight="1"/>
    <row r="443" ht="24.0" customHeight="1"/>
    <row r="444" ht="24.0" customHeight="1"/>
    <row r="445" ht="24.0" customHeight="1"/>
    <row r="446" ht="24.0" customHeight="1"/>
    <row r="447" ht="24.0" customHeight="1"/>
    <row r="448" ht="24.0" customHeight="1"/>
    <row r="449" ht="24.0" customHeight="1"/>
    <row r="450" ht="24.0" customHeight="1"/>
    <row r="451" ht="24.0" customHeight="1"/>
    <row r="452" ht="24.0" customHeight="1"/>
    <row r="453" ht="24.0" customHeight="1"/>
    <row r="454" ht="24.0" customHeight="1"/>
    <row r="455" ht="24.0" customHeight="1"/>
    <row r="456" ht="24.0" customHeight="1"/>
    <row r="457" ht="24.0" customHeight="1"/>
    <row r="458" ht="24.0" customHeight="1"/>
    <row r="459" ht="24.0" customHeight="1"/>
    <row r="460" ht="24.0" customHeight="1"/>
    <row r="461" ht="24.0" customHeight="1"/>
    <row r="462" ht="24.0" customHeight="1"/>
    <row r="463" ht="24.0" customHeight="1"/>
    <row r="464" ht="24.0" customHeight="1"/>
    <row r="465" ht="24.0" customHeight="1"/>
    <row r="466" ht="24.0" customHeight="1"/>
    <row r="467" ht="24.0" customHeight="1"/>
    <row r="468" ht="24.0" customHeight="1"/>
    <row r="469" ht="24.0" customHeight="1"/>
    <row r="470" ht="24.0" customHeight="1"/>
    <row r="471" ht="24.0" customHeight="1"/>
    <row r="472" ht="24.0" customHeight="1"/>
    <row r="473" ht="24.0" customHeight="1"/>
    <row r="474" ht="24.0" customHeight="1"/>
    <row r="475" ht="24.0" customHeight="1"/>
    <row r="476" ht="24.0" customHeight="1"/>
    <row r="477" ht="24.0" customHeight="1"/>
    <row r="478" ht="24.0" customHeight="1"/>
    <row r="479" ht="24.0" customHeight="1"/>
    <row r="480" ht="24.0" customHeight="1"/>
    <row r="481" ht="24.0" customHeight="1"/>
    <row r="482" ht="24.0" customHeight="1"/>
    <row r="483" ht="24.0" customHeight="1"/>
    <row r="484" ht="24.0" customHeight="1"/>
    <row r="485" ht="24.0" customHeight="1"/>
    <row r="486" ht="24.0" customHeight="1"/>
    <row r="487" ht="24.0" customHeight="1"/>
    <row r="488" ht="24.0" customHeight="1"/>
    <row r="489" ht="24.0" customHeight="1"/>
    <row r="490" ht="24.0" customHeight="1"/>
    <row r="491" ht="24.0" customHeight="1"/>
    <row r="492" ht="24.0" customHeight="1"/>
    <row r="493" ht="24.0" customHeight="1"/>
    <row r="494" ht="24.0" customHeight="1"/>
    <row r="495" ht="24.0" customHeight="1"/>
    <row r="496" ht="24.0" customHeight="1"/>
    <row r="497" ht="24.0" customHeight="1"/>
    <row r="498" ht="24.0" customHeight="1"/>
    <row r="499" ht="24.0" customHeight="1"/>
    <row r="500" ht="24.0" customHeight="1"/>
    <row r="501" ht="24.0" customHeight="1"/>
    <row r="502" ht="24.0" customHeight="1"/>
    <row r="503" ht="24.0" customHeight="1"/>
    <row r="504" ht="24.0" customHeight="1"/>
    <row r="505" ht="24.0" customHeight="1"/>
    <row r="506" ht="24.0" customHeight="1"/>
    <row r="507" ht="24.0" customHeight="1"/>
    <row r="508" ht="24.0" customHeight="1"/>
    <row r="509" ht="24.0" customHeight="1"/>
    <row r="510" ht="24.0" customHeight="1"/>
    <row r="511" ht="24.0" customHeight="1"/>
    <row r="512" ht="24.0" customHeight="1"/>
    <row r="513" ht="24.0" customHeight="1"/>
    <row r="514" ht="24.0" customHeight="1"/>
    <row r="515" ht="24.0" customHeight="1"/>
    <row r="516" ht="24.0" customHeight="1"/>
    <row r="517" ht="24.0" customHeight="1"/>
    <row r="518" ht="24.0" customHeight="1"/>
    <row r="519" ht="24.0" customHeight="1"/>
    <row r="520" ht="24.0" customHeight="1"/>
    <row r="521" ht="24.0" customHeight="1"/>
    <row r="522" ht="24.0" customHeight="1"/>
    <row r="523" ht="24.0" customHeight="1"/>
    <row r="524" ht="24.0" customHeight="1"/>
    <row r="525" ht="24.0" customHeight="1"/>
    <row r="526" ht="24.0" customHeight="1"/>
    <row r="527" ht="24.0" customHeight="1"/>
    <row r="528" ht="24.0" customHeight="1"/>
    <row r="529" ht="24.0" customHeight="1"/>
    <row r="530" ht="24.0" customHeight="1"/>
    <row r="531" ht="24.0" customHeight="1"/>
    <row r="532" ht="24.0" customHeight="1"/>
    <row r="533" ht="24.0" customHeight="1"/>
    <row r="534" ht="24.0" customHeight="1"/>
    <row r="535" ht="24.0" customHeight="1"/>
    <row r="536" ht="24.0" customHeight="1"/>
    <row r="537" ht="24.0" customHeight="1"/>
    <row r="538" ht="24.0" customHeight="1"/>
    <row r="539" ht="24.0" customHeight="1"/>
    <row r="540" ht="24.0" customHeight="1"/>
    <row r="541" ht="24.0" customHeight="1"/>
    <row r="542" ht="24.0" customHeight="1"/>
    <row r="543" ht="24.0" customHeight="1"/>
    <row r="544" ht="24.0" customHeight="1"/>
    <row r="545" ht="24.0" customHeight="1"/>
    <row r="546" ht="24.0" customHeight="1"/>
    <row r="547" ht="24.0" customHeight="1"/>
    <row r="548" ht="24.0" customHeight="1"/>
    <row r="549" ht="24.0" customHeight="1"/>
    <row r="550" ht="24.0" customHeight="1"/>
    <row r="551" ht="24.0" customHeight="1"/>
    <row r="552" ht="24.0" customHeight="1"/>
    <row r="553" ht="24.0" customHeight="1"/>
    <row r="554" ht="24.0" customHeight="1"/>
    <row r="555" ht="24.0" customHeight="1"/>
    <row r="556" ht="24.0" customHeight="1"/>
    <row r="557" ht="24.0" customHeight="1"/>
    <row r="558" ht="24.0" customHeight="1"/>
    <row r="559" ht="24.0" customHeight="1"/>
    <row r="560" ht="24.0" customHeight="1"/>
    <row r="561" ht="24.0" customHeight="1"/>
    <row r="562" ht="24.0" customHeight="1"/>
    <row r="563" ht="24.0" customHeight="1"/>
    <row r="564" ht="24.0" customHeight="1"/>
    <row r="565" ht="24.0" customHeight="1"/>
    <row r="566" ht="24.0" customHeight="1"/>
    <row r="567" ht="24.0" customHeight="1"/>
    <row r="568" ht="24.0" customHeight="1"/>
    <row r="569" ht="24.0" customHeight="1"/>
    <row r="570" ht="24.0" customHeight="1"/>
    <row r="571" ht="24.0" customHeight="1"/>
    <row r="572" ht="24.0" customHeight="1"/>
    <row r="573" ht="24.0" customHeight="1"/>
    <row r="574" ht="24.0" customHeight="1"/>
    <row r="575" ht="24.0" customHeight="1"/>
    <row r="576" ht="24.0" customHeight="1"/>
    <row r="577" ht="24.0" customHeight="1"/>
    <row r="578" ht="24.0" customHeight="1"/>
    <row r="579" ht="24.0" customHeight="1"/>
    <row r="580" ht="24.0" customHeight="1"/>
    <row r="581" ht="24.0" customHeight="1"/>
    <row r="582" ht="24.0" customHeight="1"/>
    <row r="583" ht="24.0" customHeight="1"/>
    <row r="584" ht="24.0" customHeight="1"/>
    <row r="585" ht="24.0" customHeight="1"/>
    <row r="586" ht="24.0" customHeight="1"/>
    <row r="587" ht="24.0" customHeight="1"/>
    <row r="588" ht="24.0" customHeight="1"/>
    <row r="589" ht="24.0" customHeight="1"/>
    <row r="590" ht="24.0" customHeight="1"/>
    <row r="591" ht="24.0" customHeight="1"/>
    <row r="592" ht="24.0" customHeight="1"/>
    <row r="593" ht="24.0" customHeight="1"/>
    <row r="594" ht="24.0" customHeight="1"/>
    <row r="595" ht="24.0" customHeight="1"/>
    <row r="596" ht="24.0" customHeight="1"/>
    <row r="597" ht="24.0" customHeight="1"/>
    <row r="598" ht="24.0" customHeight="1"/>
    <row r="599" ht="24.0" customHeight="1"/>
    <row r="600" ht="24.0" customHeight="1"/>
    <row r="601" ht="24.0" customHeight="1"/>
    <row r="602" ht="24.0" customHeight="1"/>
    <row r="603" ht="24.0" customHeight="1"/>
    <row r="604" ht="24.0" customHeight="1"/>
    <row r="605" ht="24.0" customHeight="1"/>
    <row r="606" ht="24.0" customHeight="1"/>
    <row r="607" ht="24.0" customHeight="1"/>
    <row r="608" ht="24.0" customHeight="1"/>
    <row r="609" ht="24.0" customHeight="1"/>
    <row r="610" ht="24.0" customHeight="1"/>
    <row r="611" ht="24.0" customHeight="1"/>
    <row r="612" ht="24.0" customHeight="1"/>
    <row r="613" ht="24.0" customHeight="1"/>
    <row r="614" ht="24.0" customHeight="1"/>
    <row r="615" ht="24.0" customHeight="1"/>
    <row r="616" ht="24.0" customHeight="1"/>
    <row r="617" ht="24.0" customHeight="1"/>
    <row r="618" ht="24.0" customHeight="1"/>
    <row r="619" ht="24.0" customHeight="1"/>
    <row r="620" ht="24.0" customHeight="1"/>
    <row r="621" ht="24.0" customHeight="1"/>
    <row r="622" ht="24.0" customHeight="1"/>
    <row r="623" ht="24.0" customHeight="1"/>
    <row r="624" ht="24.0" customHeight="1"/>
    <row r="625" ht="24.0" customHeight="1"/>
    <row r="626" ht="24.0" customHeight="1"/>
    <row r="627" ht="24.0" customHeight="1"/>
    <row r="628" ht="24.0" customHeight="1"/>
    <row r="629" ht="24.0" customHeight="1"/>
    <row r="630" ht="24.0" customHeight="1"/>
    <row r="631" ht="24.0" customHeight="1"/>
    <row r="632" ht="24.0" customHeight="1"/>
    <row r="633" ht="24.0" customHeight="1"/>
    <row r="634" ht="24.0" customHeight="1"/>
    <row r="635" ht="24.0" customHeight="1"/>
    <row r="636" ht="24.0" customHeight="1"/>
    <row r="637" ht="24.0" customHeight="1"/>
    <row r="638" ht="24.0" customHeight="1"/>
    <row r="639" ht="24.0" customHeight="1"/>
    <row r="640" ht="24.0" customHeight="1"/>
    <row r="641" ht="24.0" customHeight="1"/>
    <row r="642" ht="24.0" customHeight="1"/>
    <row r="643" ht="24.0" customHeight="1"/>
    <row r="644" ht="24.0" customHeight="1"/>
    <row r="645" ht="24.0" customHeight="1"/>
    <row r="646" ht="24.0" customHeight="1"/>
    <row r="647" ht="24.0" customHeight="1"/>
    <row r="648" ht="24.0" customHeight="1"/>
    <row r="649" ht="24.0" customHeight="1"/>
    <row r="650" ht="24.0" customHeight="1"/>
    <row r="651" ht="24.0" customHeight="1"/>
    <row r="652" ht="24.0" customHeight="1"/>
    <row r="653" ht="24.0" customHeight="1"/>
    <row r="654" ht="24.0" customHeight="1"/>
    <row r="655" ht="24.0" customHeight="1"/>
    <row r="656" ht="24.0" customHeight="1"/>
    <row r="657" ht="24.0" customHeight="1"/>
    <row r="658" ht="24.0" customHeight="1"/>
    <row r="659" ht="24.0" customHeight="1"/>
    <row r="660" ht="24.0" customHeight="1"/>
    <row r="661" ht="24.0" customHeight="1"/>
    <row r="662" ht="24.0" customHeight="1"/>
    <row r="663" ht="24.0" customHeight="1"/>
    <row r="664" ht="24.0" customHeight="1"/>
    <row r="665" ht="24.0" customHeight="1"/>
    <row r="666" ht="24.0" customHeight="1"/>
    <row r="667" ht="24.0" customHeight="1"/>
    <row r="668" ht="24.0" customHeight="1"/>
    <row r="669" ht="24.0" customHeight="1"/>
    <row r="670" ht="24.0" customHeight="1"/>
    <row r="671" ht="24.0" customHeight="1"/>
    <row r="672" ht="24.0" customHeight="1"/>
    <row r="673" ht="24.0" customHeight="1"/>
    <row r="674" ht="24.0" customHeight="1"/>
    <row r="675" ht="24.0" customHeight="1"/>
    <row r="676" ht="24.0" customHeight="1"/>
    <row r="677" ht="24.0" customHeight="1"/>
    <row r="678" ht="24.0" customHeight="1"/>
    <row r="679" ht="24.0" customHeight="1"/>
    <row r="680" ht="24.0" customHeight="1"/>
    <row r="681" ht="24.0" customHeight="1"/>
    <row r="682" ht="24.0" customHeight="1"/>
    <row r="683" ht="24.0" customHeight="1"/>
    <row r="684" ht="24.0" customHeight="1"/>
    <row r="685" ht="24.0" customHeight="1"/>
    <row r="686" ht="24.0" customHeight="1"/>
    <row r="687" ht="24.0" customHeight="1"/>
    <row r="688" ht="24.0" customHeight="1"/>
    <row r="689" ht="24.0" customHeight="1"/>
    <row r="690" ht="24.0" customHeight="1"/>
    <row r="691" ht="24.0" customHeight="1"/>
    <row r="692" ht="24.0" customHeight="1"/>
    <row r="693" ht="24.0" customHeight="1"/>
    <row r="694" ht="24.0" customHeight="1"/>
    <row r="695" ht="24.0" customHeight="1"/>
    <row r="696" ht="24.0" customHeight="1"/>
    <row r="697" ht="24.0" customHeight="1"/>
    <row r="698" ht="24.0" customHeight="1"/>
    <row r="699" ht="24.0" customHeight="1"/>
    <row r="700" ht="24.0" customHeight="1"/>
    <row r="701" ht="24.0" customHeight="1"/>
    <row r="702" ht="24.0" customHeight="1"/>
    <row r="703" ht="24.0" customHeight="1"/>
    <row r="704" ht="24.0" customHeight="1"/>
    <row r="705" ht="24.0" customHeight="1"/>
    <row r="706" ht="24.0" customHeight="1"/>
    <row r="707" ht="24.0" customHeight="1"/>
    <row r="708" ht="24.0" customHeight="1"/>
    <row r="709" ht="24.0" customHeight="1"/>
    <row r="710" ht="24.0" customHeight="1"/>
    <row r="711" ht="24.0" customHeight="1"/>
    <row r="712" ht="24.0" customHeight="1"/>
    <row r="713" ht="24.0" customHeight="1"/>
    <row r="714" ht="24.0" customHeight="1"/>
    <row r="715" ht="24.0" customHeight="1"/>
    <row r="716" ht="24.0" customHeight="1"/>
    <row r="717" ht="24.0" customHeight="1"/>
    <row r="718" ht="24.0" customHeight="1"/>
    <row r="719" ht="24.0" customHeight="1"/>
    <row r="720" ht="24.0" customHeight="1"/>
    <row r="721" ht="24.0" customHeight="1"/>
    <row r="722" ht="24.0" customHeight="1"/>
    <row r="723" ht="24.0" customHeight="1"/>
    <row r="724" ht="24.0" customHeight="1"/>
    <row r="725" ht="24.0" customHeight="1"/>
    <row r="726" ht="24.0" customHeight="1"/>
    <row r="727" ht="24.0" customHeight="1"/>
    <row r="728" ht="24.0" customHeight="1"/>
    <row r="729" ht="24.0" customHeight="1"/>
    <row r="730" ht="24.0" customHeight="1"/>
    <row r="731" ht="24.0" customHeight="1"/>
    <row r="732" ht="24.0" customHeight="1"/>
    <row r="733" ht="24.0" customHeight="1"/>
    <row r="734" ht="24.0" customHeight="1"/>
    <row r="735" ht="24.0" customHeight="1"/>
    <row r="736" ht="24.0" customHeight="1"/>
    <row r="737" ht="24.0" customHeight="1"/>
    <row r="738" ht="24.0" customHeight="1"/>
    <row r="739" ht="24.0" customHeight="1"/>
    <row r="740" ht="24.0" customHeight="1"/>
    <row r="741" ht="24.0" customHeight="1"/>
    <row r="742" ht="24.0" customHeight="1"/>
    <row r="743" ht="24.0" customHeight="1"/>
    <row r="744" ht="24.0" customHeight="1"/>
    <row r="745" ht="24.0" customHeight="1"/>
    <row r="746" ht="24.0" customHeight="1"/>
    <row r="747" ht="24.0" customHeight="1"/>
    <row r="748" ht="24.0" customHeight="1"/>
    <row r="749" ht="24.0" customHeight="1"/>
    <row r="750" ht="24.0" customHeight="1"/>
    <row r="751" ht="24.0" customHeight="1"/>
    <row r="752" ht="24.0" customHeight="1"/>
    <row r="753" ht="24.0" customHeight="1"/>
    <row r="754" ht="24.0" customHeight="1"/>
    <row r="755" ht="24.0" customHeight="1"/>
    <row r="756" ht="24.0" customHeight="1"/>
    <row r="757" ht="24.0" customHeight="1"/>
    <row r="758" ht="24.0" customHeight="1"/>
    <row r="759" ht="24.0" customHeight="1"/>
    <row r="760" ht="24.0" customHeight="1"/>
    <row r="761" ht="24.0" customHeight="1"/>
    <row r="762" ht="24.0" customHeight="1"/>
    <row r="763" ht="24.0" customHeight="1"/>
    <row r="764" ht="24.0" customHeight="1"/>
    <row r="765" ht="24.0" customHeight="1"/>
    <row r="766" ht="24.0" customHeight="1"/>
    <row r="767" ht="24.0" customHeight="1"/>
    <row r="768" ht="24.0" customHeight="1"/>
    <row r="769" ht="24.0" customHeight="1"/>
    <row r="770" ht="24.0" customHeight="1"/>
    <row r="771" ht="24.0" customHeight="1"/>
    <row r="772" ht="24.0" customHeight="1"/>
    <row r="773" ht="24.0" customHeight="1"/>
    <row r="774" ht="24.0" customHeight="1"/>
    <row r="775" ht="24.0" customHeight="1"/>
    <row r="776" ht="24.0" customHeight="1"/>
    <row r="777" ht="24.0" customHeight="1"/>
    <row r="778" ht="24.0" customHeight="1"/>
    <row r="779" ht="24.0" customHeight="1"/>
    <row r="780" ht="24.0" customHeight="1"/>
    <row r="781" ht="24.0" customHeight="1"/>
    <row r="782" ht="24.0" customHeight="1"/>
    <row r="783" ht="24.0" customHeight="1"/>
    <row r="784" ht="24.0" customHeight="1"/>
    <row r="785" ht="24.0" customHeight="1"/>
    <row r="786" ht="24.0" customHeight="1"/>
    <row r="787" ht="24.0" customHeight="1"/>
    <row r="788" ht="24.0" customHeight="1"/>
    <row r="789" ht="24.0" customHeight="1"/>
    <row r="790" ht="24.0" customHeight="1"/>
    <row r="791" ht="24.0" customHeight="1"/>
    <row r="792" ht="24.0" customHeight="1"/>
    <row r="793" ht="24.0" customHeight="1"/>
    <row r="794" ht="24.0" customHeight="1"/>
    <row r="795" ht="24.0" customHeight="1"/>
    <row r="796" ht="24.0" customHeight="1"/>
    <row r="797" ht="24.0" customHeight="1"/>
    <row r="798" ht="24.0" customHeight="1"/>
    <row r="799" ht="24.0" customHeight="1"/>
    <row r="800" ht="24.0" customHeight="1"/>
    <row r="801" ht="24.0" customHeight="1"/>
    <row r="802" ht="24.0" customHeight="1"/>
    <row r="803" ht="24.0" customHeight="1"/>
    <row r="804" ht="24.0" customHeight="1"/>
    <row r="805" ht="24.0" customHeight="1"/>
    <row r="806" ht="24.0" customHeight="1"/>
    <row r="807" ht="24.0" customHeight="1"/>
    <row r="808" ht="24.0" customHeight="1"/>
    <row r="809" ht="24.0" customHeight="1"/>
    <row r="810" ht="24.0" customHeight="1"/>
    <row r="811" ht="24.0" customHeight="1"/>
    <row r="812" ht="24.0" customHeight="1"/>
    <row r="813" ht="24.0" customHeight="1"/>
    <row r="814" ht="24.0" customHeight="1"/>
    <row r="815" ht="24.0" customHeight="1"/>
    <row r="816" ht="24.0" customHeight="1"/>
    <row r="817" ht="24.0" customHeight="1"/>
    <row r="818" ht="24.0" customHeight="1"/>
    <row r="819" ht="24.0" customHeight="1"/>
    <row r="820" ht="24.0" customHeight="1"/>
    <row r="821" ht="24.0" customHeight="1"/>
    <row r="822" ht="24.0" customHeight="1"/>
    <row r="823" ht="24.0" customHeight="1"/>
    <row r="824" ht="24.0" customHeight="1"/>
    <row r="825" ht="24.0" customHeight="1"/>
    <row r="826" ht="24.0" customHeight="1"/>
    <row r="827" ht="24.0" customHeight="1"/>
    <row r="828" ht="24.0" customHeight="1"/>
    <row r="829" ht="24.0" customHeight="1"/>
    <row r="830" ht="24.0" customHeight="1"/>
    <row r="831" ht="24.0" customHeight="1"/>
    <row r="832" ht="24.0" customHeight="1"/>
    <row r="833" ht="24.0" customHeight="1"/>
    <row r="834" ht="24.0" customHeight="1"/>
    <row r="835" ht="24.0" customHeight="1"/>
    <row r="836" ht="24.0" customHeight="1"/>
    <row r="837" ht="24.0" customHeight="1"/>
    <row r="838" ht="24.0" customHeight="1"/>
    <row r="839" ht="24.0" customHeight="1"/>
    <row r="840" ht="24.0" customHeight="1"/>
    <row r="841" ht="24.0" customHeight="1"/>
    <row r="842" ht="24.0" customHeight="1"/>
    <row r="843" ht="24.0" customHeight="1"/>
    <row r="844" ht="24.0" customHeight="1"/>
    <row r="845" ht="24.0" customHeight="1"/>
    <row r="846" ht="24.0" customHeight="1"/>
    <row r="847" ht="24.0" customHeight="1"/>
    <row r="848" ht="24.0" customHeight="1"/>
    <row r="849" ht="24.0" customHeight="1"/>
    <row r="850" ht="24.0" customHeight="1"/>
    <row r="851" ht="24.0" customHeight="1"/>
    <row r="852" ht="24.0" customHeight="1"/>
    <row r="853" ht="24.0" customHeight="1"/>
    <row r="854" ht="24.0" customHeight="1"/>
    <row r="855" ht="24.0" customHeight="1"/>
    <row r="856" ht="24.0" customHeight="1"/>
    <row r="857" ht="24.0" customHeight="1"/>
    <row r="858" ht="24.0" customHeight="1"/>
    <row r="859" ht="24.0" customHeight="1"/>
    <row r="860" ht="24.0" customHeight="1"/>
    <row r="861" ht="24.0" customHeight="1"/>
    <row r="862" ht="24.0" customHeight="1"/>
    <row r="863" ht="24.0" customHeight="1"/>
    <row r="864" ht="24.0" customHeight="1"/>
    <row r="865" ht="24.0" customHeight="1"/>
    <row r="866" ht="24.0" customHeight="1"/>
    <row r="867" ht="24.0" customHeight="1"/>
    <row r="868" ht="24.0" customHeight="1"/>
    <row r="869" ht="24.0" customHeight="1"/>
    <row r="870" ht="24.0" customHeight="1"/>
    <row r="871" ht="24.0" customHeight="1"/>
    <row r="872" ht="24.0" customHeight="1"/>
    <row r="873" ht="24.0" customHeight="1"/>
    <row r="874" ht="24.0" customHeight="1"/>
    <row r="875" ht="24.0" customHeight="1"/>
    <row r="876" ht="24.0" customHeight="1"/>
    <row r="877" ht="24.0" customHeight="1"/>
    <row r="878" ht="24.0" customHeight="1"/>
    <row r="879" ht="24.0" customHeight="1"/>
    <row r="880" ht="24.0" customHeight="1"/>
    <row r="881" ht="24.0" customHeight="1"/>
    <row r="882" ht="24.0" customHeight="1"/>
    <row r="883" ht="24.0" customHeight="1"/>
    <row r="884" ht="24.0" customHeight="1"/>
    <row r="885" ht="24.0" customHeight="1"/>
    <row r="886" ht="24.0" customHeight="1"/>
    <row r="887" ht="24.0" customHeight="1"/>
    <row r="888" ht="24.0" customHeight="1"/>
    <row r="889" ht="24.0" customHeight="1"/>
    <row r="890" ht="24.0" customHeight="1"/>
    <row r="891" ht="24.0" customHeight="1"/>
    <row r="892" ht="24.0" customHeight="1"/>
    <row r="893" ht="24.0" customHeight="1"/>
    <row r="894" ht="24.0" customHeight="1"/>
    <row r="895" ht="24.0" customHeight="1"/>
    <row r="896" ht="24.0" customHeight="1"/>
    <row r="897" ht="24.0" customHeight="1"/>
    <row r="898" ht="24.0" customHeight="1"/>
    <row r="899" ht="24.0" customHeight="1"/>
    <row r="900" ht="24.0" customHeight="1"/>
    <row r="901" ht="24.0" customHeight="1"/>
    <row r="902" ht="24.0" customHeight="1"/>
    <row r="903" ht="24.0" customHeight="1"/>
    <row r="904" ht="24.0" customHeight="1"/>
    <row r="905" ht="24.0" customHeight="1"/>
    <row r="906" ht="24.0" customHeight="1"/>
    <row r="907" ht="24.0" customHeight="1"/>
    <row r="908" ht="24.0" customHeight="1"/>
    <row r="909" ht="24.0" customHeight="1"/>
    <row r="910" ht="24.0" customHeight="1"/>
    <row r="911" ht="24.0" customHeight="1"/>
    <row r="912" ht="24.0" customHeight="1"/>
    <row r="913" ht="24.0" customHeight="1"/>
    <row r="914" ht="24.0" customHeight="1"/>
    <row r="915" ht="24.0" customHeight="1"/>
    <row r="916" ht="24.0" customHeight="1"/>
    <row r="917" ht="24.0" customHeight="1"/>
    <row r="918" ht="24.0" customHeight="1"/>
    <row r="919" ht="24.0" customHeight="1"/>
    <row r="920" ht="24.0" customHeight="1"/>
    <row r="921" ht="24.0" customHeight="1"/>
    <row r="922" ht="24.0" customHeight="1"/>
    <row r="923" ht="24.0" customHeight="1"/>
    <row r="924" ht="24.0" customHeight="1"/>
    <row r="925" ht="24.0" customHeight="1"/>
    <row r="926" ht="24.0" customHeight="1"/>
    <row r="927" ht="24.0" customHeight="1"/>
    <row r="928" ht="24.0" customHeight="1"/>
    <row r="929" ht="24.0" customHeight="1"/>
    <row r="930" ht="24.0" customHeight="1"/>
    <row r="931" ht="24.0" customHeight="1"/>
    <row r="932" ht="24.0" customHeight="1"/>
    <row r="933" ht="24.0" customHeight="1"/>
    <row r="934" ht="24.0" customHeight="1"/>
    <row r="935" ht="24.0" customHeight="1"/>
    <row r="936" ht="24.0" customHeight="1"/>
    <row r="937" ht="24.0" customHeight="1"/>
    <row r="938" ht="24.0" customHeight="1"/>
    <row r="939" ht="24.0" customHeight="1"/>
    <row r="940" ht="24.0" customHeight="1"/>
    <row r="941" ht="24.0" customHeight="1"/>
    <row r="942" ht="24.0" customHeight="1"/>
    <row r="943" ht="24.0" customHeight="1"/>
    <row r="944" ht="24.0" customHeight="1"/>
    <row r="945" ht="24.0" customHeight="1"/>
    <row r="946" ht="24.0" customHeight="1"/>
    <row r="947" ht="24.0" customHeight="1"/>
    <row r="948" ht="24.0" customHeight="1"/>
    <row r="949" ht="24.0" customHeight="1"/>
    <row r="950" ht="24.0" customHeight="1"/>
    <row r="951" ht="24.0" customHeight="1"/>
    <row r="952" ht="24.0" customHeight="1"/>
    <row r="953" ht="24.0" customHeight="1"/>
    <row r="954" ht="24.0" customHeight="1"/>
    <row r="955" ht="24.0" customHeight="1"/>
    <row r="956" ht="24.0" customHeight="1"/>
    <row r="957" ht="24.0" customHeight="1"/>
    <row r="958" ht="24.0" customHeight="1"/>
    <row r="959" ht="24.0" customHeight="1"/>
    <row r="960" ht="24.0" customHeight="1"/>
    <row r="961" ht="24.0" customHeight="1"/>
    <row r="962" ht="24.0" customHeight="1"/>
    <row r="963" ht="24.0" customHeight="1"/>
    <row r="964" ht="24.0" customHeight="1"/>
    <row r="965" ht="24.0" customHeight="1"/>
    <row r="966" ht="24.0" customHeight="1"/>
    <row r="967" ht="24.0" customHeight="1"/>
    <row r="968" ht="24.0" customHeight="1"/>
    <row r="969" ht="24.0" customHeight="1"/>
    <row r="970" ht="24.0" customHeight="1"/>
    <row r="971" ht="24.0" customHeight="1"/>
    <row r="972" ht="24.0" customHeight="1"/>
    <row r="973" ht="24.0" customHeight="1"/>
    <row r="974" ht="24.0" customHeight="1"/>
    <row r="975" ht="24.0" customHeight="1"/>
    <row r="976" ht="24.0" customHeight="1"/>
    <row r="977" ht="24.0" customHeight="1"/>
    <row r="978" ht="24.0" customHeight="1"/>
    <row r="979" ht="24.0" customHeight="1"/>
    <row r="980" ht="24.0" customHeight="1"/>
    <row r="981" ht="24.0" customHeight="1"/>
    <row r="982" ht="24.0" customHeight="1"/>
    <row r="983" ht="24.0" customHeight="1"/>
    <row r="984" ht="24.0" customHeight="1"/>
    <row r="985" ht="24.0" customHeight="1"/>
    <row r="986" ht="24.0" customHeight="1"/>
    <row r="987" ht="24.0" customHeight="1"/>
    <row r="988" ht="24.0" customHeight="1"/>
    <row r="989" ht="24.0" customHeight="1"/>
    <row r="990" ht="24.0" customHeight="1"/>
    <row r="991" ht="24.0" customHeight="1"/>
    <row r="992" ht="24.0" customHeight="1"/>
    <row r="993" ht="24.0" customHeight="1"/>
    <row r="994" ht="24.0" customHeight="1"/>
    <row r="995" ht="24.0" customHeight="1"/>
    <row r="996" ht="24.0" customHeight="1"/>
    <row r="997" ht="24.0" customHeight="1"/>
    <row r="998" ht="24.0" customHeight="1"/>
    <row r="999" ht="24.0" customHeight="1"/>
    <row r="1000" ht="24.0" customHeight="1"/>
  </sheetData>
  <mergeCells count="2">
    <mergeCell ref="B1:F1"/>
    <mergeCell ref="B9:E9"/>
  </mergeCells>
  <conditionalFormatting sqref="E4">
    <cfRule type="expression" dxfId="0" priority="1">
      <formula>AND(ISNUMBER(E4),ROUND(E4,2)=INT(ROUND(E4,2)))</formula>
    </cfRule>
  </conditionalFormatting>
  <conditionalFormatting sqref="E4">
    <cfRule type="expression" dxfId="1" priority="2">
      <formula>AND(ISNUMBER(E4),ROUND(E4,2)&lt;&gt;INT(ROUND(E4,2)))</formula>
    </cfRule>
  </conditionalFormatting>
  <conditionalFormatting sqref="F4">
    <cfRule type="expression" dxfId="0" priority="3">
      <formula>AND(ISNUMBER(F4),ROUND(F4,2)=INT(ROUND(F4,2)))</formula>
    </cfRule>
  </conditionalFormatting>
  <conditionalFormatting sqref="F4">
    <cfRule type="expression" dxfId="1" priority="4">
      <formula>AND(ISNUMBER(F4),ROUND(F4,2)&lt;&gt;INT(ROUND(F4,2)))</formula>
    </cfRule>
  </conditionalFormatting>
  <conditionalFormatting sqref="E5">
    <cfRule type="expression" dxfId="0" priority="5">
      <formula>AND(ISNUMBER(E5),ROUND(E5,2)=INT(ROUND(E5,2)))</formula>
    </cfRule>
  </conditionalFormatting>
  <conditionalFormatting sqref="E5">
    <cfRule type="expression" dxfId="1" priority="6">
      <formula>AND(ISNUMBER(E5),ROUND(E5,2)&lt;&gt;INT(ROUND(E5,2)))</formula>
    </cfRule>
  </conditionalFormatting>
  <conditionalFormatting sqref="F5">
    <cfRule type="expression" dxfId="0" priority="7">
      <formula>AND(ISNUMBER(F5),ROUND(F5,2)=INT(ROUND(F5,2)))</formula>
    </cfRule>
  </conditionalFormatting>
  <conditionalFormatting sqref="F5">
    <cfRule type="expression" dxfId="1" priority="8">
      <formula>AND(ISNUMBER(F5),ROUND(F5,2)&lt;&gt;INT(ROUND(F5,2)))</formula>
    </cfRule>
  </conditionalFormatting>
  <conditionalFormatting sqref="E6">
    <cfRule type="expression" dxfId="0" priority="9">
      <formula>AND(ISNUMBER(E6),ROUND(E6,2)=INT(ROUND(E6,2)))</formula>
    </cfRule>
  </conditionalFormatting>
  <conditionalFormatting sqref="E6">
    <cfRule type="expression" dxfId="1" priority="10">
      <formula>AND(ISNUMBER(E6),ROUND(E6,2)&lt;&gt;INT(ROUND(E6,2)))</formula>
    </cfRule>
  </conditionalFormatting>
  <conditionalFormatting sqref="F6">
    <cfRule type="expression" dxfId="0" priority="11">
      <formula>AND(ISNUMBER(F6),ROUND(F6,2)=INT(ROUND(F6,2)))</formula>
    </cfRule>
  </conditionalFormatting>
  <conditionalFormatting sqref="F6">
    <cfRule type="expression" dxfId="1" priority="12">
      <formula>AND(ISNUMBER(F6),ROUND(F6,2)&lt;&gt;INT(ROUND(F6,2)))</formula>
    </cfRule>
  </conditionalFormatting>
  <conditionalFormatting sqref="E7">
    <cfRule type="expression" dxfId="0" priority="13">
      <formula>AND(ISNUMBER(E7),ROUND(E7,2)=INT(ROUND(E7,2)))</formula>
    </cfRule>
  </conditionalFormatting>
  <conditionalFormatting sqref="E7">
    <cfRule type="expression" dxfId="1" priority="14">
      <formula>AND(ISNUMBER(E7),ROUND(E7,2)&lt;&gt;INT(ROUND(E7,2)))</formula>
    </cfRule>
  </conditionalFormatting>
  <conditionalFormatting sqref="F7">
    <cfRule type="expression" dxfId="0" priority="15">
      <formula>AND(ISNUMBER(F7),ROUND(F7,2)=INT(ROUND(F7,2)))</formula>
    </cfRule>
  </conditionalFormatting>
  <conditionalFormatting sqref="F7">
    <cfRule type="expression" dxfId="1" priority="16">
      <formula>AND(ISNUMBER(F7),ROUND(F7,2)&lt;&gt;INT(ROUND(F7,2)))</formula>
    </cfRule>
  </conditionalFormatting>
  <conditionalFormatting sqref="F9">
    <cfRule type="expression" dxfId="0" priority="17">
      <formula>AND(ISNUMBER(F9),ROUND(F9,2)=INT(ROUND(F9,2)))</formula>
    </cfRule>
  </conditionalFormatting>
  <conditionalFormatting sqref="F9">
    <cfRule type="expression" dxfId="1" priority="18">
      <formula>AND(ISNUMBER(F9),ROUND(F9,2)&lt;&gt;INT(ROUND(F9,2)))</formula>
    </cfRule>
  </conditionalFormatting>
  <dataValidations>
    <dataValidation type="decimal" operator="greaterThanOrEqual" allowBlank="1" showInputMessage="1" showErrorMessage="1" prompt="יש להזין מספר לא שלילי" sqref="D4:D7">
      <formula1>0.0</formula1>
    </dataValidation>
    <dataValidation type="custom" allowBlank="1" showInputMessage="1" showErrorMessage="1" prompt="מספר לא שלילי, כלול או לא רלוונטי בלבד" sqref="E4:E7">
      <formula1>OR(ISBLANK(E4),AND(ISNUMBER(E4),E4&gt;=0),E4="כלול",E4="לא רלוונטי")</formula1>
    </dataValidation>
  </dataValidations>
  <printOptions/>
  <pageMargins bottom="0.75" footer="0.0" header="0.0" left="0.25" right="0.25" top="0.75"/>
  <pageSetup fitToHeight="0" paperSize="9" orientation="portrait"/>
  <headerFooter>
    <oddFooter>&amp;Cעמוד &amp;P</oddFoot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rightToLeft="1" workbookViewId="0"/>
  </sheetViews>
  <sheetFormatPr customHeight="1" defaultColWidth="14.43" defaultRowHeight="15.0"/>
  <cols>
    <col customWidth="1" min="1" max="1" width="7.29"/>
    <col customWidth="1" min="2" max="2" width="66.29"/>
    <col customWidth="1" min="3" max="6" width="8.14"/>
    <col customWidth="1" hidden="1" min="7" max="7" width="36.0"/>
    <col customWidth="1" hidden="1" min="8" max="8" width="12.0"/>
    <col customWidth="1" min="9" max="26" width="8.71"/>
  </cols>
  <sheetData>
    <row r="1" ht="31.5" customHeight="1">
      <c r="A1" s="10"/>
      <c r="B1" s="3" t="s">
        <v>61</v>
      </c>
      <c r="G1" s="2" t="s">
        <v>60</v>
      </c>
      <c r="H1" s="2" t="s">
        <v>53</v>
      </c>
    </row>
    <row r="2" ht="31.5" customHeight="1">
      <c r="A2" s="16" t="s">
        <v>59</v>
      </c>
      <c r="B2" s="17" t="s">
        <v>67</v>
      </c>
      <c r="C2" s="16" t="s">
        <v>72</v>
      </c>
      <c r="D2" s="16" t="s">
        <v>76</v>
      </c>
      <c r="E2" s="16" t="s">
        <v>79</v>
      </c>
      <c r="F2" s="16" t="s">
        <v>81</v>
      </c>
      <c r="G2" s="2"/>
      <c r="H2" s="2" t="s">
        <v>84</v>
      </c>
    </row>
    <row r="3" ht="63.75" customHeight="1">
      <c r="A3" s="19"/>
      <c r="B3" s="20" t="s">
        <v>312</v>
      </c>
      <c r="C3" s="19"/>
      <c r="D3" s="19"/>
      <c r="E3" s="19"/>
      <c r="F3" s="19"/>
      <c r="G3" s="12" t="s">
        <v>313</v>
      </c>
      <c r="H3" s="12" t="s">
        <v>105</v>
      </c>
    </row>
    <row r="4" ht="63.75" customHeight="1">
      <c r="A4" s="19"/>
      <c r="B4" s="20" t="s">
        <v>314</v>
      </c>
      <c r="C4" s="19" t="s">
        <v>126</v>
      </c>
      <c r="D4" s="19"/>
      <c r="E4" s="22"/>
      <c r="F4" s="22" t="str">
        <f t="shared" ref="F4:F6" si="1">IF(ISBLANK(D4),"",IF(NOT(ISNUMBER(D4)),"קלט לא תקין",IF(D4&lt;0,"קלט לא תקין",IF(ISBLANK(E4),"",IF(OR(E4="כלול",E4="לא רלוונטי"),0,IF(NOT(ISNUMBER(E4)),"קלט לא תקין",IF(E4&lt;0,"קלט לא תקין",ROUND(D4*E4,2))))))))</f>
        <v/>
      </c>
      <c r="G4" s="12" t="s">
        <v>318</v>
      </c>
      <c r="H4" s="12" t="s">
        <v>113</v>
      </c>
    </row>
    <row r="5" ht="63.75" customHeight="1">
      <c r="A5" s="19"/>
      <c r="B5" s="20" t="s">
        <v>319</v>
      </c>
      <c r="C5" s="19" t="s">
        <v>126</v>
      </c>
      <c r="D5" s="19"/>
      <c r="E5" s="22"/>
      <c r="F5" s="22" t="str">
        <f t="shared" si="1"/>
        <v/>
      </c>
      <c r="G5" s="12" t="s">
        <v>323</v>
      </c>
      <c r="H5" s="12" t="s">
        <v>113</v>
      </c>
    </row>
    <row r="6" ht="63.75" customHeight="1">
      <c r="A6" s="19"/>
      <c r="B6" s="20" t="s">
        <v>324</v>
      </c>
      <c r="C6" s="19" t="s">
        <v>126</v>
      </c>
      <c r="D6" s="19"/>
      <c r="E6" s="22"/>
      <c r="F6" s="22" t="str">
        <f t="shared" si="1"/>
        <v/>
      </c>
      <c r="G6" s="12" t="s">
        <v>325</v>
      </c>
      <c r="H6" s="12" t="s">
        <v>113</v>
      </c>
    </row>
    <row r="7" ht="366.75" customHeight="1">
      <c r="A7" s="19"/>
      <c r="B7" s="20"/>
      <c r="C7" s="19"/>
      <c r="D7" s="19"/>
      <c r="E7" s="19"/>
      <c r="F7" s="19"/>
      <c r="G7" s="12"/>
      <c r="H7" s="12" t="s">
        <v>86</v>
      </c>
    </row>
    <row r="8" ht="31.5" customHeight="1">
      <c r="A8" s="6"/>
      <c r="B8" s="7" t="s">
        <v>130</v>
      </c>
      <c r="C8" s="8"/>
      <c r="D8" s="8"/>
      <c r="E8" s="9"/>
      <c r="F8" s="23">
        <f>SUM(F4,F5,F6)</f>
        <v>0</v>
      </c>
      <c r="G8" s="12"/>
      <c r="H8" s="12" t="s">
        <v>136</v>
      </c>
    </row>
    <row r="9" ht="24.0" customHeight="1"/>
    <row r="10" ht="24.0" customHeight="1"/>
    <row r="11" ht="24.0" customHeight="1"/>
    <row r="12" ht="24.0" customHeight="1"/>
    <row r="13" ht="24.0" customHeight="1"/>
    <row r="14" ht="24.0" customHeight="1"/>
    <row r="15" ht="24.0" customHeight="1"/>
    <row r="16" ht="24.0" customHeight="1"/>
    <row r="17" ht="24.0" customHeight="1"/>
    <row r="18" ht="24.0" customHeight="1"/>
    <row r="19" ht="24.0" customHeight="1"/>
    <row r="20" ht="24.0" customHeight="1"/>
    <row r="21" ht="24.0" customHeight="1"/>
    <row r="22" ht="24.0" customHeight="1"/>
    <row r="23" ht="24.0" customHeight="1"/>
    <row r="24" ht="24.0" customHeight="1"/>
    <row r="25" ht="24.0" customHeight="1"/>
    <row r="26" ht="24.0" customHeight="1"/>
    <row r="27" ht="24.0" customHeight="1"/>
    <row r="28" ht="24.0" customHeight="1"/>
    <row r="29" ht="24.0" customHeight="1"/>
    <row r="30" ht="24.0" customHeight="1"/>
    <row r="31" ht="24.0" customHeight="1"/>
    <row r="32" ht="24.0" customHeight="1"/>
    <row r="33" ht="24.0" customHeight="1"/>
    <row r="34" ht="24.0" customHeight="1"/>
    <row r="35" ht="24.0" customHeight="1"/>
    <row r="36" ht="24.0" customHeight="1"/>
    <row r="37" ht="24.0" customHeight="1"/>
    <row r="38" ht="24.0" customHeight="1"/>
    <row r="39" ht="24.0" customHeight="1"/>
    <row r="40" ht="24.0" customHeight="1"/>
    <row r="41" ht="24.0" customHeight="1"/>
    <row r="42" ht="24.0" customHeight="1"/>
    <row r="43" ht="24.0" customHeight="1"/>
    <row r="44" ht="24.0" customHeight="1"/>
    <row r="45" ht="24.0" customHeight="1"/>
    <row r="46" ht="24.0" customHeight="1"/>
    <row r="47" ht="24.0" customHeight="1"/>
    <row r="48" ht="24.0" customHeight="1"/>
    <row r="49" ht="24.0" customHeight="1"/>
    <row r="50" ht="24.0" customHeight="1"/>
    <row r="51" ht="24.0" customHeight="1"/>
    <row r="52" ht="24.0" customHeight="1"/>
    <row r="53" ht="24.0" customHeight="1"/>
    <row r="54" ht="24.0" customHeight="1"/>
    <row r="55" ht="24.0" customHeight="1"/>
    <row r="56" ht="24.0" customHeight="1"/>
    <row r="57" ht="24.0" customHeight="1"/>
    <row r="58" ht="24.0" customHeight="1"/>
    <row r="59" ht="24.0" customHeight="1"/>
    <row r="60" ht="24.0" customHeight="1"/>
    <row r="61" ht="24.0" customHeight="1"/>
    <row r="62" ht="24.0" customHeight="1"/>
    <row r="63" ht="24.0" customHeight="1"/>
    <row r="64" ht="24.0" customHeight="1"/>
    <row r="65" ht="24.0" customHeight="1"/>
    <row r="66" ht="24.0" customHeight="1"/>
    <row r="67" ht="24.0" customHeight="1"/>
    <row r="68" ht="24.0" customHeight="1"/>
    <row r="69" ht="24.0" customHeight="1"/>
    <row r="70" ht="24.0" customHeight="1"/>
    <row r="71" ht="24.0" customHeight="1"/>
    <row r="72" ht="24.0" customHeight="1"/>
    <row r="73" ht="24.0" customHeight="1"/>
    <row r="74" ht="24.0" customHeight="1"/>
    <row r="75" ht="24.0" customHeight="1"/>
    <row r="76" ht="24.0" customHeight="1"/>
    <row r="77" ht="24.0" customHeight="1"/>
    <row r="78" ht="24.0" customHeight="1"/>
    <row r="79" ht="24.0" customHeight="1"/>
    <row r="80" ht="24.0" customHeight="1"/>
    <row r="81" ht="24.0" customHeight="1"/>
    <row r="82" ht="24.0" customHeight="1"/>
    <row r="83" ht="24.0" customHeight="1"/>
    <row r="84" ht="24.0" customHeight="1"/>
    <row r="85" ht="24.0" customHeight="1"/>
    <row r="86" ht="24.0" customHeight="1"/>
    <row r="87" ht="24.0" customHeight="1"/>
    <row r="88" ht="24.0" customHeight="1"/>
    <row r="89" ht="24.0" customHeight="1"/>
    <row r="90" ht="24.0" customHeight="1"/>
    <row r="91" ht="24.0" customHeight="1"/>
    <row r="92" ht="24.0" customHeight="1"/>
    <row r="93" ht="24.0" customHeight="1"/>
    <row r="94" ht="24.0" customHeight="1"/>
    <row r="95" ht="24.0" customHeight="1"/>
    <row r="96" ht="24.0" customHeight="1"/>
    <row r="97" ht="24.0" customHeight="1"/>
    <row r="98" ht="24.0" customHeight="1"/>
    <row r="99" ht="24.0" customHeight="1"/>
    <row r="100" ht="24.0" customHeight="1"/>
    <row r="101" ht="24.0" customHeight="1"/>
    <row r="102" ht="24.0" customHeight="1"/>
    <row r="103" ht="24.0" customHeight="1"/>
    <row r="104" ht="24.0" customHeight="1"/>
    <row r="105" ht="24.0" customHeight="1"/>
    <row r="106" ht="24.0" customHeight="1"/>
    <row r="107" ht="24.0" customHeight="1"/>
    <row r="108" ht="24.0" customHeight="1"/>
    <row r="109" ht="24.0" customHeight="1"/>
    <row r="110" ht="24.0" customHeight="1"/>
    <row r="111" ht="24.0" customHeight="1"/>
    <row r="112" ht="24.0" customHeight="1"/>
    <row r="113" ht="24.0" customHeight="1"/>
    <row r="114" ht="24.0" customHeight="1"/>
    <row r="115" ht="24.0" customHeight="1"/>
    <row r="116" ht="24.0" customHeight="1"/>
    <row r="117" ht="24.0" customHeight="1"/>
    <row r="118" ht="24.0" customHeight="1"/>
    <row r="119" ht="24.0" customHeight="1"/>
    <row r="120" ht="24.0" customHeight="1"/>
    <row r="121" ht="24.0" customHeight="1"/>
    <row r="122" ht="24.0" customHeight="1"/>
    <row r="123" ht="24.0" customHeight="1"/>
    <row r="124" ht="24.0" customHeight="1"/>
    <row r="125" ht="24.0" customHeight="1"/>
    <row r="126" ht="24.0" customHeight="1"/>
    <row r="127" ht="24.0" customHeight="1"/>
    <row r="128" ht="24.0" customHeight="1"/>
    <row r="129" ht="24.0" customHeight="1"/>
    <row r="130" ht="24.0" customHeight="1"/>
    <row r="131" ht="24.0" customHeight="1"/>
    <row r="132" ht="24.0" customHeight="1"/>
    <row r="133" ht="24.0" customHeight="1"/>
    <row r="134" ht="24.0" customHeight="1"/>
    <row r="135" ht="24.0" customHeight="1"/>
    <row r="136" ht="24.0" customHeight="1"/>
    <row r="137" ht="24.0" customHeight="1"/>
    <row r="138" ht="24.0" customHeight="1"/>
    <row r="139" ht="24.0" customHeight="1"/>
    <row r="140" ht="24.0" customHeight="1"/>
    <row r="141" ht="24.0" customHeight="1"/>
    <row r="142" ht="24.0" customHeight="1"/>
    <row r="143" ht="24.0" customHeight="1"/>
    <row r="144" ht="24.0" customHeight="1"/>
    <row r="145" ht="24.0" customHeight="1"/>
    <row r="146" ht="24.0" customHeight="1"/>
    <row r="147" ht="24.0" customHeight="1"/>
    <row r="148" ht="24.0" customHeight="1"/>
    <row r="149" ht="24.0" customHeight="1"/>
    <row r="150" ht="24.0" customHeight="1"/>
    <row r="151" ht="24.0" customHeight="1"/>
    <row r="152" ht="24.0" customHeight="1"/>
    <row r="153" ht="24.0" customHeight="1"/>
    <row r="154" ht="24.0" customHeight="1"/>
    <row r="155" ht="24.0" customHeight="1"/>
    <row r="156" ht="24.0" customHeight="1"/>
    <row r="157" ht="24.0" customHeight="1"/>
    <row r="158" ht="24.0" customHeight="1"/>
    <row r="159" ht="24.0" customHeight="1"/>
    <row r="160" ht="24.0" customHeight="1"/>
    <row r="161" ht="24.0" customHeight="1"/>
    <row r="162" ht="24.0" customHeight="1"/>
    <row r="163" ht="24.0" customHeight="1"/>
    <row r="164" ht="24.0" customHeight="1"/>
    <row r="165" ht="24.0" customHeight="1"/>
    <row r="166" ht="24.0" customHeight="1"/>
    <row r="167" ht="24.0" customHeight="1"/>
    <row r="168" ht="24.0" customHeight="1"/>
    <row r="169" ht="24.0" customHeight="1"/>
    <row r="170" ht="24.0" customHeight="1"/>
    <row r="171" ht="24.0" customHeight="1"/>
    <row r="172" ht="24.0" customHeight="1"/>
    <row r="173" ht="24.0" customHeight="1"/>
    <row r="174" ht="24.0" customHeight="1"/>
    <row r="175" ht="24.0" customHeight="1"/>
    <row r="176" ht="24.0" customHeight="1"/>
    <row r="177" ht="24.0" customHeight="1"/>
    <row r="178" ht="24.0" customHeight="1"/>
    <row r="179" ht="24.0" customHeight="1"/>
    <row r="180" ht="24.0" customHeight="1"/>
    <row r="181" ht="24.0" customHeight="1"/>
    <row r="182" ht="24.0" customHeight="1"/>
    <row r="183" ht="24.0" customHeight="1"/>
    <row r="184" ht="24.0" customHeight="1"/>
    <row r="185" ht="24.0" customHeight="1"/>
    <row r="186" ht="24.0" customHeight="1"/>
    <row r="187" ht="24.0" customHeight="1"/>
    <row r="188" ht="24.0" customHeight="1"/>
    <row r="189" ht="24.0" customHeight="1"/>
    <row r="190" ht="24.0" customHeight="1"/>
    <row r="191" ht="24.0" customHeight="1"/>
    <row r="192" ht="24.0" customHeight="1"/>
    <row r="193" ht="24.0" customHeight="1"/>
    <row r="194" ht="24.0" customHeight="1"/>
    <row r="195" ht="24.0" customHeight="1"/>
    <row r="196" ht="24.0" customHeight="1"/>
    <row r="197" ht="24.0" customHeight="1"/>
    <row r="198" ht="24.0" customHeight="1"/>
    <row r="199" ht="24.0" customHeight="1"/>
    <row r="200" ht="24.0" customHeight="1"/>
    <row r="201" ht="24.0" customHeight="1"/>
    <row r="202" ht="24.0" customHeight="1"/>
    <row r="203" ht="24.0" customHeight="1"/>
    <row r="204" ht="24.0" customHeight="1"/>
    <row r="205" ht="24.0" customHeight="1"/>
    <row r="206" ht="24.0" customHeight="1"/>
    <row r="207" ht="24.0" customHeight="1"/>
    <row r="208" ht="24.0" customHeight="1"/>
    <row r="209" ht="24.0" customHeight="1"/>
    <row r="210" ht="24.0" customHeight="1"/>
    <row r="211" ht="24.0" customHeight="1"/>
    <row r="212" ht="24.0" customHeight="1"/>
    <row r="213" ht="24.0" customHeight="1"/>
    <row r="214" ht="24.0" customHeight="1"/>
    <row r="215" ht="24.0" customHeight="1"/>
    <row r="216" ht="24.0" customHeight="1"/>
    <row r="217" ht="24.0" customHeight="1"/>
    <row r="218" ht="24.0" customHeight="1"/>
    <row r="219" ht="24.0" customHeight="1"/>
    <row r="220" ht="24.0" customHeight="1"/>
    <row r="221" ht="24.0" customHeight="1"/>
    <row r="222" ht="24.0" customHeight="1"/>
    <row r="223" ht="24.0" customHeight="1"/>
    <row r="224" ht="24.0" customHeight="1"/>
    <row r="225" ht="24.0" customHeight="1"/>
    <row r="226" ht="24.0" customHeight="1"/>
    <row r="227" ht="24.0" customHeight="1"/>
    <row r="228" ht="24.0" customHeight="1"/>
    <row r="229" ht="24.0" customHeight="1"/>
    <row r="230" ht="24.0" customHeight="1"/>
    <row r="231" ht="24.0" customHeight="1"/>
    <row r="232" ht="24.0" customHeight="1"/>
    <row r="233" ht="24.0" customHeight="1"/>
    <row r="234" ht="24.0" customHeight="1"/>
    <row r="235" ht="24.0" customHeight="1"/>
    <row r="236" ht="24.0" customHeight="1"/>
    <row r="237" ht="24.0" customHeight="1"/>
    <row r="238" ht="24.0" customHeight="1"/>
    <row r="239" ht="24.0" customHeight="1"/>
    <row r="240" ht="24.0" customHeight="1"/>
    <row r="241" ht="24.0" customHeight="1"/>
    <row r="242" ht="24.0" customHeight="1"/>
    <row r="243" ht="24.0" customHeight="1"/>
    <row r="244" ht="24.0" customHeight="1"/>
    <row r="245" ht="24.0" customHeight="1"/>
    <row r="246" ht="24.0" customHeight="1"/>
    <row r="247" ht="24.0" customHeight="1"/>
    <row r="248" ht="24.0" customHeight="1"/>
    <row r="249" ht="24.0" customHeight="1"/>
    <row r="250" ht="24.0" customHeight="1"/>
    <row r="251" ht="24.0" customHeight="1"/>
    <row r="252" ht="24.0" customHeight="1"/>
    <row r="253" ht="24.0" customHeight="1"/>
    <row r="254" ht="24.0" customHeight="1"/>
    <row r="255" ht="24.0" customHeight="1"/>
    <row r="256" ht="24.0" customHeight="1"/>
    <row r="257" ht="24.0" customHeight="1"/>
    <row r="258" ht="24.0" customHeight="1"/>
    <row r="259" ht="24.0" customHeight="1"/>
    <row r="260" ht="24.0" customHeight="1"/>
    <row r="261" ht="24.0" customHeight="1"/>
    <row r="262" ht="24.0" customHeight="1"/>
    <row r="263" ht="24.0" customHeight="1"/>
    <row r="264" ht="24.0" customHeight="1"/>
    <row r="265" ht="24.0" customHeight="1"/>
    <row r="266" ht="24.0" customHeight="1"/>
    <row r="267" ht="24.0" customHeight="1"/>
    <row r="268" ht="24.0" customHeight="1"/>
    <row r="269" ht="24.0" customHeight="1"/>
    <row r="270" ht="24.0" customHeight="1"/>
    <row r="271" ht="24.0" customHeight="1"/>
    <row r="272" ht="24.0" customHeight="1"/>
    <row r="273" ht="24.0" customHeight="1"/>
    <row r="274" ht="24.0" customHeight="1"/>
    <row r="275" ht="24.0" customHeight="1"/>
    <row r="276" ht="24.0" customHeight="1"/>
    <row r="277" ht="24.0" customHeight="1"/>
    <row r="278" ht="24.0" customHeight="1"/>
    <row r="279" ht="24.0" customHeight="1"/>
    <row r="280" ht="24.0" customHeight="1"/>
    <row r="281" ht="24.0" customHeight="1"/>
    <row r="282" ht="24.0" customHeight="1"/>
    <row r="283" ht="24.0" customHeight="1"/>
    <row r="284" ht="24.0" customHeight="1"/>
    <row r="285" ht="24.0" customHeight="1"/>
    <row r="286" ht="24.0" customHeight="1"/>
    <row r="287" ht="24.0" customHeight="1"/>
    <row r="288" ht="24.0" customHeight="1"/>
    <row r="289" ht="24.0" customHeight="1"/>
    <row r="290" ht="24.0" customHeight="1"/>
    <row r="291" ht="24.0" customHeight="1"/>
    <row r="292" ht="24.0" customHeight="1"/>
    <row r="293" ht="24.0" customHeight="1"/>
    <row r="294" ht="24.0" customHeight="1"/>
    <row r="295" ht="24.0" customHeight="1"/>
    <row r="296" ht="24.0" customHeight="1"/>
    <row r="297" ht="24.0" customHeight="1"/>
    <row r="298" ht="24.0" customHeight="1"/>
    <row r="299" ht="24.0" customHeight="1"/>
    <row r="300" ht="24.0" customHeight="1"/>
    <row r="301" ht="24.0" customHeight="1"/>
    <row r="302" ht="24.0" customHeight="1"/>
    <row r="303" ht="24.0" customHeight="1"/>
    <row r="304" ht="24.0" customHeight="1"/>
    <row r="305" ht="24.0" customHeight="1"/>
    <row r="306" ht="24.0" customHeight="1"/>
    <row r="307" ht="24.0" customHeight="1"/>
    <row r="308" ht="24.0" customHeight="1"/>
    <row r="309" ht="24.0" customHeight="1"/>
    <row r="310" ht="24.0" customHeight="1"/>
    <row r="311" ht="24.0" customHeight="1"/>
    <row r="312" ht="24.0" customHeight="1"/>
    <row r="313" ht="24.0" customHeight="1"/>
    <row r="314" ht="24.0" customHeight="1"/>
    <row r="315" ht="24.0" customHeight="1"/>
    <row r="316" ht="24.0" customHeight="1"/>
    <row r="317" ht="24.0" customHeight="1"/>
    <row r="318" ht="24.0" customHeight="1"/>
    <row r="319" ht="24.0" customHeight="1"/>
    <row r="320" ht="24.0" customHeight="1"/>
    <row r="321" ht="24.0" customHeight="1"/>
    <row r="322" ht="24.0" customHeight="1"/>
    <row r="323" ht="24.0" customHeight="1"/>
    <row r="324" ht="24.0" customHeight="1"/>
    <row r="325" ht="24.0" customHeight="1"/>
    <row r="326" ht="24.0" customHeight="1"/>
    <row r="327" ht="24.0" customHeight="1"/>
    <row r="328" ht="24.0" customHeight="1"/>
    <row r="329" ht="24.0" customHeight="1"/>
    <row r="330" ht="24.0" customHeight="1"/>
    <row r="331" ht="24.0" customHeight="1"/>
    <row r="332" ht="24.0" customHeight="1"/>
    <row r="333" ht="24.0" customHeight="1"/>
    <row r="334" ht="24.0" customHeight="1"/>
    <row r="335" ht="24.0" customHeight="1"/>
    <row r="336" ht="24.0" customHeight="1"/>
    <row r="337" ht="24.0" customHeight="1"/>
    <row r="338" ht="24.0" customHeight="1"/>
    <row r="339" ht="24.0" customHeight="1"/>
    <row r="340" ht="24.0" customHeight="1"/>
    <row r="341" ht="24.0" customHeight="1"/>
    <row r="342" ht="24.0" customHeight="1"/>
    <row r="343" ht="24.0" customHeight="1"/>
    <row r="344" ht="24.0" customHeight="1"/>
    <row r="345" ht="24.0" customHeight="1"/>
    <row r="346" ht="24.0" customHeight="1"/>
    <row r="347" ht="24.0" customHeight="1"/>
    <row r="348" ht="24.0" customHeight="1"/>
    <row r="349" ht="24.0" customHeight="1"/>
    <row r="350" ht="24.0" customHeight="1"/>
    <row r="351" ht="24.0" customHeight="1"/>
    <row r="352" ht="24.0" customHeight="1"/>
    <row r="353" ht="24.0" customHeight="1"/>
    <row r="354" ht="24.0" customHeight="1"/>
    <row r="355" ht="24.0" customHeight="1"/>
    <row r="356" ht="24.0" customHeight="1"/>
    <row r="357" ht="24.0" customHeight="1"/>
    <row r="358" ht="24.0" customHeight="1"/>
    <row r="359" ht="24.0" customHeight="1"/>
    <row r="360" ht="24.0" customHeight="1"/>
    <row r="361" ht="24.0" customHeight="1"/>
    <row r="362" ht="24.0" customHeight="1"/>
    <row r="363" ht="24.0" customHeight="1"/>
    <row r="364" ht="24.0" customHeight="1"/>
    <row r="365" ht="24.0" customHeight="1"/>
    <row r="366" ht="24.0" customHeight="1"/>
    <row r="367" ht="24.0" customHeight="1"/>
    <row r="368" ht="24.0" customHeight="1"/>
    <row r="369" ht="24.0" customHeight="1"/>
    <row r="370" ht="24.0" customHeight="1"/>
    <row r="371" ht="24.0" customHeight="1"/>
    <row r="372" ht="24.0" customHeight="1"/>
    <row r="373" ht="24.0" customHeight="1"/>
    <row r="374" ht="24.0" customHeight="1"/>
    <row r="375" ht="24.0" customHeight="1"/>
    <row r="376" ht="24.0" customHeight="1"/>
    <row r="377" ht="24.0" customHeight="1"/>
    <row r="378" ht="24.0" customHeight="1"/>
    <row r="379" ht="24.0" customHeight="1"/>
    <row r="380" ht="24.0" customHeight="1"/>
    <row r="381" ht="24.0" customHeight="1"/>
    <row r="382" ht="24.0" customHeight="1"/>
    <row r="383" ht="24.0" customHeight="1"/>
    <row r="384" ht="24.0" customHeight="1"/>
    <row r="385" ht="24.0" customHeight="1"/>
    <row r="386" ht="24.0" customHeight="1"/>
    <row r="387" ht="24.0" customHeight="1"/>
    <row r="388" ht="24.0" customHeight="1"/>
    <row r="389" ht="24.0" customHeight="1"/>
    <row r="390" ht="24.0" customHeight="1"/>
    <row r="391" ht="24.0" customHeight="1"/>
    <row r="392" ht="24.0" customHeight="1"/>
    <row r="393" ht="24.0" customHeight="1"/>
    <row r="394" ht="24.0" customHeight="1"/>
    <row r="395" ht="24.0" customHeight="1"/>
    <row r="396" ht="24.0" customHeight="1"/>
    <row r="397" ht="24.0" customHeight="1"/>
    <row r="398" ht="24.0" customHeight="1"/>
    <row r="399" ht="24.0" customHeight="1"/>
    <row r="400" ht="24.0" customHeight="1"/>
    <row r="401" ht="24.0" customHeight="1"/>
    <row r="402" ht="24.0" customHeight="1"/>
    <row r="403" ht="24.0" customHeight="1"/>
    <row r="404" ht="24.0" customHeight="1"/>
    <row r="405" ht="24.0" customHeight="1"/>
    <row r="406" ht="24.0" customHeight="1"/>
    <row r="407" ht="24.0" customHeight="1"/>
    <row r="408" ht="24.0" customHeight="1"/>
    <row r="409" ht="24.0" customHeight="1"/>
    <row r="410" ht="24.0" customHeight="1"/>
    <row r="411" ht="24.0" customHeight="1"/>
    <row r="412" ht="24.0" customHeight="1"/>
    <row r="413" ht="24.0" customHeight="1"/>
    <row r="414" ht="24.0" customHeight="1"/>
    <row r="415" ht="24.0" customHeight="1"/>
    <row r="416" ht="24.0" customHeight="1"/>
    <row r="417" ht="24.0" customHeight="1"/>
    <row r="418" ht="24.0" customHeight="1"/>
    <row r="419" ht="24.0" customHeight="1"/>
    <row r="420" ht="24.0" customHeight="1"/>
    <row r="421" ht="24.0" customHeight="1"/>
    <row r="422" ht="24.0" customHeight="1"/>
    <row r="423" ht="24.0" customHeight="1"/>
    <row r="424" ht="24.0" customHeight="1"/>
    <row r="425" ht="24.0" customHeight="1"/>
    <row r="426" ht="24.0" customHeight="1"/>
    <row r="427" ht="24.0" customHeight="1"/>
    <row r="428" ht="24.0" customHeight="1"/>
    <row r="429" ht="24.0" customHeight="1"/>
    <row r="430" ht="24.0" customHeight="1"/>
    <row r="431" ht="24.0" customHeight="1"/>
    <row r="432" ht="24.0" customHeight="1"/>
    <row r="433" ht="24.0" customHeight="1"/>
    <row r="434" ht="24.0" customHeight="1"/>
    <row r="435" ht="24.0" customHeight="1"/>
    <row r="436" ht="24.0" customHeight="1"/>
    <row r="437" ht="24.0" customHeight="1"/>
    <row r="438" ht="24.0" customHeight="1"/>
    <row r="439" ht="24.0" customHeight="1"/>
    <row r="440" ht="24.0" customHeight="1"/>
    <row r="441" ht="24.0" customHeight="1"/>
    <row r="442" ht="24.0" customHeight="1"/>
    <row r="443" ht="24.0" customHeight="1"/>
    <row r="444" ht="24.0" customHeight="1"/>
    <row r="445" ht="24.0" customHeight="1"/>
    <row r="446" ht="24.0" customHeight="1"/>
    <row r="447" ht="24.0" customHeight="1"/>
    <row r="448" ht="24.0" customHeight="1"/>
    <row r="449" ht="24.0" customHeight="1"/>
    <row r="450" ht="24.0" customHeight="1"/>
    <row r="451" ht="24.0" customHeight="1"/>
    <row r="452" ht="24.0" customHeight="1"/>
    <row r="453" ht="24.0" customHeight="1"/>
    <row r="454" ht="24.0" customHeight="1"/>
    <row r="455" ht="24.0" customHeight="1"/>
    <row r="456" ht="24.0" customHeight="1"/>
    <row r="457" ht="24.0" customHeight="1"/>
    <row r="458" ht="24.0" customHeight="1"/>
    <row r="459" ht="24.0" customHeight="1"/>
    <row r="460" ht="24.0" customHeight="1"/>
    <row r="461" ht="24.0" customHeight="1"/>
    <row r="462" ht="24.0" customHeight="1"/>
    <row r="463" ht="24.0" customHeight="1"/>
    <row r="464" ht="24.0" customHeight="1"/>
    <row r="465" ht="24.0" customHeight="1"/>
    <row r="466" ht="24.0" customHeight="1"/>
    <row r="467" ht="24.0" customHeight="1"/>
    <row r="468" ht="24.0" customHeight="1"/>
    <row r="469" ht="24.0" customHeight="1"/>
    <row r="470" ht="24.0" customHeight="1"/>
    <row r="471" ht="24.0" customHeight="1"/>
    <row r="472" ht="24.0" customHeight="1"/>
    <row r="473" ht="24.0" customHeight="1"/>
    <row r="474" ht="24.0" customHeight="1"/>
    <row r="475" ht="24.0" customHeight="1"/>
    <row r="476" ht="24.0" customHeight="1"/>
    <row r="477" ht="24.0" customHeight="1"/>
    <row r="478" ht="24.0" customHeight="1"/>
    <row r="479" ht="24.0" customHeight="1"/>
    <row r="480" ht="24.0" customHeight="1"/>
    <row r="481" ht="24.0" customHeight="1"/>
    <row r="482" ht="24.0" customHeight="1"/>
    <row r="483" ht="24.0" customHeight="1"/>
    <row r="484" ht="24.0" customHeight="1"/>
    <row r="485" ht="24.0" customHeight="1"/>
    <row r="486" ht="24.0" customHeight="1"/>
    <row r="487" ht="24.0" customHeight="1"/>
    <row r="488" ht="24.0" customHeight="1"/>
    <row r="489" ht="24.0" customHeight="1"/>
    <row r="490" ht="24.0" customHeight="1"/>
    <row r="491" ht="24.0" customHeight="1"/>
    <row r="492" ht="24.0" customHeight="1"/>
    <row r="493" ht="24.0" customHeight="1"/>
    <row r="494" ht="24.0" customHeight="1"/>
    <row r="495" ht="24.0" customHeight="1"/>
    <row r="496" ht="24.0" customHeight="1"/>
    <row r="497" ht="24.0" customHeight="1"/>
    <row r="498" ht="24.0" customHeight="1"/>
    <row r="499" ht="24.0" customHeight="1"/>
    <row r="500" ht="24.0" customHeight="1"/>
    <row r="501" ht="24.0" customHeight="1"/>
    <row r="502" ht="24.0" customHeight="1"/>
    <row r="503" ht="24.0" customHeight="1"/>
    <row r="504" ht="24.0" customHeight="1"/>
    <row r="505" ht="24.0" customHeight="1"/>
    <row r="506" ht="24.0" customHeight="1"/>
    <row r="507" ht="24.0" customHeight="1"/>
    <row r="508" ht="24.0" customHeight="1"/>
    <row r="509" ht="24.0" customHeight="1"/>
    <row r="510" ht="24.0" customHeight="1"/>
    <row r="511" ht="24.0" customHeight="1"/>
    <row r="512" ht="24.0" customHeight="1"/>
    <row r="513" ht="24.0" customHeight="1"/>
    <row r="514" ht="24.0" customHeight="1"/>
    <row r="515" ht="24.0" customHeight="1"/>
    <row r="516" ht="24.0" customHeight="1"/>
    <row r="517" ht="24.0" customHeight="1"/>
    <row r="518" ht="24.0" customHeight="1"/>
    <row r="519" ht="24.0" customHeight="1"/>
    <row r="520" ht="24.0" customHeight="1"/>
    <row r="521" ht="24.0" customHeight="1"/>
    <row r="522" ht="24.0" customHeight="1"/>
    <row r="523" ht="24.0" customHeight="1"/>
    <row r="524" ht="24.0" customHeight="1"/>
    <row r="525" ht="24.0" customHeight="1"/>
    <row r="526" ht="24.0" customHeight="1"/>
    <row r="527" ht="24.0" customHeight="1"/>
    <row r="528" ht="24.0" customHeight="1"/>
    <row r="529" ht="24.0" customHeight="1"/>
    <row r="530" ht="24.0" customHeight="1"/>
    <row r="531" ht="24.0" customHeight="1"/>
    <row r="532" ht="24.0" customHeight="1"/>
    <row r="533" ht="24.0" customHeight="1"/>
    <row r="534" ht="24.0" customHeight="1"/>
    <row r="535" ht="24.0" customHeight="1"/>
    <row r="536" ht="24.0" customHeight="1"/>
    <row r="537" ht="24.0" customHeight="1"/>
    <row r="538" ht="24.0" customHeight="1"/>
    <row r="539" ht="24.0" customHeight="1"/>
    <row r="540" ht="24.0" customHeight="1"/>
    <row r="541" ht="24.0" customHeight="1"/>
    <row r="542" ht="24.0" customHeight="1"/>
    <row r="543" ht="24.0" customHeight="1"/>
    <row r="544" ht="24.0" customHeight="1"/>
    <row r="545" ht="24.0" customHeight="1"/>
    <row r="546" ht="24.0" customHeight="1"/>
    <row r="547" ht="24.0" customHeight="1"/>
    <row r="548" ht="24.0" customHeight="1"/>
    <row r="549" ht="24.0" customHeight="1"/>
    <row r="550" ht="24.0" customHeight="1"/>
    <row r="551" ht="24.0" customHeight="1"/>
    <row r="552" ht="24.0" customHeight="1"/>
    <row r="553" ht="24.0" customHeight="1"/>
    <row r="554" ht="24.0" customHeight="1"/>
    <row r="555" ht="24.0" customHeight="1"/>
    <row r="556" ht="24.0" customHeight="1"/>
    <row r="557" ht="24.0" customHeight="1"/>
    <row r="558" ht="24.0" customHeight="1"/>
    <row r="559" ht="24.0" customHeight="1"/>
    <row r="560" ht="24.0" customHeight="1"/>
    <row r="561" ht="24.0" customHeight="1"/>
    <row r="562" ht="24.0" customHeight="1"/>
    <row r="563" ht="24.0" customHeight="1"/>
    <row r="564" ht="24.0" customHeight="1"/>
    <row r="565" ht="24.0" customHeight="1"/>
    <row r="566" ht="24.0" customHeight="1"/>
    <row r="567" ht="24.0" customHeight="1"/>
    <row r="568" ht="24.0" customHeight="1"/>
    <row r="569" ht="24.0" customHeight="1"/>
    <row r="570" ht="24.0" customHeight="1"/>
    <row r="571" ht="24.0" customHeight="1"/>
    <row r="572" ht="24.0" customHeight="1"/>
    <row r="573" ht="24.0" customHeight="1"/>
    <row r="574" ht="24.0" customHeight="1"/>
    <row r="575" ht="24.0" customHeight="1"/>
    <row r="576" ht="24.0" customHeight="1"/>
    <row r="577" ht="24.0" customHeight="1"/>
    <row r="578" ht="24.0" customHeight="1"/>
    <row r="579" ht="24.0" customHeight="1"/>
    <row r="580" ht="24.0" customHeight="1"/>
    <row r="581" ht="24.0" customHeight="1"/>
    <row r="582" ht="24.0" customHeight="1"/>
    <row r="583" ht="24.0" customHeight="1"/>
    <row r="584" ht="24.0" customHeight="1"/>
    <row r="585" ht="24.0" customHeight="1"/>
    <row r="586" ht="24.0" customHeight="1"/>
    <row r="587" ht="24.0" customHeight="1"/>
    <row r="588" ht="24.0" customHeight="1"/>
    <row r="589" ht="24.0" customHeight="1"/>
    <row r="590" ht="24.0" customHeight="1"/>
    <row r="591" ht="24.0" customHeight="1"/>
    <row r="592" ht="24.0" customHeight="1"/>
    <row r="593" ht="24.0" customHeight="1"/>
    <row r="594" ht="24.0" customHeight="1"/>
    <row r="595" ht="24.0" customHeight="1"/>
    <row r="596" ht="24.0" customHeight="1"/>
    <row r="597" ht="24.0" customHeight="1"/>
    <row r="598" ht="24.0" customHeight="1"/>
    <row r="599" ht="24.0" customHeight="1"/>
    <row r="600" ht="24.0" customHeight="1"/>
    <row r="601" ht="24.0" customHeight="1"/>
    <row r="602" ht="24.0" customHeight="1"/>
    <row r="603" ht="24.0" customHeight="1"/>
    <row r="604" ht="24.0" customHeight="1"/>
    <row r="605" ht="24.0" customHeight="1"/>
    <row r="606" ht="24.0" customHeight="1"/>
    <row r="607" ht="24.0" customHeight="1"/>
    <row r="608" ht="24.0" customHeight="1"/>
    <row r="609" ht="24.0" customHeight="1"/>
    <row r="610" ht="24.0" customHeight="1"/>
    <row r="611" ht="24.0" customHeight="1"/>
    <row r="612" ht="24.0" customHeight="1"/>
    <row r="613" ht="24.0" customHeight="1"/>
    <row r="614" ht="24.0" customHeight="1"/>
    <row r="615" ht="24.0" customHeight="1"/>
    <row r="616" ht="24.0" customHeight="1"/>
    <row r="617" ht="24.0" customHeight="1"/>
    <row r="618" ht="24.0" customHeight="1"/>
    <row r="619" ht="24.0" customHeight="1"/>
    <row r="620" ht="24.0" customHeight="1"/>
    <row r="621" ht="24.0" customHeight="1"/>
    <row r="622" ht="24.0" customHeight="1"/>
    <row r="623" ht="24.0" customHeight="1"/>
    <row r="624" ht="24.0" customHeight="1"/>
    <row r="625" ht="24.0" customHeight="1"/>
    <row r="626" ht="24.0" customHeight="1"/>
    <row r="627" ht="24.0" customHeight="1"/>
    <row r="628" ht="24.0" customHeight="1"/>
    <row r="629" ht="24.0" customHeight="1"/>
    <row r="630" ht="24.0" customHeight="1"/>
    <row r="631" ht="24.0" customHeight="1"/>
    <row r="632" ht="24.0" customHeight="1"/>
    <row r="633" ht="24.0" customHeight="1"/>
    <row r="634" ht="24.0" customHeight="1"/>
    <row r="635" ht="24.0" customHeight="1"/>
    <row r="636" ht="24.0" customHeight="1"/>
    <row r="637" ht="24.0" customHeight="1"/>
    <row r="638" ht="24.0" customHeight="1"/>
    <row r="639" ht="24.0" customHeight="1"/>
    <row r="640" ht="24.0" customHeight="1"/>
    <row r="641" ht="24.0" customHeight="1"/>
    <row r="642" ht="24.0" customHeight="1"/>
    <row r="643" ht="24.0" customHeight="1"/>
    <row r="644" ht="24.0" customHeight="1"/>
    <row r="645" ht="24.0" customHeight="1"/>
    <row r="646" ht="24.0" customHeight="1"/>
    <row r="647" ht="24.0" customHeight="1"/>
    <row r="648" ht="24.0" customHeight="1"/>
    <row r="649" ht="24.0" customHeight="1"/>
    <row r="650" ht="24.0" customHeight="1"/>
    <row r="651" ht="24.0" customHeight="1"/>
    <row r="652" ht="24.0" customHeight="1"/>
    <row r="653" ht="24.0" customHeight="1"/>
    <row r="654" ht="24.0" customHeight="1"/>
    <row r="655" ht="24.0" customHeight="1"/>
    <row r="656" ht="24.0" customHeight="1"/>
    <row r="657" ht="24.0" customHeight="1"/>
    <row r="658" ht="24.0" customHeight="1"/>
    <row r="659" ht="24.0" customHeight="1"/>
    <row r="660" ht="24.0" customHeight="1"/>
    <row r="661" ht="24.0" customHeight="1"/>
    <row r="662" ht="24.0" customHeight="1"/>
    <row r="663" ht="24.0" customHeight="1"/>
    <row r="664" ht="24.0" customHeight="1"/>
    <row r="665" ht="24.0" customHeight="1"/>
    <row r="666" ht="24.0" customHeight="1"/>
    <row r="667" ht="24.0" customHeight="1"/>
    <row r="668" ht="24.0" customHeight="1"/>
    <row r="669" ht="24.0" customHeight="1"/>
    <row r="670" ht="24.0" customHeight="1"/>
    <row r="671" ht="24.0" customHeight="1"/>
    <row r="672" ht="24.0" customHeight="1"/>
    <row r="673" ht="24.0" customHeight="1"/>
    <row r="674" ht="24.0" customHeight="1"/>
    <row r="675" ht="24.0" customHeight="1"/>
    <row r="676" ht="24.0" customHeight="1"/>
    <row r="677" ht="24.0" customHeight="1"/>
    <row r="678" ht="24.0" customHeight="1"/>
    <row r="679" ht="24.0" customHeight="1"/>
    <row r="680" ht="24.0" customHeight="1"/>
    <row r="681" ht="24.0" customHeight="1"/>
    <row r="682" ht="24.0" customHeight="1"/>
    <row r="683" ht="24.0" customHeight="1"/>
    <row r="684" ht="24.0" customHeight="1"/>
    <row r="685" ht="24.0" customHeight="1"/>
    <row r="686" ht="24.0" customHeight="1"/>
    <row r="687" ht="24.0" customHeight="1"/>
    <row r="688" ht="24.0" customHeight="1"/>
    <row r="689" ht="24.0" customHeight="1"/>
    <row r="690" ht="24.0" customHeight="1"/>
    <row r="691" ht="24.0" customHeight="1"/>
    <row r="692" ht="24.0" customHeight="1"/>
    <row r="693" ht="24.0" customHeight="1"/>
    <row r="694" ht="24.0" customHeight="1"/>
    <row r="695" ht="24.0" customHeight="1"/>
    <row r="696" ht="24.0" customHeight="1"/>
    <row r="697" ht="24.0" customHeight="1"/>
    <row r="698" ht="24.0" customHeight="1"/>
    <row r="699" ht="24.0" customHeight="1"/>
    <row r="700" ht="24.0" customHeight="1"/>
    <row r="701" ht="24.0" customHeight="1"/>
    <row r="702" ht="24.0" customHeight="1"/>
    <row r="703" ht="24.0" customHeight="1"/>
    <row r="704" ht="24.0" customHeight="1"/>
    <row r="705" ht="24.0" customHeight="1"/>
    <row r="706" ht="24.0" customHeight="1"/>
    <row r="707" ht="24.0" customHeight="1"/>
    <row r="708" ht="24.0" customHeight="1"/>
    <row r="709" ht="24.0" customHeight="1"/>
    <row r="710" ht="24.0" customHeight="1"/>
    <row r="711" ht="24.0" customHeight="1"/>
    <row r="712" ht="24.0" customHeight="1"/>
    <row r="713" ht="24.0" customHeight="1"/>
    <row r="714" ht="24.0" customHeight="1"/>
    <row r="715" ht="24.0" customHeight="1"/>
    <row r="716" ht="24.0" customHeight="1"/>
    <row r="717" ht="24.0" customHeight="1"/>
    <row r="718" ht="24.0" customHeight="1"/>
    <row r="719" ht="24.0" customHeight="1"/>
    <row r="720" ht="24.0" customHeight="1"/>
    <row r="721" ht="24.0" customHeight="1"/>
    <row r="722" ht="24.0" customHeight="1"/>
    <row r="723" ht="24.0" customHeight="1"/>
    <row r="724" ht="24.0" customHeight="1"/>
    <row r="725" ht="24.0" customHeight="1"/>
    <row r="726" ht="24.0" customHeight="1"/>
    <row r="727" ht="24.0" customHeight="1"/>
    <row r="728" ht="24.0" customHeight="1"/>
    <row r="729" ht="24.0" customHeight="1"/>
    <row r="730" ht="24.0" customHeight="1"/>
    <row r="731" ht="24.0" customHeight="1"/>
    <row r="732" ht="24.0" customHeight="1"/>
    <row r="733" ht="24.0" customHeight="1"/>
    <row r="734" ht="24.0" customHeight="1"/>
    <row r="735" ht="24.0" customHeight="1"/>
    <row r="736" ht="24.0" customHeight="1"/>
    <row r="737" ht="24.0" customHeight="1"/>
    <row r="738" ht="24.0" customHeight="1"/>
    <row r="739" ht="24.0" customHeight="1"/>
    <row r="740" ht="24.0" customHeight="1"/>
    <row r="741" ht="24.0" customHeight="1"/>
    <row r="742" ht="24.0" customHeight="1"/>
    <row r="743" ht="24.0" customHeight="1"/>
    <row r="744" ht="24.0" customHeight="1"/>
    <row r="745" ht="24.0" customHeight="1"/>
    <row r="746" ht="24.0" customHeight="1"/>
    <row r="747" ht="24.0" customHeight="1"/>
    <row r="748" ht="24.0" customHeight="1"/>
    <row r="749" ht="24.0" customHeight="1"/>
    <row r="750" ht="24.0" customHeight="1"/>
    <row r="751" ht="24.0" customHeight="1"/>
    <row r="752" ht="24.0" customHeight="1"/>
    <row r="753" ht="24.0" customHeight="1"/>
    <row r="754" ht="24.0" customHeight="1"/>
    <row r="755" ht="24.0" customHeight="1"/>
    <row r="756" ht="24.0" customHeight="1"/>
    <row r="757" ht="24.0" customHeight="1"/>
    <row r="758" ht="24.0" customHeight="1"/>
    <row r="759" ht="24.0" customHeight="1"/>
    <row r="760" ht="24.0" customHeight="1"/>
    <row r="761" ht="24.0" customHeight="1"/>
    <row r="762" ht="24.0" customHeight="1"/>
    <row r="763" ht="24.0" customHeight="1"/>
    <row r="764" ht="24.0" customHeight="1"/>
    <row r="765" ht="24.0" customHeight="1"/>
    <row r="766" ht="24.0" customHeight="1"/>
    <row r="767" ht="24.0" customHeight="1"/>
    <row r="768" ht="24.0" customHeight="1"/>
    <row r="769" ht="24.0" customHeight="1"/>
    <row r="770" ht="24.0" customHeight="1"/>
    <row r="771" ht="24.0" customHeight="1"/>
    <row r="772" ht="24.0" customHeight="1"/>
    <row r="773" ht="24.0" customHeight="1"/>
    <row r="774" ht="24.0" customHeight="1"/>
    <row r="775" ht="24.0" customHeight="1"/>
    <row r="776" ht="24.0" customHeight="1"/>
    <row r="777" ht="24.0" customHeight="1"/>
    <row r="778" ht="24.0" customHeight="1"/>
    <row r="779" ht="24.0" customHeight="1"/>
    <row r="780" ht="24.0" customHeight="1"/>
    <row r="781" ht="24.0" customHeight="1"/>
    <row r="782" ht="24.0" customHeight="1"/>
    <row r="783" ht="24.0" customHeight="1"/>
    <row r="784" ht="24.0" customHeight="1"/>
    <row r="785" ht="24.0" customHeight="1"/>
    <row r="786" ht="24.0" customHeight="1"/>
    <row r="787" ht="24.0" customHeight="1"/>
    <row r="788" ht="24.0" customHeight="1"/>
    <row r="789" ht="24.0" customHeight="1"/>
    <row r="790" ht="24.0" customHeight="1"/>
    <row r="791" ht="24.0" customHeight="1"/>
    <row r="792" ht="24.0" customHeight="1"/>
    <row r="793" ht="24.0" customHeight="1"/>
    <row r="794" ht="24.0" customHeight="1"/>
    <row r="795" ht="24.0" customHeight="1"/>
    <row r="796" ht="24.0" customHeight="1"/>
    <row r="797" ht="24.0" customHeight="1"/>
    <row r="798" ht="24.0" customHeight="1"/>
    <row r="799" ht="24.0" customHeight="1"/>
    <row r="800" ht="24.0" customHeight="1"/>
    <row r="801" ht="24.0" customHeight="1"/>
    <row r="802" ht="24.0" customHeight="1"/>
    <row r="803" ht="24.0" customHeight="1"/>
    <row r="804" ht="24.0" customHeight="1"/>
    <row r="805" ht="24.0" customHeight="1"/>
    <row r="806" ht="24.0" customHeight="1"/>
    <row r="807" ht="24.0" customHeight="1"/>
    <row r="808" ht="24.0" customHeight="1"/>
    <row r="809" ht="24.0" customHeight="1"/>
    <row r="810" ht="24.0" customHeight="1"/>
    <row r="811" ht="24.0" customHeight="1"/>
    <row r="812" ht="24.0" customHeight="1"/>
    <row r="813" ht="24.0" customHeight="1"/>
    <row r="814" ht="24.0" customHeight="1"/>
    <row r="815" ht="24.0" customHeight="1"/>
    <row r="816" ht="24.0" customHeight="1"/>
    <row r="817" ht="24.0" customHeight="1"/>
    <row r="818" ht="24.0" customHeight="1"/>
    <row r="819" ht="24.0" customHeight="1"/>
    <row r="820" ht="24.0" customHeight="1"/>
    <row r="821" ht="24.0" customHeight="1"/>
    <row r="822" ht="24.0" customHeight="1"/>
    <row r="823" ht="24.0" customHeight="1"/>
    <row r="824" ht="24.0" customHeight="1"/>
    <row r="825" ht="24.0" customHeight="1"/>
    <row r="826" ht="24.0" customHeight="1"/>
    <row r="827" ht="24.0" customHeight="1"/>
    <row r="828" ht="24.0" customHeight="1"/>
    <row r="829" ht="24.0" customHeight="1"/>
    <row r="830" ht="24.0" customHeight="1"/>
    <row r="831" ht="24.0" customHeight="1"/>
    <row r="832" ht="24.0" customHeight="1"/>
    <row r="833" ht="24.0" customHeight="1"/>
    <row r="834" ht="24.0" customHeight="1"/>
    <row r="835" ht="24.0" customHeight="1"/>
    <row r="836" ht="24.0" customHeight="1"/>
    <row r="837" ht="24.0" customHeight="1"/>
    <row r="838" ht="24.0" customHeight="1"/>
    <row r="839" ht="24.0" customHeight="1"/>
    <row r="840" ht="24.0" customHeight="1"/>
    <row r="841" ht="24.0" customHeight="1"/>
    <row r="842" ht="24.0" customHeight="1"/>
    <row r="843" ht="24.0" customHeight="1"/>
    <row r="844" ht="24.0" customHeight="1"/>
    <row r="845" ht="24.0" customHeight="1"/>
    <row r="846" ht="24.0" customHeight="1"/>
    <row r="847" ht="24.0" customHeight="1"/>
    <row r="848" ht="24.0" customHeight="1"/>
    <row r="849" ht="24.0" customHeight="1"/>
    <row r="850" ht="24.0" customHeight="1"/>
    <row r="851" ht="24.0" customHeight="1"/>
    <row r="852" ht="24.0" customHeight="1"/>
    <row r="853" ht="24.0" customHeight="1"/>
    <row r="854" ht="24.0" customHeight="1"/>
    <row r="855" ht="24.0" customHeight="1"/>
    <row r="856" ht="24.0" customHeight="1"/>
    <row r="857" ht="24.0" customHeight="1"/>
    <row r="858" ht="24.0" customHeight="1"/>
    <row r="859" ht="24.0" customHeight="1"/>
    <row r="860" ht="24.0" customHeight="1"/>
    <row r="861" ht="24.0" customHeight="1"/>
    <row r="862" ht="24.0" customHeight="1"/>
    <row r="863" ht="24.0" customHeight="1"/>
    <row r="864" ht="24.0" customHeight="1"/>
    <row r="865" ht="24.0" customHeight="1"/>
    <row r="866" ht="24.0" customHeight="1"/>
    <row r="867" ht="24.0" customHeight="1"/>
    <row r="868" ht="24.0" customHeight="1"/>
    <row r="869" ht="24.0" customHeight="1"/>
    <row r="870" ht="24.0" customHeight="1"/>
    <row r="871" ht="24.0" customHeight="1"/>
    <row r="872" ht="24.0" customHeight="1"/>
    <row r="873" ht="24.0" customHeight="1"/>
    <row r="874" ht="24.0" customHeight="1"/>
    <row r="875" ht="24.0" customHeight="1"/>
    <row r="876" ht="24.0" customHeight="1"/>
    <row r="877" ht="24.0" customHeight="1"/>
    <row r="878" ht="24.0" customHeight="1"/>
    <row r="879" ht="24.0" customHeight="1"/>
    <row r="880" ht="24.0" customHeight="1"/>
    <row r="881" ht="24.0" customHeight="1"/>
    <row r="882" ht="24.0" customHeight="1"/>
    <row r="883" ht="24.0" customHeight="1"/>
    <row r="884" ht="24.0" customHeight="1"/>
    <row r="885" ht="24.0" customHeight="1"/>
    <row r="886" ht="24.0" customHeight="1"/>
    <row r="887" ht="24.0" customHeight="1"/>
    <row r="888" ht="24.0" customHeight="1"/>
    <row r="889" ht="24.0" customHeight="1"/>
    <row r="890" ht="24.0" customHeight="1"/>
    <row r="891" ht="24.0" customHeight="1"/>
    <row r="892" ht="24.0" customHeight="1"/>
    <row r="893" ht="24.0" customHeight="1"/>
    <row r="894" ht="24.0" customHeight="1"/>
    <row r="895" ht="24.0" customHeight="1"/>
    <row r="896" ht="24.0" customHeight="1"/>
    <row r="897" ht="24.0" customHeight="1"/>
    <row r="898" ht="24.0" customHeight="1"/>
    <row r="899" ht="24.0" customHeight="1"/>
    <row r="900" ht="24.0" customHeight="1"/>
    <row r="901" ht="24.0" customHeight="1"/>
    <row r="902" ht="24.0" customHeight="1"/>
    <row r="903" ht="24.0" customHeight="1"/>
    <row r="904" ht="24.0" customHeight="1"/>
    <row r="905" ht="24.0" customHeight="1"/>
    <row r="906" ht="24.0" customHeight="1"/>
    <row r="907" ht="24.0" customHeight="1"/>
    <row r="908" ht="24.0" customHeight="1"/>
    <row r="909" ht="24.0" customHeight="1"/>
    <row r="910" ht="24.0" customHeight="1"/>
    <row r="911" ht="24.0" customHeight="1"/>
    <row r="912" ht="24.0" customHeight="1"/>
    <row r="913" ht="24.0" customHeight="1"/>
    <row r="914" ht="24.0" customHeight="1"/>
    <row r="915" ht="24.0" customHeight="1"/>
    <row r="916" ht="24.0" customHeight="1"/>
    <row r="917" ht="24.0" customHeight="1"/>
    <row r="918" ht="24.0" customHeight="1"/>
    <row r="919" ht="24.0" customHeight="1"/>
    <row r="920" ht="24.0" customHeight="1"/>
    <row r="921" ht="24.0" customHeight="1"/>
    <row r="922" ht="24.0" customHeight="1"/>
    <row r="923" ht="24.0" customHeight="1"/>
    <row r="924" ht="24.0" customHeight="1"/>
    <row r="925" ht="24.0" customHeight="1"/>
    <row r="926" ht="24.0" customHeight="1"/>
    <row r="927" ht="24.0" customHeight="1"/>
    <row r="928" ht="24.0" customHeight="1"/>
    <row r="929" ht="24.0" customHeight="1"/>
    <row r="930" ht="24.0" customHeight="1"/>
    <row r="931" ht="24.0" customHeight="1"/>
    <row r="932" ht="24.0" customHeight="1"/>
    <row r="933" ht="24.0" customHeight="1"/>
    <row r="934" ht="24.0" customHeight="1"/>
    <row r="935" ht="24.0" customHeight="1"/>
    <row r="936" ht="24.0" customHeight="1"/>
    <row r="937" ht="24.0" customHeight="1"/>
    <row r="938" ht="24.0" customHeight="1"/>
    <row r="939" ht="24.0" customHeight="1"/>
    <row r="940" ht="24.0" customHeight="1"/>
    <row r="941" ht="24.0" customHeight="1"/>
    <row r="942" ht="24.0" customHeight="1"/>
    <row r="943" ht="24.0" customHeight="1"/>
    <row r="944" ht="24.0" customHeight="1"/>
    <row r="945" ht="24.0" customHeight="1"/>
    <row r="946" ht="24.0" customHeight="1"/>
    <row r="947" ht="24.0" customHeight="1"/>
    <row r="948" ht="24.0" customHeight="1"/>
    <row r="949" ht="24.0" customHeight="1"/>
    <row r="950" ht="24.0" customHeight="1"/>
    <row r="951" ht="24.0" customHeight="1"/>
    <row r="952" ht="24.0" customHeight="1"/>
    <row r="953" ht="24.0" customHeight="1"/>
    <row r="954" ht="24.0" customHeight="1"/>
    <row r="955" ht="24.0" customHeight="1"/>
    <row r="956" ht="24.0" customHeight="1"/>
    <row r="957" ht="24.0" customHeight="1"/>
    <row r="958" ht="24.0" customHeight="1"/>
    <row r="959" ht="24.0" customHeight="1"/>
    <row r="960" ht="24.0" customHeight="1"/>
    <row r="961" ht="24.0" customHeight="1"/>
    <row r="962" ht="24.0" customHeight="1"/>
    <row r="963" ht="24.0" customHeight="1"/>
    <row r="964" ht="24.0" customHeight="1"/>
    <row r="965" ht="24.0" customHeight="1"/>
    <row r="966" ht="24.0" customHeight="1"/>
    <row r="967" ht="24.0" customHeight="1"/>
    <row r="968" ht="24.0" customHeight="1"/>
    <row r="969" ht="24.0" customHeight="1"/>
    <row r="970" ht="24.0" customHeight="1"/>
    <row r="971" ht="24.0" customHeight="1"/>
    <row r="972" ht="24.0" customHeight="1"/>
    <row r="973" ht="24.0" customHeight="1"/>
    <row r="974" ht="24.0" customHeight="1"/>
    <row r="975" ht="24.0" customHeight="1"/>
    <row r="976" ht="24.0" customHeight="1"/>
    <row r="977" ht="24.0" customHeight="1"/>
    <row r="978" ht="24.0" customHeight="1"/>
    <row r="979" ht="24.0" customHeight="1"/>
    <row r="980" ht="24.0" customHeight="1"/>
    <row r="981" ht="24.0" customHeight="1"/>
    <row r="982" ht="24.0" customHeight="1"/>
    <row r="983" ht="24.0" customHeight="1"/>
    <row r="984" ht="24.0" customHeight="1"/>
    <row r="985" ht="24.0" customHeight="1"/>
    <row r="986" ht="24.0" customHeight="1"/>
    <row r="987" ht="24.0" customHeight="1"/>
    <row r="988" ht="24.0" customHeight="1"/>
    <row r="989" ht="24.0" customHeight="1"/>
    <row r="990" ht="24.0" customHeight="1"/>
    <row r="991" ht="24.0" customHeight="1"/>
    <row r="992" ht="24.0" customHeight="1"/>
    <row r="993" ht="24.0" customHeight="1"/>
    <row r="994" ht="24.0" customHeight="1"/>
    <row r="995" ht="24.0" customHeight="1"/>
    <row r="996" ht="24.0" customHeight="1"/>
    <row r="997" ht="24.0" customHeight="1"/>
    <row r="998" ht="24.0" customHeight="1"/>
    <row r="999" ht="24.0" customHeight="1"/>
    <row r="1000" ht="24.0" customHeight="1"/>
  </sheetData>
  <mergeCells count="2">
    <mergeCell ref="B1:F1"/>
    <mergeCell ref="B8:E8"/>
  </mergeCells>
  <conditionalFormatting sqref="E4">
    <cfRule type="expression" dxfId="0" priority="1">
      <formula>AND(ISNUMBER(E4),ROUND(E4,2)=INT(ROUND(E4,2)))</formula>
    </cfRule>
  </conditionalFormatting>
  <conditionalFormatting sqref="E4">
    <cfRule type="expression" dxfId="1" priority="2">
      <formula>AND(ISNUMBER(E4),ROUND(E4,2)&lt;&gt;INT(ROUND(E4,2)))</formula>
    </cfRule>
  </conditionalFormatting>
  <conditionalFormatting sqref="F4">
    <cfRule type="expression" dxfId="0" priority="3">
      <formula>AND(ISNUMBER(F4),ROUND(F4,2)=INT(ROUND(F4,2)))</formula>
    </cfRule>
  </conditionalFormatting>
  <conditionalFormatting sqref="F4">
    <cfRule type="expression" dxfId="1" priority="4">
      <formula>AND(ISNUMBER(F4),ROUND(F4,2)&lt;&gt;INT(ROUND(F4,2)))</formula>
    </cfRule>
  </conditionalFormatting>
  <conditionalFormatting sqref="E5">
    <cfRule type="expression" dxfId="0" priority="5">
      <formula>AND(ISNUMBER(E5),ROUND(E5,2)=INT(ROUND(E5,2)))</formula>
    </cfRule>
  </conditionalFormatting>
  <conditionalFormatting sqref="E5">
    <cfRule type="expression" dxfId="1" priority="6">
      <formula>AND(ISNUMBER(E5),ROUND(E5,2)&lt;&gt;INT(ROUND(E5,2)))</formula>
    </cfRule>
  </conditionalFormatting>
  <conditionalFormatting sqref="F5">
    <cfRule type="expression" dxfId="0" priority="7">
      <formula>AND(ISNUMBER(F5),ROUND(F5,2)=INT(ROUND(F5,2)))</formula>
    </cfRule>
  </conditionalFormatting>
  <conditionalFormatting sqref="F5">
    <cfRule type="expression" dxfId="1" priority="8">
      <formula>AND(ISNUMBER(F5),ROUND(F5,2)&lt;&gt;INT(ROUND(F5,2)))</formula>
    </cfRule>
  </conditionalFormatting>
  <conditionalFormatting sqref="E6">
    <cfRule type="expression" dxfId="0" priority="9">
      <formula>AND(ISNUMBER(E6),ROUND(E6,2)=INT(ROUND(E6,2)))</formula>
    </cfRule>
  </conditionalFormatting>
  <conditionalFormatting sqref="E6">
    <cfRule type="expression" dxfId="1" priority="10">
      <formula>AND(ISNUMBER(E6),ROUND(E6,2)&lt;&gt;INT(ROUND(E6,2)))</formula>
    </cfRule>
  </conditionalFormatting>
  <conditionalFormatting sqref="F6">
    <cfRule type="expression" dxfId="0" priority="11">
      <formula>AND(ISNUMBER(F6),ROUND(F6,2)=INT(ROUND(F6,2)))</formula>
    </cfRule>
  </conditionalFormatting>
  <conditionalFormatting sqref="F6">
    <cfRule type="expression" dxfId="1" priority="12">
      <formula>AND(ISNUMBER(F6),ROUND(F6,2)&lt;&gt;INT(ROUND(F6,2)))</formula>
    </cfRule>
  </conditionalFormatting>
  <conditionalFormatting sqref="F8">
    <cfRule type="expression" dxfId="0" priority="13">
      <formula>AND(ISNUMBER(F8),ROUND(F8,2)=INT(ROUND(F8,2)))</formula>
    </cfRule>
  </conditionalFormatting>
  <conditionalFormatting sqref="F8">
    <cfRule type="expression" dxfId="1" priority="14">
      <formula>AND(ISNUMBER(F8),ROUND(F8,2)&lt;&gt;INT(ROUND(F8,2)))</formula>
    </cfRule>
  </conditionalFormatting>
  <dataValidations>
    <dataValidation type="decimal" operator="greaterThanOrEqual" allowBlank="1" showInputMessage="1" showErrorMessage="1" prompt="יש להזין מספר לא שלילי" sqref="D4:D6">
      <formula1>0.0</formula1>
    </dataValidation>
    <dataValidation type="custom" allowBlank="1" showInputMessage="1" showErrorMessage="1" prompt="מספר לא שלילי, כלול או לא רלוונטי בלבד" sqref="E4:E6">
      <formula1>OR(ISBLANK(E4),AND(ISNUMBER(E4),E4&gt;=0),E4="כלול",E4="לא רלוונטי")</formula1>
    </dataValidation>
  </dataValidations>
  <printOptions/>
  <pageMargins bottom="0.75" footer="0.0" header="0.0" left="0.25" right="0.25" top="0.75"/>
  <pageSetup fitToHeight="0" paperSize="9" orientation="portrait"/>
  <headerFooter>
    <oddFooter>&amp;Cעמוד &amp;P</oddFooter>
  </headerFoo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rightToLeft="1" workbookViewId="0"/>
  </sheetViews>
  <sheetFormatPr customHeight="1" defaultColWidth="14.43" defaultRowHeight="15.0"/>
  <cols>
    <col customWidth="1" min="1" max="1" width="7.29"/>
    <col customWidth="1" min="2" max="2" width="66.29"/>
    <col customWidth="1" min="3" max="6" width="8.14"/>
    <col customWidth="1" hidden="1" min="7" max="7" width="36.0"/>
    <col customWidth="1" hidden="1" min="8" max="8" width="12.0"/>
    <col customWidth="1" min="9" max="26" width="8.71"/>
  </cols>
  <sheetData>
    <row r="1" ht="31.5" customHeight="1">
      <c r="A1" s="10"/>
      <c r="B1" s="3" t="s">
        <v>65</v>
      </c>
      <c r="G1" s="2" t="s">
        <v>64</v>
      </c>
      <c r="H1" s="2" t="s">
        <v>53</v>
      </c>
    </row>
    <row r="2" ht="31.5" customHeight="1">
      <c r="A2" s="16" t="s">
        <v>59</v>
      </c>
      <c r="B2" s="17" t="s">
        <v>67</v>
      </c>
      <c r="C2" s="16" t="s">
        <v>72</v>
      </c>
      <c r="D2" s="16" t="s">
        <v>76</v>
      </c>
      <c r="E2" s="16" t="s">
        <v>79</v>
      </c>
      <c r="F2" s="16" t="s">
        <v>81</v>
      </c>
      <c r="G2" s="2"/>
      <c r="H2" s="2" t="s">
        <v>84</v>
      </c>
    </row>
    <row r="3" ht="63.75" customHeight="1">
      <c r="A3" s="19"/>
      <c r="B3" s="20" t="s">
        <v>320</v>
      </c>
      <c r="C3" s="19"/>
      <c r="D3" s="19"/>
      <c r="E3" s="19"/>
      <c r="F3" s="19"/>
      <c r="G3" s="12" t="s">
        <v>321</v>
      </c>
      <c r="H3" s="12" t="s">
        <v>105</v>
      </c>
    </row>
    <row r="4" ht="46.5" customHeight="1">
      <c r="A4" s="19"/>
      <c r="B4" s="20" t="s">
        <v>322</v>
      </c>
      <c r="C4" s="19" t="s">
        <v>147</v>
      </c>
      <c r="D4" s="19"/>
      <c r="E4" s="22"/>
      <c r="F4" s="22" t="str">
        <f t="shared" ref="F4:F6" si="1">IF(ISBLANK(D4),"",IF(NOT(ISNUMBER(D4)),"קלט לא תקין",IF(D4&lt;0,"קלט לא תקין",IF(ISBLANK(E4),"",IF(OR(E4="כלול",E4="לא רלוונטי"),0,IF(NOT(ISNUMBER(E4)),"קלט לא תקין",IF(E4&lt;0,"קלט לא תקין",ROUND(D4*E4,2))))))))</f>
        <v/>
      </c>
      <c r="G4" s="12" t="s">
        <v>333</v>
      </c>
      <c r="H4" s="12" t="s">
        <v>113</v>
      </c>
    </row>
    <row r="5" ht="46.5" customHeight="1">
      <c r="A5" s="19"/>
      <c r="B5" s="20" t="s">
        <v>334</v>
      </c>
      <c r="C5" s="19" t="s">
        <v>147</v>
      </c>
      <c r="D5" s="19"/>
      <c r="E5" s="22"/>
      <c r="F5" s="22" t="str">
        <f t="shared" si="1"/>
        <v/>
      </c>
      <c r="G5" s="12" t="s">
        <v>335</v>
      </c>
      <c r="H5" s="12" t="s">
        <v>113</v>
      </c>
    </row>
    <row r="6" ht="63.75" customHeight="1">
      <c r="A6" s="19"/>
      <c r="B6" s="20" t="s">
        <v>336</v>
      </c>
      <c r="C6" s="19" t="s">
        <v>126</v>
      </c>
      <c r="D6" s="19"/>
      <c r="E6" s="22"/>
      <c r="F6" s="22" t="str">
        <f t="shared" si="1"/>
        <v/>
      </c>
      <c r="G6" s="12" t="s">
        <v>337</v>
      </c>
      <c r="H6" s="12" t="s">
        <v>113</v>
      </c>
    </row>
    <row r="7" ht="399.75" customHeight="1">
      <c r="A7" s="19"/>
      <c r="B7" s="20"/>
      <c r="C7" s="19"/>
      <c r="D7" s="19"/>
      <c r="E7" s="19"/>
      <c r="F7" s="19"/>
      <c r="G7" s="12"/>
      <c r="H7" s="12" t="s">
        <v>86</v>
      </c>
    </row>
    <row r="8" ht="1.5" customHeight="1">
      <c r="A8" s="19"/>
      <c r="B8" s="20"/>
      <c r="C8" s="19"/>
      <c r="D8" s="19"/>
      <c r="E8" s="19"/>
      <c r="F8" s="19"/>
      <c r="G8" s="12"/>
      <c r="H8" s="12" t="s">
        <v>86</v>
      </c>
    </row>
    <row r="9" ht="31.5" customHeight="1">
      <c r="A9" s="6"/>
      <c r="B9" s="7" t="s">
        <v>130</v>
      </c>
      <c r="C9" s="8"/>
      <c r="D9" s="8"/>
      <c r="E9" s="9"/>
      <c r="F9" s="23">
        <f>SUM(F4,F5,F6)</f>
        <v>0</v>
      </c>
      <c r="G9" s="12"/>
      <c r="H9" s="12" t="s">
        <v>136</v>
      </c>
    </row>
    <row r="10" ht="24.0" customHeight="1"/>
    <row r="11" ht="24.0" customHeight="1"/>
    <row r="12" ht="24.0" customHeight="1"/>
    <row r="13" ht="24.0" customHeight="1"/>
    <row r="14" ht="24.0" customHeight="1"/>
    <row r="15" ht="24.0" customHeight="1"/>
    <row r="16" ht="24.0" customHeight="1"/>
    <row r="17" ht="24.0" customHeight="1"/>
    <row r="18" ht="24.0" customHeight="1"/>
    <row r="19" ht="24.0" customHeight="1"/>
    <row r="20" ht="24.0" customHeight="1"/>
    <row r="21" ht="24.0" customHeight="1"/>
    <row r="22" ht="24.0" customHeight="1"/>
    <row r="23" ht="24.0" customHeight="1"/>
    <row r="24" ht="24.0" customHeight="1"/>
    <row r="25" ht="24.0" customHeight="1"/>
    <row r="26" ht="24.0" customHeight="1"/>
    <row r="27" ht="24.0" customHeight="1"/>
    <row r="28" ht="24.0" customHeight="1"/>
    <row r="29" ht="24.0" customHeight="1"/>
    <row r="30" ht="24.0" customHeight="1"/>
    <row r="31" ht="24.0" customHeight="1"/>
    <row r="32" ht="24.0" customHeight="1"/>
    <row r="33" ht="24.0" customHeight="1"/>
    <row r="34" ht="24.0" customHeight="1"/>
    <row r="35" ht="24.0" customHeight="1"/>
    <row r="36" ht="24.0" customHeight="1"/>
    <row r="37" ht="24.0" customHeight="1"/>
    <row r="38" ht="24.0" customHeight="1"/>
    <row r="39" ht="24.0" customHeight="1"/>
    <row r="40" ht="24.0" customHeight="1"/>
    <row r="41" ht="24.0" customHeight="1"/>
    <row r="42" ht="24.0" customHeight="1"/>
    <row r="43" ht="24.0" customHeight="1"/>
    <row r="44" ht="24.0" customHeight="1"/>
    <row r="45" ht="24.0" customHeight="1"/>
    <row r="46" ht="24.0" customHeight="1"/>
    <row r="47" ht="24.0" customHeight="1"/>
    <row r="48" ht="24.0" customHeight="1"/>
    <row r="49" ht="24.0" customHeight="1"/>
    <row r="50" ht="24.0" customHeight="1"/>
    <row r="51" ht="24.0" customHeight="1"/>
    <row r="52" ht="24.0" customHeight="1"/>
    <row r="53" ht="24.0" customHeight="1"/>
    <row r="54" ht="24.0" customHeight="1"/>
    <row r="55" ht="24.0" customHeight="1"/>
    <row r="56" ht="24.0" customHeight="1"/>
    <row r="57" ht="24.0" customHeight="1"/>
    <row r="58" ht="24.0" customHeight="1"/>
    <row r="59" ht="24.0" customHeight="1"/>
    <row r="60" ht="24.0" customHeight="1"/>
    <row r="61" ht="24.0" customHeight="1"/>
    <row r="62" ht="24.0" customHeight="1"/>
    <row r="63" ht="24.0" customHeight="1"/>
    <row r="64" ht="24.0" customHeight="1"/>
    <row r="65" ht="24.0" customHeight="1"/>
    <row r="66" ht="24.0" customHeight="1"/>
    <row r="67" ht="24.0" customHeight="1"/>
    <row r="68" ht="24.0" customHeight="1"/>
    <row r="69" ht="24.0" customHeight="1"/>
    <row r="70" ht="24.0" customHeight="1"/>
    <row r="71" ht="24.0" customHeight="1"/>
    <row r="72" ht="24.0" customHeight="1"/>
    <row r="73" ht="24.0" customHeight="1"/>
    <row r="74" ht="24.0" customHeight="1"/>
    <row r="75" ht="24.0" customHeight="1"/>
    <row r="76" ht="24.0" customHeight="1"/>
    <row r="77" ht="24.0" customHeight="1"/>
    <row r="78" ht="24.0" customHeight="1"/>
    <row r="79" ht="24.0" customHeight="1"/>
    <row r="80" ht="24.0" customHeight="1"/>
    <row r="81" ht="24.0" customHeight="1"/>
    <row r="82" ht="24.0" customHeight="1"/>
    <row r="83" ht="24.0" customHeight="1"/>
    <row r="84" ht="24.0" customHeight="1"/>
    <row r="85" ht="24.0" customHeight="1"/>
    <row r="86" ht="24.0" customHeight="1"/>
    <row r="87" ht="24.0" customHeight="1"/>
    <row r="88" ht="24.0" customHeight="1"/>
    <row r="89" ht="24.0" customHeight="1"/>
    <row r="90" ht="24.0" customHeight="1"/>
    <row r="91" ht="24.0" customHeight="1"/>
    <row r="92" ht="24.0" customHeight="1"/>
    <row r="93" ht="24.0" customHeight="1"/>
    <row r="94" ht="24.0" customHeight="1"/>
    <row r="95" ht="24.0" customHeight="1"/>
    <row r="96" ht="24.0" customHeight="1"/>
    <row r="97" ht="24.0" customHeight="1"/>
    <row r="98" ht="24.0" customHeight="1"/>
    <row r="99" ht="24.0" customHeight="1"/>
    <row r="100" ht="24.0" customHeight="1"/>
    <row r="101" ht="24.0" customHeight="1"/>
    <row r="102" ht="24.0" customHeight="1"/>
    <row r="103" ht="24.0" customHeight="1"/>
    <row r="104" ht="24.0" customHeight="1"/>
    <row r="105" ht="24.0" customHeight="1"/>
    <row r="106" ht="24.0" customHeight="1"/>
    <row r="107" ht="24.0" customHeight="1"/>
    <row r="108" ht="24.0" customHeight="1"/>
    <row r="109" ht="24.0" customHeight="1"/>
    <row r="110" ht="24.0" customHeight="1"/>
    <row r="111" ht="24.0" customHeight="1"/>
    <row r="112" ht="24.0" customHeight="1"/>
    <row r="113" ht="24.0" customHeight="1"/>
    <row r="114" ht="24.0" customHeight="1"/>
    <row r="115" ht="24.0" customHeight="1"/>
    <row r="116" ht="24.0" customHeight="1"/>
    <row r="117" ht="24.0" customHeight="1"/>
    <row r="118" ht="24.0" customHeight="1"/>
    <row r="119" ht="24.0" customHeight="1"/>
    <row r="120" ht="24.0" customHeight="1"/>
    <row r="121" ht="24.0" customHeight="1"/>
    <row r="122" ht="24.0" customHeight="1"/>
    <row r="123" ht="24.0" customHeight="1"/>
    <row r="124" ht="24.0" customHeight="1"/>
    <row r="125" ht="24.0" customHeight="1"/>
    <row r="126" ht="24.0" customHeight="1"/>
    <row r="127" ht="24.0" customHeight="1"/>
    <row r="128" ht="24.0" customHeight="1"/>
    <row r="129" ht="24.0" customHeight="1"/>
    <row r="130" ht="24.0" customHeight="1"/>
    <row r="131" ht="24.0" customHeight="1"/>
    <row r="132" ht="24.0" customHeight="1"/>
    <row r="133" ht="24.0" customHeight="1"/>
    <row r="134" ht="24.0" customHeight="1"/>
    <row r="135" ht="24.0" customHeight="1"/>
    <row r="136" ht="24.0" customHeight="1"/>
    <row r="137" ht="24.0" customHeight="1"/>
    <row r="138" ht="24.0" customHeight="1"/>
    <row r="139" ht="24.0" customHeight="1"/>
    <row r="140" ht="24.0" customHeight="1"/>
    <row r="141" ht="24.0" customHeight="1"/>
    <row r="142" ht="24.0" customHeight="1"/>
    <row r="143" ht="24.0" customHeight="1"/>
    <row r="144" ht="24.0" customHeight="1"/>
    <row r="145" ht="24.0" customHeight="1"/>
    <row r="146" ht="24.0" customHeight="1"/>
    <row r="147" ht="24.0" customHeight="1"/>
    <row r="148" ht="24.0" customHeight="1"/>
    <row r="149" ht="24.0" customHeight="1"/>
    <row r="150" ht="24.0" customHeight="1"/>
    <row r="151" ht="24.0" customHeight="1"/>
    <row r="152" ht="24.0" customHeight="1"/>
    <row r="153" ht="24.0" customHeight="1"/>
    <row r="154" ht="24.0" customHeight="1"/>
    <row r="155" ht="24.0" customHeight="1"/>
    <row r="156" ht="24.0" customHeight="1"/>
    <row r="157" ht="24.0" customHeight="1"/>
    <row r="158" ht="24.0" customHeight="1"/>
    <row r="159" ht="24.0" customHeight="1"/>
    <row r="160" ht="24.0" customHeight="1"/>
    <row r="161" ht="24.0" customHeight="1"/>
    <row r="162" ht="24.0" customHeight="1"/>
    <row r="163" ht="24.0" customHeight="1"/>
    <row r="164" ht="24.0" customHeight="1"/>
    <row r="165" ht="24.0" customHeight="1"/>
    <row r="166" ht="24.0" customHeight="1"/>
    <row r="167" ht="24.0" customHeight="1"/>
    <row r="168" ht="24.0" customHeight="1"/>
    <row r="169" ht="24.0" customHeight="1"/>
    <row r="170" ht="24.0" customHeight="1"/>
    <row r="171" ht="24.0" customHeight="1"/>
    <row r="172" ht="24.0" customHeight="1"/>
    <row r="173" ht="24.0" customHeight="1"/>
    <row r="174" ht="24.0" customHeight="1"/>
    <row r="175" ht="24.0" customHeight="1"/>
    <row r="176" ht="24.0" customHeight="1"/>
    <row r="177" ht="24.0" customHeight="1"/>
    <row r="178" ht="24.0" customHeight="1"/>
    <row r="179" ht="24.0" customHeight="1"/>
    <row r="180" ht="24.0" customHeight="1"/>
    <row r="181" ht="24.0" customHeight="1"/>
    <row r="182" ht="24.0" customHeight="1"/>
    <row r="183" ht="24.0" customHeight="1"/>
    <row r="184" ht="24.0" customHeight="1"/>
    <row r="185" ht="24.0" customHeight="1"/>
    <row r="186" ht="24.0" customHeight="1"/>
    <row r="187" ht="24.0" customHeight="1"/>
    <row r="188" ht="24.0" customHeight="1"/>
    <row r="189" ht="24.0" customHeight="1"/>
    <row r="190" ht="24.0" customHeight="1"/>
    <row r="191" ht="24.0" customHeight="1"/>
    <row r="192" ht="24.0" customHeight="1"/>
    <row r="193" ht="24.0" customHeight="1"/>
    <row r="194" ht="24.0" customHeight="1"/>
    <row r="195" ht="24.0" customHeight="1"/>
    <row r="196" ht="24.0" customHeight="1"/>
    <row r="197" ht="24.0" customHeight="1"/>
    <row r="198" ht="24.0" customHeight="1"/>
    <row r="199" ht="24.0" customHeight="1"/>
    <row r="200" ht="24.0" customHeight="1"/>
    <row r="201" ht="24.0" customHeight="1"/>
    <row r="202" ht="24.0" customHeight="1"/>
    <row r="203" ht="24.0" customHeight="1"/>
    <row r="204" ht="24.0" customHeight="1"/>
    <row r="205" ht="24.0" customHeight="1"/>
    <row r="206" ht="24.0" customHeight="1"/>
    <row r="207" ht="24.0" customHeight="1"/>
    <row r="208" ht="24.0" customHeight="1"/>
    <row r="209" ht="24.0" customHeight="1"/>
    <row r="210" ht="24.0" customHeight="1"/>
    <row r="211" ht="24.0" customHeight="1"/>
    <row r="212" ht="24.0" customHeight="1"/>
    <row r="213" ht="24.0" customHeight="1"/>
    <row r="214" ht="24.0" customHeight="1"/>
    <row r="215" ht="24.0" customHeight="1"/>
    <row r="216" ht="24.0" customHeight="1"/>
    <row r="217" ht="24.0" customHeight="1"/>
    <row r="218" ht="24.0" customHeight="1"/>
    <row r="219" ht="24.0" customHeight="1"/>
    <row r="220" ht="24.0" customHeight="1"/>
    <row r="221" ht="24.0" customHeight="1"/>
    <row r="222" ht="24.0" customHeight="1"/>
    <row r="223" ht="24.0" customHeight="1"/>
    <row r="224" ht="24.0" customHeight="1"/>
    <row r="225" ht="24.0" customHeight="1"/>
    <row r="226" ht="24.0" customHeight="1"/>
    <row r="227" ht="24.0" customHeight="1"/>
    <row r="228" ht="24.0" customHeight="1"/>
    <row r="229" ht="24.0" customHeight="1"/>
    <row r="230" ht="24.0" customHeight="1"/>
    <row r="231" ht="24.0" customHeight="1"/>
    <row r="232" ht="24.0" customHeight="1"/>
    <row r="233" ht="24.0" customHeight="1"/>
    <row r="234" ht="24.0" customHeight="1"/>
    <row r="235" ht="24.0" customHeight="1"/>
    <row r="236" ht="24.0" customHeight="1"/>
    <row r="237" ht="24.0" customHeight="1"/>
    <row r="238" ht="24.0" customHeight="1"/>
    <row r="239" ht="24.0" customHeight="1"/>
    <row r="240" ht="24.0" customHeight="1"/>
    <row r="241" ht="24.0" customHeight="1"/>
    <row r="242" ht="24.0" customHeight="1"/>
    <row r="243" ht="24.0" customHeight="1"/>
    <row r="244" ht="24.0" customHeight="1"/>
    <row r="245" ht="24.0" customHeight="1"/>
    <row r="246" ht="24.0" customHeight="1"/>
    <row r="247" ht="24.0" customHeight="1"/>
    <row r="248" ht="24.0" customHeight="1"/>
    <row r="249" ht="24.0" customHeight="1"/>
    <row r="250" ht="24.0" customHeight="1"/>
    <row r="251" ht="24.0" customHeight="1"/>
    <row r="252" ht="24.0" customHeight="1"/>
    <row r="253" ht="24.0" customHeight="1"/>
    <row r="254" ht="24.0" customHeight="1"/>
    <row r="255" ht="24.0" customHeight="1"/>
    <row r="256" ht="24.0" customHeight="1"/>
    <row r="257" ht="24.0" customHeight="1"/>
    <row r="258" ht="24.0" customHeight="1"/>
    <row r="259" ht="24.0" customHeight="1"/>
    <row r="260" ht="24.0" customHeight="1"/>
    <row r="261" ht="24.0" customHeight="1"/>
    <row r="262" ht="24.0" customHeight="1"/>
    <row r="263" ht="24.0" customHeight="1"/>
    <row r="264" ht="24.0" customHeight="1"/>
    <row r="265" ht="24.0" customHeight="1"/>
    <row r="266" ht="24.0" customHeight="1"/>
    <row r="267" ht="24.0" customHeight="1"/>
    <row r="268" ht="24.0" customHeight="1"/>
    <row r="269" ht="24.0" customHeight="1"/>
    <row r="270" ht="24.0" customHeight="1"/>
    <row r="271" ht="24.0" customHeight="1"/>
    <row r="272" ht="24.0" customHeight="1"/>
    <row r="273" ht="24.0" customHeight="1"/>
    <row r="274" ht="24.0" customHeight="1"/>
    <row r="275" ht="24.0" customHeight="1"/>
    <row r="276" ht="24.0" customHeight="1"/>
    <row r="277" ht="24.0" customHeight="1"/>
    <row r="278" ht="24.0" customHeight="1"/>
    <row r="279" ht="24.0" customHeight="1"/>
    <row r="280" ht="24.0" customHeight="1"/>
    <row r="281" ht="24.0" customHeight="1"/>
    <row r="282" ht="24.0" customHeight="1"/>
    <row r="283" ht="24.0" customHeight="1"/>
    <row r="284" ht="24.0" customHeight="1"/>
    <row r="285" ht="24.0" customHeight="1"/>
    <row r="286" ht="24.0" customHeight="1"/>
    <row r="287" ht="24.0" customHeight="1"/>
    <row r="288" ht="24.0" customHeight="1"/>
    <row r="289" ht="24.0" customHeight="1"/>
    <row r="290" ht="24.0" customHeight="1"/>
    <row r="291" ht="24.0" customHeight="1"/>
    <row r="292" ht="24.0" customHeight="1"/>
    <row r="293" ht="24.0" customHeight="1"/>
    <row r="294" ht="24.0" customHeight="1"/>
    <row r="295" ht="24.0" customHeight="1"/>
    <row r="296" ht="24.0" customHeight="1"/>
    <row r="297" ht="24.0" customHeight="1"/>
    <row r="298" ht="24.0" customHeight="1"/>
    <row r="299" ht="24.0" customHeight="1"/>
    <row r="300" ht="24.0" customHeight="1"/>
    <row r="301" ht="24.0" customHeight="1"/>
    <row r="302" ht="24.0" customHeight="1"/>
    <row r="303" ht="24.0" customHeight="1"/>
    <row r="304" ht="24.0" customHeight="1"/>
    <row r="305" ht="24.0" customHeight="1"/>
    <row r="306" ht="24.0" customHeight="1"/>
    <row r="307" ht="24.0" customHeight="1"/>
    <row r="308" ht="24.0" customHeight="1"/>
    <row r="309" ht="24.0" customHeight="1"/>
    <row r="310" ht="24.0" customHeight="1"/>
    <row r="311" ht="24.0" customHeight="1"/>
    <row r="312" ht="24.0" customHeight="1"/>
    <row r="313" ht="24.0" customHeight="1"/>
    <row r="314" ht="24.0" customHeight="1"/>
    <row r="315" ht="24.0" customHeight="1"/>
    <row r="316" ht="24.0" customHeight="1"/>
    <row r="317" ht="24.0" customHeight="1"/>
    <row r="318" ht="24.0" customHeight="1"/>
    <row r="319" ht="24.0" customHeight="1"/>
    <row r="320" ht="24.0" customHeight="1"/>
    <row r="321" ht="24.0" customHeight="1"/>
    <row r="322" ht="24.0" customHeight="1"/>
    <row r="323" ht="24.0" customHeight="1"/>
    <row r="324" ht="24.0" customHeight="1"/>
    <row r="325" ht="24.0" customHeight="1"/>
    <row r="326" ht="24.0" customHeight="1"/>
    <row r="327" ht="24.0" customHeight="1"/>
    <row r="328" ht="24.0" customHeight="1"/>
    <row r="329" ht="24.0" customHeight="1"/>
    <row r="330" ht="24.0" customHeight="1"/>
    <row r="331" ht="24.0" customHeight="1"/>
    <row r="332" ht="24.0" customHeight="1"/>
    <row r="333" ht="24.0" customHeight="1"/>
    <row r="334" ht="24.0" customHeight="1"/>
    <row r="335" ht="24.0" customHeight="1"/>
    <row r="336" ht="24.0" customHeight="1"/>
    <row r="337" ht="24.0" customHeight="1"/>
    <row r="338" ht="24.0" customHeight="1"/>
    <row r="339" ht="24.0" customHeight="1"/>
    <row r="340" ht="24.0" customHeight="1"/>
    <row r="341" ht="24.0" customHeight="1"/>
    <row r="342" ht="24.0" customHeight="1"/>
    <row r="343" ht="24.0" customHeight="1"/>
    <row r="344" ht="24.0" customHeight="1"/>
    <row r="345" ht="24.0" customHeight="1"/>
    <row r="346" ht="24.0" customHeight="1"/>
    <row r="347" ht="24.0" customHeight="1"/>
    <row r="348" ht="24.0" customHeight="1"/>
    <row r="349" ht="24.0" customHeight="1"/>
    <row r="350" ht="24.0" customHeight="1"/>
    <row r="351" ht="24.0" customHeight="1"/>
    <row r="352" ht="24.0" customHeight="1"/>
    <row r="353" ht="24.0" customHeight="1"/>
    <row r="354" ht="24.0" customHeight="1"/>
    <row r="355" ht="24.0" customHeight="1"/>
    <row r="356" ht="24.0" customHeight="1"/>
    <row r="357" ht="24.0" customHeight="1"/>
    <row r="358" ht="24.0" customHeight="1"/>
    <row r="359" ht="24.0" customHeight="1"/>
    <row r="360" ht="24.0" customHeight="1"/>
    <row r="361" ht="24.0" customHeight="1"/>
    <row r="362" ht="24.0" customHeight="1"/>
    <row r="363" ht="24.0" customHeight="1"/>
    <row r="364" ht="24.0" customHeight="1"/>
    <row r="365" ht="24.0" customHeight="1"/>
    <row r="366" ht="24.0" customHeight="1"/>
    <row r="367" ht="24.0" customHeight="1"/>
    <row r="368" ht="24.0" customHeight="1"/>
    <row r="369" ht="24.0" customHeight="1"/>
    <row r="370" ht="24.0" customHeight="1"/>
    <row r="371" ht="24.0" customHeight="1"/>
    <row r="372" ht="24.0" customHeight="1"/>
    <row r="373" ht="24.0" customHeight="1"/>
    <row r="374" ht="24.0" customHeight="1"/>
    <row r="375" ht="24.0" customHeight="1"/>
    <row r="376" ht="24.0" customHeight="1"/>
    <row r="377" ht="24.0" customHeight="1"/>
    <row r="378" ht="24.0" customHeight="1"/>
    <row r="379" ht="24.0" customHeight="1"/>
    <row r="380" ht="24.0" customHeight="1"/>
    <row r="381" ht="24.0" customHeight="1"/>
    <row r="382" ht="24.0" customHeight="1"/>
    <row r="383" ht="24.0" customHeight="1"/>
    <row r="384" ht="24.0" customHeight="1"/>
    <row r="385" ht="24.0" customHeight="1"/>
    <row r="386" ht="24.0" customHeight="1"/>
    <row r="387" ht="24.0" customHeight="1"/>
    <row r="388" ht="24.0" customHeight="1"/>
    <row r="389" ht="24.0" customHeight="1"/>
    <row r="390" ht="24.0" customHeight="1"/>
    <row r="391" ht="24.0" customHeight="1"/>
    <row r="392" ht="24.0" customHeight="1"/>
    <row r="393" ht="24.0" customHeight="1"/>
    <row r="394" ht="24.0" customHeight="1"/>
    <row r="395" ht="24.0" customHeight="1"/>
    <row r="396" ht="24.0" customHeight="1"/>
    <row r="397" ht="24.0" customHeight="1"/>
    <row r="398" ht="24.0" customHeight="1"/>
    <row r="399" ht="24.0" customHeight="1"/>
    <row r="400" ht="24.0" customHeight="1"/>
    <row r="401" ht="24.0" customHeight="1"/>
    <row r="402" ht="24.0" customHeight="1"/>
    <row r="403" ht="24.0" customHeight="1"/>
    <row r="404" ht="24.0" customHeight="1"/>
    <row r="405" ht="24.0" customHeight="1"/>
    <row r="406" ht="24.0" customHeight="1"/>
    <row r="407" ht="24.0" customHeight="1"/>
    <row r="408" ht="24.0" customHeight="1"/>
    <row r="409" ht="24.0" customHeight="1"/>
    <row r="410" ht="24.0" customHeight="1"/>
    <row r="411" ht="24.0" customHeight="1"/>
    <row r="412" ht="24.0" customHeight="1"/>
    <row r="413" ht="24.0" customHeight="1"/>
    <row r="414" ht="24.0" customHeight="1"/>
    <row r="415" ht="24.0" customHeight="1"/>
    <row r="416" ht="24.0" customHeight="1"/>
    <row r="417" ht="24.0" customHeight="1"/>
    <row r="418" ht="24.0" customHeight="1"/>
    <row r="419" ht="24.0" customHeight="1"/>
    <row r="420" ht="24.0" customHeight="1"/>
    <row r="421" ht="24.0" customHeight="1"/>
    <row r="422" ht="24.0" customHeight="1"/>
    <row r="423" ht="24.0" customHeight="1"/>
    <row r="424" ht="24.0" customHeight="1"/>
    <row r="425" ht="24.0" customHeight="1"/>
    <row r="426" ht="24.0" customHeight="1"/>
    <row r="427" ht="24.0" customHeight="1"/>
    <row r="428" ht="24.0" customHeight="1"/>
    <row r="429" ht="24.0" customHeight="1"/>
    <row r="430" ht="24.0" customHeight="1"/>
    <row r="431" ht="24.0" customHeight="1"/>
    <row r="432" ht="24.0" customHeight="1"/>
    <row r="433" ht="24.0" customHeight="1"/>
    <row r="434" ht="24.0" customHeight="1"/>
    <row r="435" ht="24.0" customHeight="1"/>
    <row r="436" ht="24.0" customHeight="1"/>
    <row r="437" ht="24.0" customHeight="1"/>
    <row r="438" ht="24.0" customHeight="1"/>
    <row r="439" ht="24.0" customHeight="1"/>
    <row r="440" ht="24.0" customHeight="1"/>
    <row r="441" ht="24.0" customHeight="1"/>
    <row r="442" ht="24.0" customHeight="1"/>
    <row r="443" ht="24.0" customHeight="1"/>
    <row r="444" ht="24.0" customHeight="1"/>
    <row r="445" ht="24.0" customHeight="1"/>
    <row r="446" ht="24.0" customHeight="1"/>
    <row r="447" ht="24.0" customHeight="1"/>
    <row r="448" ht="24.0" customHeight="1"/>
    <row r="449" ht="24.0" customHeight="1"/>
    <row r="450" ht="24.0" customHeight="1"/>
    <row r="451" ht="24.0" customHeight="1"/>
    <row r="452" ht="24.0" customHeight="1"/>
    <row r="453" ht="24.0" customHeight="1"/>
    <row r="454" ht="24.0" customHeight="1"/>
    <row r="455" ht="24.0" customHeight="1"/>
    <row r="456" ht="24.0" customHeight="1"/>
    <row r="457" ht="24.0" customHeight="1"/>
    <row r="458" ht="24.0" customHeight="1"/>
    <row r="459" ht="24.0" customHeight="1"/>
    <row r="460" ht="24.0" customHeight="1"/>
    <row r="461" ht="24.0" customHeight="1"/>
    <row r="462" ht="24.0" customHeight="1"/>
    <row r="463" ht="24.0" customHeight="1"/>
    <row r="464" ht="24.0" customHeight="1"/>
    <row r="465" ht="24.0" customHeight="1"/>
    <row r="466" ht="24.0" customHeight="1"/>
    <row r="467" ht="24.0" customHeight="1"/>
    <row r="468" ht="24.0" customHeight="1"/>
    <row r="469" ht="24.0" customHeight="1"/>
    <row r="470" ht="24.0" customHeight="1"/>
    <row r="471" ht="24.0" customHeight="1"/>
    <row r="472" ht="24.0" customHeight="1"/>
    <row r="473" ht="24.0" customHeight="1"/>
    <row r="474" ht="24.0" customHeight="1"/>
    <row r="475" ht="24.0" customHeight="1"/>
    <row r="476" ht="24.0" customHeight="1"/>
    <row r="477" ht="24.0" customHeight="1"/>
    <row r="478" ht="24.0" customHeight="1"/>
    <row r="479" ht="24.0" customHeight="1"/>
    <row r="480" ht="24.0" customHeight="1"/>
    <row r="481" ht="24.0" customHeight="1"/>
    <row r="482" ht="24.0" customHeight="1"/>
    <row r="483" ht="24.0" customHeight="1"/>
    <row r="484" ht="24.0" customHeight="1"/>
    <row r="485" ht="24.0" customHeight="1"/>
    <row r="486" ht="24.0" customHeight="1"/>
    <row r="487" ht="24.0" customHeight="1"/>
    <row r="488" ht="24.0" customHeight="1"/>
    <row r="489" ht="24.0" customHeight="1"/>
    <row r="490" ht="24.0" customHeight="1"/>
    <row r="491" ht="24.0" customHeight="1"/>
    <row r="492" ht="24.0" customHeight="1"/>
    <row r="493" ht="24.0" customHeight="1"/>
    <row r="494" ht="24.0" customHeight="1"/>
    <row r="495" ht="24.0" customHeight="1"/>
    <row r="496" ht="24.0" customHeight="1"/>
    <row r="497" ht="24.0" customHeight="1"/>
    <row r="498" ht="24.0" customHeight="1"/>
    <row r="499" ht="24.0" customHeight="1"/>
    <row r="500" ht="24.0" customHeight="1"/>
    <row r="501" ht="24.0" customHeight="1"/>
    <row r="502" ht="24.0" customHeight="1"/>
    <row r="503" ht="24.0" customHeight="1"/>
    <row r="504" ht="24.0" customHeight="1"/>
    <row r="505" ht="24.0" customHeight="1"/>
    <row r="506" ht="24.0" customHeight="1"/>
    <row r="507" ht="24.0" customHeight="1"/>
    <row r="508" ht="24.0" customHeight="1"/>
    <row r="509" ht="24.0" customHeight="1"/>
    <row r="510" ht="24.0" customHeight="1"/>
    <row r="511" ht="24.0" customHeight="1"/>
    <row r="512" ht="24.0" customHeight="1"/>
    <row r="513" ht="24.0" customHeight="1"/>
    <row r="514" ht="24.0" customHeight="1"/>
    <row r="515" ht="24.0" customHeight="1"/>
    <row r="516" ht="24.0" customHeight="1"/>
    <row r="517" ht="24.0" customHeight="1"/>
    <row r="518" ht="24.0" customHeight="1"/>
    <row r="519" ht="24.0" customHeight="1"/>
    <row r="520" ht="24.0" customHeight="1"/>
    <row r="521" ht="24.0" customHeight="1"/>
    <row r="522" ht="24.0" customHeight="1"/>
    <row r="523" ht="24.0" customHeight="1"/>
    <row r="524" ht="24.0" customHeight="1"/>
    <row r="525" ht="24.0" customHeight="1"/>
    <row r="526" ht="24.0" customHeight="1"/>
    <row r="527" ht="24.0" customHeight="1"/>
    <row r="528" ht="24.0" customHeight="1"/>
    <row r="529" ht="24.0" customHeight="1"/>
    <row r="530" ht="24.0" customHeight="1"/>
    <row r="531" ht="24.0" customHeight="1"/>
    <row r="532" ht="24.0" customHeight="1"/>
    <row r="533" ht="24.0" customHeight="1"/>
    <row r="534" ht="24.0" customHeight="1"/>
    <row r="535" ht="24.0" customHeight="1"/>
    <row r="536" ht="24.0" customHeight="1"/>
    <row r="537" ht="24.0" customHeight="1"/>
    <row r="538" ht="24.0" customHeight="1"/>
    <row r="539" ht="24.0" customHeight="1"/>
    <row r="540" ht="24.0" customHeight="1"/>
    <row r="541" ht="24.0" customHeight="1"/>
    <row r="542" ht="24.0" customHeight="1"/>
    <row r="543" ht="24.0" customHeight="1"/>
    <row r="544" ht="24.0" customHeight="1"/>
    <row r="545" ht="24.0" customHeight="1"/>
    <row r="546" ht="24.0" customHeight="1"/>
    <row r="547" ht="24.0" customHeight="1"/>
    <row r="548" ht="24.0" customHeight="1"/>
    <row r="549" ht="24.0" customHeight="1"/>
    <row r="550" ht="24.0" customHeight="1"/>
    <row r="551" ht="24.0" customHeight="1"/>
    <row r="552" ht="24.0" customHeight="1"/>
    <row r="553" ht="24.0" customHeight="1"/>
    <row r="554" ht="24.0" customHeight="1"/>
    <row r="555" ht="24.0" customHeight="1"/>
    <row r="556" ht="24.0" customHeight="1"/>
    <row r="557" ht="24.0" customHeight="1"/>
    <row r="558" ht="24.0" customHeight="1"/>
    <row r="559" ht="24.0" customHeight="1"/>
    <row r="560" ht="24.0" customHeight="1"/>
    <row r="561" ht="24.0" customHeight="1"/>
    <row r="562" ht="24.0" customHeight="1"/>
    <row r="563" ht="24.0" customHeight="1"/>
    <row r="564" ht="24.0" customHeight="1"/>
    <row r="565" ht="24.0" customHeight="1"/>
    <row r="566" ht="24.0" customHeight="1"/>
    <row r="567" ht="24.0" customHeight="1"/>
    <row r="568" ht="24.0" customHeight="1"/>
    <row r="569" ht="24.0" customHeight="1"/>
    <row r="570" ht="24.0" customHeight="1"/>
    <row r="571" ht="24.0" customHeight="1"/>
    <row r="572" ht="24.0" customHeight="1"/>
    <row r="573" ht="24.0" customHeight="1"/>
    <row r="574" ht="24.0" customHeight="1"/>
    <row r="575" ht="24.0" customHeight="1"/>
    <row r="576" ht="24.0" customHeight="1"/>
    <row r="577" ht="24.0" customHeight="1"/>
    <row r="578" ht="24.0" customHeight="1"/>
    <row r="579" ht="24.0" customHeight="1"/>
    <row r="580" ht="24.0" customHeight="1"/>
    <row r="581" ht="24.0" customHeight="1"/>
    <row r="582" ht="24.0" customHeight="1"/>
    <row r="583" ht="24.0" customHeight="1"/>
    <row r="584" ht="24.0" customHeight="1"/>
    <row r="585" ht="24.0" customHeight="1"/>
    <row r="586" ht="24.0" customHeight="1"/>
    <row r="587" ht="24.0" customHeight="1"/>
    <row r="588" ht="24.0" customHeight="1"/>
    <row r="589" ht="24.0" customHeight="1"/>
    <row r="590" ht="24.0" customHeight="1"/>
    <row r="591" ht="24.0" customHeight="1"/>
    <row r="592" ht="24.0" customHeight="1"/>
    <row r="593" ht="24.0" customHeight="1"/>
    <row r="594" ht="24.0" customHeight="1"/>
    <row r="595" ht="24.0" customHeight="1"/>
    <row r="596" ht="24.0" customHeight="1"/>
    <row r="597" ht="24.0" customHeight="1"/>
    <row r="598" ht="24.0" customHeight="1"/>
    <row r="599" ht="24.0" customHeight="1"/>
    <row r="600" ht="24.0" customHeight="1"/>
    <row r="601" ht="24.0" customHeight="1"/>
    <row r="602" ht="24.0" customHeight="1"/>
    <row r="603" ht="24.0" customHeight="1"/>
    <row r="604" ht="24.0" customHeight="1"/>
    <row r="605" ht="24.0" customHeight="1"/>
    <row r="606" ht="24.0" customHeight="1"/>
    <row r="607" ht="24.0" customHeight="1"/>
    <row r="608" ht="24.0" customHeight="1"/>
    <row r="609" ht="24.0" customHeight="1"/>
    <row r="610" ht="24.0" customHeight="1"/>
    <row r="611" ht="24.0" customHeight="1"/>
    <row r="612" ht="24.0" customHeight="1"/>
    <row r="613" ht="24.0" customHeight="1"/>
    <row r="614" ht="24.0" customHeight="1"/>
    <row r="615" ht="24.0" customHeight="1"/>
    <row r="616" ht="24.0" customHeight="1"/>
    <row r="617" ht="24.0" customHeight="1"/>
    <row r="618" ht="24.0" customHeight="1"/>
    <row r="619" ht="24.0" customHeight="1"/>
    <row r="620" ht="24.0" customHeight="1"/>
    <row r="621" ht="24.0" customHeight="1"/>
    <row r="622" ht="24.0" customHeight="1"/>
    <row r="623" ht="24.0" customHeight="1"/>
    <row r="624" ht="24.0" customHeight="1"/>
    <row r="625" ht="24.0" customHeight="1"/>
    <row r="626" ht="24.0" customHeight="1"/>
    <row r="627" ht="24.0" customHeight="1"/>
    <row r="628" ht="24.0" customHeight="1"/>
    <row r="629" ht="24.0" customHeight="1"/>
    <row r="630" ht="24.0" customHeight="1"/>
    <row r="631" ht="24.0" customHeight="1"/>
    <row r="632" ht="24.0" customHeight="1"/>
    <row r="633" ht="24.0" customHeight="1"/>
    <row r="634" ht="24.0" customHeight="1"/>
    <row r="635" ht="24.0" customHeight="1"/>
    <row r="636" ht="24.0" customHeight="1"/>
    <row r="637" ht="24.0" customHeight="1"/>
    <row r="638" ht="24.0" customHeight="1"/>
    <row r="639" ht="24.0" customHeight="1"/>
    <row r="640" ht="24.0" customHeight="1"/>
    <row r="641" ht="24.0" customHeight="1"/>
    <row r="642" ht="24.0" customHeight="1"/>
    <row r="643" ht="24.0" customHeight="1"/>
    <row r="644" ht="24.0" customHeight="1"/>
    <row r="645" ht="24.0" customHeight="1"/>
    <row r="646" ht="24.0" customHeight="1"/>
    <row r="647" ht="24.0" customHeight="1"/>
    <row r="648" ht="24.0" customHeight="1"/>
    <row r="649" ht="24.0" customHeight="1"/>
    <row r="650" ht="24.0" customHeight="1"/>
    <row r="651" ht="24.0" customHeight="1"/>
    <row r="652" ht="24.0" customHeight="1"/>
    <row r="653" ht="24.0" customHeight="1"/>
    <row r="654" ht="24.0" customHeight="1"/>
    <row r="655" ht="24.0" customHeight="1"/>
    <row r="656" ht="24.0" customHeight="1"/>
    <row r="657" ht="24.0" customHeight="1"/>
    <row r="658" ht="24.0" customHeight="1"/>
    <row r="659" ht="24.0" customHeight="1"/>
    <row r="660" ht="24.0" customHeight="1"/>
    <row r="661" ht="24.0" customHeight="1"/>
    <row r="662" ht="24.0" customHeight="1"/>
    <row r="663" ht="24.0" customHeight="1"/>
    <row r="664" ht="24.0" customHeight="1"/>
    <row r="665" ht="24.0" customHeight="1"/>
    <row r="666" ht="24.0" customHeight="1"/>
    <row r="667" ht="24.0" customHeight="1"/>
    <row r="668" ht="24.0" customHeight="1"/>
    <row r="669" ht="24.0" customHeight="1"/>
    <row r="670" ht="24.0" customHeight="1"/>
    <row r="671" ht="24.0" customHeight="1"/>
    <row r="672" ht="24.0" customHeight="1"/>
    <row r="673" ht="24.0" customHeight="1"/>
    <row r="674" ht="24.0" customHeight="1"/>
    <row r="675" ht="24.0" customHeight="1"/>
    <row r="676" ht="24.0" customHeight="1"/>
    <row r="677" ht="24.0" customHeight="1"/>
    <row r="678" ht="24.0" customHeight="1"/>
    <row r="679" ht="24.0" customHeight="1"/>
    <row r="680" ht="24.0" customHeight="1"/>
    <row r="681" ht="24.0" customHeight="1"/>
    <row r="682" ht="24.0" customHeight="1"/>
    <row r="683" ht="24.0" customHeight="1"/>
    <row r="684" ht="24.0" customHeight="1"/>
    <row r="685" ht="24.0" customHeight="1"/>
    <row r="686" ht="24.0" customHeight="1"/>
    <row r="687" ht="24.0" customHeight="1"/>
    <row r="688" ht="24.0" customHeight="1"/>
    <row r="689" ht="24.0" customHeight="1"/>
    <row r="690" ht="24.0" customHeight="1"/>
    <row r="691" ht="24.0" customHeight="1"/>
    <row r="692" ht="24.0" customHeight="1"/>
    <row r="693" ht="24.0" customHeight="1"/>
    <row r="694" ht="24.0" customHeight="1"/>
    <row r="695" ht="24.0" customHeight="1"/>
    <row r="696" ht="24.0" customHeight="1"/>
    <row r="697" ht="24.0" customHeight="1"/>
    <row r="698" ht="24.0" customHeight="1"/>
    <row r="699" ht="24.0" customHeight="1"/>
    <row r="700" ht="24.0" customHeight="1"/>
    <row r="701" ht="24.0" customHeight="1"/>
    <row r="702" ht="24.0" customHeight="1"/>
    <row r="703" ht="24.0" customHeight="1"/>
    <row r="704" ht="24.0" customHeight="1"/>
    <row r="705" ht="24.0" customHeight="1"/>
    <row r="706" ht="24.0" customHeight="1"/>
    <row r="707" ht="24.0" customHeight="1"/>
    <row r="708" ht="24.0" customHeight="1"/>
    <row r="709" ht="24.0" customHeight="1"/>
    <row r="710" ht="24.0" customHeight="1"/>
    <row r="711" ht="24.0" customHeight="1"/>
    <row r="712" ht="24.0" customHeight="1"/>
    <row r="713" ht="24.0" customHeight="1"/>
    <row r="714" ht="24.0" customHeight="1"/>
    <row r="715" ht="24.0" customHeight="1"/>
    <row r="716" ht="24.0" customHeight="1"/>
    <row r="717" ht="24.0" customHeight="1"/>
    <row r="718" ht="24.0" customHeight="1"/>
    <row r="719" ht="24.0" customHeight="1"/>
    <row r="720" ht="24.0" customHeight="1"/>
    <row r="721" ht="24.0" customHeight="1"/>
    <row r="722" ht="24.0" customHeight="1"/>
    <row r="723" ht="24.0" customHeight="1"/>
    <row r="724" ht="24.0" customHeight="1"/>
    <row r="725" ht="24.0" customHeight="1"/>
    <row r="726" ht="24.0" customHeight="1"/>
    <row r="727" ht="24.0" customHeight="1"/>
    <row r="728" ht="24.0" customHeight="1"/>
    <row r="729" ht="24.0" customHeight="1"/>
    <row r="730" ht="24.0" customHeight="1"/>
    <row r="731" ht="24.0" customHeight="1"/>
    <row r="732" ht="24.0" customHeight="1"/>
    <row r="733" ht="24.0" customHeight="1"/>
    <row r="734" ht="24.0" customHeight="1"/>
    <row r="735" ht="24.0" customHeight="1"/>
    <row r="736" ht="24.0" customHeight="1"/>
    <row r="737" ht="24.0" customHeight="1"/>
    <row r="738" ht="24.0" customHeight="1"/>
    <row r="739" ht="24.0" customHeight="1"/>
    <row r="740" ht="24.0" customHeight="1"/>
    <row r="741" ht="24.0" customHeight="1"/>
    <row r="742" ht="24.0" customHeight="1"/>
    <row r="743" ht="24.0" customHeight="1"/>
    <row r="744" ht="24.0" customHeight="1"/>
    <row r="745" ht="24.0" customHeight="1"/>
    <row r="746" ht="24.0" customHeight="1"/>
    <row r="747" ht="24.0" customHeight="1"/>
    <row r="748" ht="24.0" customHeight="1"/>
    <row r="749" ht="24.0" customHeight="1"/>
    <row r="750" ht="24.0" customHeight="1"/>
    <row r="751" ht="24.0" customHeight="1"/>
    <row r="752" ht="24.0" customHeight="1"/>
    <row r="753" ht="24.0" customHeight="1"/>
    <row r="754" ht="24.0" customHeight="1"/>
    <row r="755" ht="24.0" customHeight="1"/>
    <row r="756" ht="24.0" customHeight="1"/>
    <row r="757" ht="24.0" customHeight="1"/>
    <row r="758" ht="24.0" customHeight="1"/>
    <row r="759" ht="24.0" customHeight="1"/>
    <row r="760" ht="24.0" customHeight="1"/>
    <row r="761" ht="24.0" customHeight="1"/>
    <row r="762" ht="24.0" customHeight="1"/>
    <row r="763" ht="24.0" customHeight="1"/>
    <row r="764" ht="24.0" customHeight="1"/>
    <row r="765" ht="24.0" customHeight="1"/>
    <row r="766" ht="24.0" customHeight="1"/>
    <row r="767" ht="24.0" customHeight="1"/>
    <row r="768" ht="24.0" customHeight="1"/>
    <row r="769" ht="24.0" customHeight="1"/>
    <row r="770" ht="24.0" customHeight="1"/>
    <row r="771" ht="24.0" customHeight="1"/>
    <row r="772" ht="24.0" customHeight="1"/>
    <row r="773" ht="24.0" customHeight="1"/>
    <row r="774" ht="24.0" customHeight="1"/>
    <row r="775" ht="24.0" customHeight="1"/>
    <row r="776" ht="24.0" customHeight="1"/>
    <row r="777" ht="24.0" customHeight="1"/>
    <row r="778" ht="24.0" customHeight="1"/>
    <row r="779" ht="24.0" customHeight="1"/>
    <row r="780" ht="24.0" customHeight="1"/>
    <row r="781" ht="24.0" customHeight="1"/>
    <row r="782" ht="24.0" customHeight="1"/>
    <row r="783" ht="24.0" customHeight="1"/>
    <row r="784" ht="24.0" customHeight="1"/>
    <row r="785" ht="24.0" customHeight="1"/>
    <row r="786" ht="24.0" customHeight="1"/>
    <row r="787" ht="24.0" customHeight="1"/>
    <row r="788" ht="24.0" customHeight="1"/>
    <row r="789" ht="24.0" customHeight="1"/>
    <row r="790" ht="24.0" customHeight="1"/>
    <row r="791" ht="24.0" customHeight="1"/>
    <row r="792" ht="24.0" customHeight="1"/>
    <row r="793" ht="24.0" customHeight="1"/>
    <row r="794" ht="24.0" customHeight="1"/>
    <row r="795" ht="24.0" customHeight="1"/>
    <row r="796" ht="24.0" customHeight="1"/>
    <row r="797" ht="24.0" customHeight="1"/>
    <row r="798" ht="24.0" customHeight="1"/>
    <row r="799" ht="24.0" customHeight="1"/>
    <row r="800" ht="24.0" customHeight="1"/>
    <row r="801" ht="24.0" customHeight="1"/>
    <row r="802" ht="24.0" customHeight="1"/>
    <row r="803" ht="24.0" customHeight="1"/>
    <row r="804" ht="24.0" customHeight="1"/>
    <row r="805" ht="24.0" customHeight="1"/>
    <row r="806" ht="24.0" customHeight="1"/>
    <row r="807" ht="24.0" customHeight="1"/>
    <row r="808" ht="24.0" customHeight="1"/>
    <row r="809" ht="24.0" customHeight="1"/>
    <row r="810" ht="24.0" customHeight="1"/>
    <row r="811" ht="24.0" customHeight="1"/>
    <row r="812" ht="24.0" customHeight="1"/>
    <row r="813" ht="24.0" customHeight="1"/>
    <row r="814" ht="24.0" customHeight="1"/>
    <row r="815" ht="24.0" customHeight="1"/>
    <row r="816" ht="24.0" customHeight="1"/>
    <row r="817" ht="24.0" customHeight="1"/>
    <row r="818" ht="24.0" customHeight="1"/>
    <row r="819" ht="24.0" customHeight="1"/>
    <row r="820" ht="24.0" customHeight="1"/>
    <row r="821" ht="24.0" customHeight="1"/>
    <row r="822" ht="24.0" customHeight="1"/>
    <row r="823" ht="24.0" customHeight="1"/>
    <row r="824" ht="24.0" customHeight="1"/>
    <row r="825" ht="24.0" customHeight="1"/>
    <row r="826" ht="24.0" customHeight="1"/>
    <row r="827" ht="24.0" customHeight="1"/>
    <row r="828" ht="24.0" customHeight="1"/>
    <row r="829" ht="24.0" customHeight="1"/>
    <row r="830" ht="24.0" customHeight="1"/>
    <row r="831" ht="24.0" customHeight="1"/>
    <row r="832" ht="24.0" customHeight="1"/>
    <row r="833" ht="24.0" customHeight="1"/>
    <row r="834" ht="24.0" customHeight="1"/>
    <row r="835" ht="24.0" customHeight="1"/>
    <row r="836" ht="24.0" customHeight="1"/>
    <row r="837" ht="24.0" customHeight="1"/>
    <row r="838" ht="24.0" customHeight="1"/>
    <row r="839" ht="24.0" customHeight="1"/>
    <row r="840" ht="24.0" customHeight="1"/>
    <row r="841" ht="24.0" customHeight="1"/>
    <row r="842" ht="24.0" customHeight="1"/>
    <row r="843" ht="24.0" customHeight="1"/>
    <row r="844" ht="24.0" customHeight="1"/>
    <row r="845" ht="24.0" customHeight="1"/>
    <row r="846" ht="24.0" customHeight="1"/>
    <row r="847" ht="24.0" customHeight="1"/>
    <row r="848" ht="24.0" customHeight="1"/>
    <row r="849" ht="24.0" customHeight="1"/>
    <row r="850" ht="24.0" customHeight="1"/>
    <row r="851" ht="24.0" customHeight="1"/>
    <row r="852" ht="24.0" customHeight="1"/>
    <row r="853" ht="24.0" customHeight="1"/>
    <row r="854" ht="24.0" customHeight="1"/>
    <row r="855" ht="24.0" customHeight="1"/>
    <row r="856" ht="24.0" customHeight="1"/>
    <row r="857" ht="24.0" customHeight="1"/>
    <row r="858" ht="24.0" customHeight="1"/>
    <row r="859" ht="24.0" customHeight="1"/>
    <row r="860" ht="24.0" customHeight="1"/>
    <row r="861" ht="24.0" customHeight="1"/>
    <row r="862" ht="24.0" customHeight="1"/>
    <row r="863" ht="24.0" customHeight="1"/>
    <row r="864" ht="24.0" customHeight="1"/>
    <row r="865" ht="24.0" customHeight="1"/>
    <row r="866" ht="24.0" customHeight="1"/>
    <row r="867" ht="24.0" customHeight="1"/>
    <row r="868" ht="24.0" customHeight="1"/>
    <row r="869" ht="24.0" customHeight="1"/>
    <row r="870" ht="24.0" customHeight="1"/>
    <row r="871" ht="24.0" customHeight="1"/>
    <row r="872" ht="24.0" customHeight="1"/>
    <row r="873" ht="24.0" customHeight="1"/>
    <row r="874" ht="24.0" customHeight="1"/>
    <row r="875" ht="24.0" customHeight="1"/>
    <row r="876" ht="24.0" customHeight="1"/>
    <row r="877" ht="24.0" customHeight="1"/>
    <row r="878" ht="24.0" customHeight="1"/>
    <row r="879" ht="24.0" customHeight="1"/>
    <row r="880" ht="24.0" customHeight="1"/>
    <row r="881" ht="24.0" customHeight="1"/>
    <row r="882" ht="24.0" customHeight="1"/>
    <row r="883" ht="24.0" customHeight="1"/>
    <row r="884" ht="24.0" customHeight="1"/>
    <row r="885" ht="24.0" customHeight="1"/>
    <row r="886" ht="24.0" customHeight="1"/>
    <row r="887" ht="24.0" customHeight="1"/>
    <row r="888" ht="24.0" customHeight="1"/>
    <row r="889" ht="24.0" customHeight="1"/>
    <row r="890" ht="24.0" customHeight="1"/>
    <row r="891" ht="24.0" customHeight="1"/>
    <row r="892" ht="24.0" customHeight="1"/>
    <row r="893" ht="24.0" customHeight="1"/>
    <row r="894" ht="24.0" customHeight="1"/>
    <row r="895" ht="24.0" customHeight="1"/>
    <row r="896" ht="24.0" customHeight="1"/>
    <row r="897" ht="24.0" customHeight="1"/>
    <row r="898" ht="24.0" customHeight="1"/>
    <row r="899" ht="24.0" customHeight="1"/>
    <row r="900" ht="24.0" customHeight="1"/>
    <row r="901" ht="24.0" customHeight="1"/>
    <row r="902" ht="24.0" customHeight="1"/>
    <row r="903" ht="24.0" customHeight="1"/>
    <row r="904" ht="24.0" customHeight="1"/>
    <row r="905" ht="24.0" customHeight="1"/>
    <row r="906" ht="24.0" customHeight="1"/>
    <row r="907" ht="24.0" customHeight="1"/>
    <row r="908" ht="24.0" customHeight="1"/>
    <row r="909" ht="24.0" customHeight="1"/>
    <row r="910" ht="24.0" customHeight="1"/>
    <row r="911" ht="24.0" customHeight="1"/>
    <row r="912" ht="24.0" customHeight="1"/>
    <row r="913" ht="24.0" customHeight="1"/>
    <row r="914" ht="24.0" customHeight="1"/>
    <row r="915" ht="24.0" customHeight="1"/>
    <row r="916" ht="24.0" customHeight="1"/>
    <row r="917" ht="24.0" customHeight="1"/>
    <row r="918" ht="24.0" customHeight="1"/>
    <row r="919" ht="24.0" customHeight="1"/>
    <row r="920" ht="24.0" customHeight="1"/>
    <row r="921" ht="24.0" customHeight="1"/>
    <row r="922" ht="24.0" customHeight="1"/>
    <row r="923" ht="24.0" customHeight="1"/>
    <row r="924" ht="24.0" customHeight="1"/>
    <row r="925" ht="24.0" customHeight="1"/>
    <row r="926" ht="24.0" customHeight="1"/>
    <row r="927" ht="24.0" customHeight="1"/>
    <row r="928" ht="24.0" customHeight="1"/>
    <row r="929" ht="24.0" customHeight="1"/>
    <row r="930" ht="24.0" customHeight="1"/>
    <row r="931" ht="24.0" customHeight="1"/>
    <row r="932" ht="24.0" customHeight="1"/>
    <row r="933" ht="24.0" customHeight="1"/>
    <row r="934" ht="24.0" customHeight="1"/>
    <row r="935" ht="24.0" customHeight="1"/>
    <row r="936" ht="24.0" customHeight="1"/>
    <row r="937" ht="24.0" customHeight="1"/>
    <row r="938" ht="24.0" customHeight="1"/>
    <row r="939" ht="24.0" customHeight="1"/>
    <row r="940" ht="24.0" customHeight="1"/>
    <row r="941" ht="24.0" customHeight="1"/>
    <row r="942" ht="24.0" customHeight="1"/>
    <row r="943" ht="24.0" customHeight="1"/>
    <row r="944" ht="24.0" customHeight="1"/>
    <row r="945" ht="24.0" customHeight="1"/>
    <row r="946" ht="24.0" customHeight="1"/>
    <row r="947" ht="24.0" customHeight="1"/>
    <row r="948" ht="24.0" customHeight="1"/>
    <row r="949" ht="24.0" customHeight="1"/>
    <row r="950" ht="24.0" customHeight="1"/>
    <row r="951" ht="24.0" customHeight="1"/>
    <row r="952" ht="24.0" customHeight="1"/>
    <row r="953" ht="24.0" customHeight="1"/>
    <row r="954" ht="24.0" customHeight="1"/>
    <row r="955" ht="24.0" customHeight="1"/>
    <row r="956" ht="24.0" customHeight="1"/>
    <row r="957" ht="24.0" customHeight="1"/>
    <row r="958" ht="24.0" customHeight="1"/>
    <row r="959" ht="24.0" customHeight="1"/>
    <row r="960" ht="24.0" customHeight="1"/>
    <row r="961" ht="24.0" customHeight="1"/>
    <row r="962" ht="24.0" customHeight="1"/>
    <row r="963" ht="24.0" customHeight="1"/>
    <row r="964" ht="24.0" customHeight="1"/>
    <row r="965" ht="24.0" customHeight="1"/>
    <row r="966" ht="24.0" customHeight="1"/>
    <row r="967" ht="24.0" customHeight="1"/>
    <row r="968" ht="24.0" customHeight="1"/>
    <row r="969" ht="24.0" customHeight="1"/>
    <row r="970" ht="24.0" customHeight="1"/>
    <row r="971" ht="24.0" customHeight="1"/>
    <row r="972" ht="24.0" customHeight="1"/>
    <row r="973" ht="24.0" customHeight="1"/>
    <row r="974" ht="24.0" customHeight="1"/>
    <row r="975" ht="24.0" customHeight="1"/>
    <row r="976" ht="24.0" customHeight="1"/>
    <row r="977" ht="24.0" customHeight="1"/>
    <row r="978" ht="24.0" customHeight="1"/>
    <row r="979" ht="24.0" customHeight="1"/>
    <row r="980" ht="24.0" customHeight="1"/>
    <row r="981" ht="24.0" customHeight="1"/>
    <row r="982" ht="24.0" customHeight="1"/>
    <row r="983" ht="24.0" customHeight="1"/>
    <row r="984" ht="24.0" customHeight="1"/>
    <row r="985" ht="24.0" customHeight="1"/>
    <row r="986" ht="24.0" customHeight="1"/>
    <row r="987" ht="24.0" customHeight="1"/>
    <row r="988" ht="24.0" customHeight="1"/>
    <row r="989" ht="24.0" customHeight="1"/>
    <row r="990" ht="24.0" customHeight="1"/>
    <row r="991" ht="24.0" customHeight="1"/>
    <row r="992" ht="24.0" customHeight="1"/>
    <row r="993" ht="24.0" customHeight="1"/>
    <row r="994" ht="24.0" customHeight="1"/>
    <row r="995" ht="24.0" customHeight="1"/>
    <row r="996" ht="24.0" customHeight="1"/>
    <row r="997" ht="24.0" customHeight="1"/>
    <row r="998" ht="24.0" customHeight="1"/>
    <row r="999" ht="24.0" customHeight="1"/>
    <row r="1000" ht="24.0" customHeight="1"/>
  </sheetData>
  <mergeCells count="2">
    <mergeCell ref="B1:F1"/>
    <mergeCell ref="B9:E9"/>
  </mergeCells>
  <conditionalFormatting sqref="E4">
    <cfRule type="expression" dxfId="0" priority="1">
      <formula>AND(ISNUMBER(E4),ROUND(E4,2)=INT(ROUND(E4,2)))</formula>
    </cfRule>
  </conditionalFormatting>
  <conditionalFormatting sqref="E4">
    <cfRule type="expression" dxfId="1" priority="2">
      <formula>AND(ISNUMBER(E4),ROUND(E4,2)&lt;&gt;INT(ROUND(E4,2)))</formula>
    </cfRule>
  </conditionalFormatting>
  <conditionalFormatting sqref="F4">
    <cfRule type="expression" dxfId="0" priority="3">
      <formula>AND(ISNUMBER(F4),ROUND(F4,2)=INT(ROUND(F4,2)))</formula>
    </cfRule>
  </conditionalFormatting>
  <conditionalFormatting sqref="F4">
    <cfRule type="expression" dxfId="1" priority="4">
      <formula>AND(ISNUMBER(F4),ROUND(F4,2)&lt;&gt;INT(ROUND(F4,2)))</formula>
    </cfRule>
  </conditionalFormatting>
  <conditionalFormatting sqref="E5">
    <cfRule type="expression" dxfId="0" priority="5">
      <formula>AND(ISNUMBER(E5),ROUND(E5,2)=INT(ROUND(E5,2)))</formula>
    </cfRule>
  </conditionalFormatting>
  <conditionalFormatting sqref="E5">
    <cfRule type="expression" dxfId="1" priority="6">
      <formula>AND(ISNUMBER(E5),ROUND(E5,2)&lt;&gt;INT(ROUND(E5,2)))</formula>
    </cfRule>
  </conditionalFormatting>
  <conditionalFormatting sqref="F5">
    <cfRule type="expression" dxfId="0" priority="7">
      <formula>AND(ISNUMBER(F5),ROUND(F5,2)=INT(ROUND(F5,2)))</formula>
    </cfRule>
  </conditionalFormatting>
  <conditionalFormatting sqref="F5">
    <cfRule type="expression" dxfId="1" priority="8">
      <formula>AND(ISNUMBER(F5),ROUND(F5,2)&lt;&gt;INT(ROUND(F5,2)))</formula>
    </cfRule>
  </conditionalFormatting>
  <conditionalFormatting sqref="E6">
    <cfRule type="expression" dxfId="0" priority="9">
      <formula>AND(ISNUMBER(E6),ROUND(E6,2)=INT(ROUND(E6,2)))</formula>
    </cfRule>
  </conditionalFormatting>
  <conditionalFormatting sqref="E6">
    <cfRule type="expression" dxfId="1" priority="10">
      <formula>AND(ISNUMBER(E6),ROUND(E6,2)&lt;&gt;INT(ROUND(E6,2)))</formula>
    </cfRule>
  </conditionalFormatting>
  <conditionalFormatting sqref="F6">
    <cfRule type="expression" dxfId="0" priority="11">
      <formula>AND(ISNUMBER(F6),ROUND(F6,2)=INT(ROUND(F6,2)))</formula>
    </cfRule>
  </conditionalFormatting>
  <conditionalFormatting sqref="F6">
    <cfRule type="expression" dxfId="1" priority="12">
      <formula>AND(ISNUMBER(F6),ROUND(F6,2)&lt;&gt;INT(ROUND(F6,2)))</formula>
    </cfRule>
  </conditionalFormatting>
  <conditionalFormatting sqref="F9">
    <cfRule type="expression" dxfId="0" priority="13">
      <formula>AND(ISNUMBER(F9),ROUND(F9,2)=INT(ROUND(F9,2)))</formula>
    </cfRule>
  </conditionalFormatting>
  <conditionalFormatting sqref="F9">
    <cfRule type="expression" dxfId="1" priority="14">
      <formula>AND(ISNUMBER(F9),ROUND(F9,2)&lt;&gt;INT(ROUND(F9,2)))</formula>
    </cfRule>
  </conditionalFormatting>
  <dataValidations>
    <dataValidation type="decimal" operator="greaterThanOrEqual" allowBlank="1" showInputMessage="1" showErrorMessage="1" prompt="יש להזין מספר לא שלילי" sqref="D4:D6">
      <formula1>0.0</formula1>
    </dataValidation>
    <dataValidation type="custom" allowBlank="1" showInputMessage="1" showErrorMessage="1" prompt="מספר לא שלילי, כלול או לא רלוונטי בלבד" sqref="E4:E6">
      <formula1>OR(ISBLANK(E4),AND(ISNUMBER(E4),E4&gt;=0),E4="כלול",E4="לא רלוונטי")</formula1>
    </dataValidation>
  </dataValidations>
  <printOptions/>
  <pageMargins bottom="0.75" footer="0.0" header="0.0" left="0.25" right="0.25" top="0.75"/>
  <pageSetup fitToHeight="0" paperSize="9" orientation="portrait"/>
  <headerFooter>
    <oddFooter>&amp;Cעמוד &amp;P</oddFooter>
  </headerFooter>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rightToLeft="1" workbookViewId="0"/>
  </sheetViews>
  <sheetFormatPr customHeight="1" defaultColWidth="14.43" defaultRowHeight="15.0"/>
  <cols>
    <col customWidth="1" min="1" max="1" width="7.29"/>
    <col customWidth="1" min="2" max="2" width="66.29"/>
    <col customWidth="1" min="3" max="6" width="8.14"/>
    <col customWidth="1" hidden="1" min="7" max="7" width="36.0"/>
    <col customWidth="1" hidden="1" min="8" max="8" width="12.0"/>
    <col customWidth="1" min="9" max="26" width="8.71"/>
  </cols>
  <sheetData>
    <row r="1" ht="31.5" customHeight="1">
      <c r="A1" s="10"/>
      <c r="B1" s="3" t="s">
        <v>69</v>
      </c>
      <c r="G1" s="2" t="s">
        <v>68</v>
      </c>
      <c r="H1" s="2" t="s">
        <v>53</v>
      </c>
    </row>
    <row r="2" ht="31.5" customHeight="1">
      <c r="A2" s="16" t="s">
        <v>59</v>
      </c>
      <c r="B2" s="17" t="s">
        <v>67</v>
      </c>
      <c r="C2" s="16" t="s">
        <v>72</v>
      </c>
      <c r="D2" s="16" t="s">
        <v>76</v>
      </c>
      <c r="E2" s="16" t="s">
        <v>79</v>
      </c>
      <c r="F2" s="16" t="s">
        <v>81</v>
      </c>
      <c r="G2" s="2"/>
      <c r="H2" s="2" t="s">
        <v>84</v>
      </c>
    </row>
    <row r="3" ht="63.75" customHeight="1">
      <c r="A3" s="19"/>
      <c r="B3" s="20" t="s">
        <v>349</v>
      </c>
      <c r="C3" s="19"/>
      <c r="D3" s="19"/>
      <c r="E3" s="19"/>
      <c r="F3" s="19"/>
      <c r="G3" s="12" t="s">
        <v>350</v>
      </c>
      <c r="H3" s="12" t="s">
        <v>105</v>
      </c>
    </row>
    <row r="4" ht="46.5" customHeight="1">
      <c r="A4" s="19"/>
      <c r="B4" s="20" t="s">
        <v>351</v>
      </c>
      <c r="C4" s="19" t="s">
        <v>108</v>
      </c>
      <c r="D4" s="19"/>
      <c r="E4" s="22"/>
      <c r="F4" s="22" t="str">
        <f t="shared" ref="F4:F6" si="1">IF(ISBLANK(D4),"",IF(NOT(ISNUMBER(D4)),"קלט לא תקין",IF(D4&lt;0,"קלט לא תקין",IF(ISBLANK(E4),"",IF(OR(E4="כלול",E4="לא רלוונטי"),0,IF(NOT(ISNUMBER(E4)),"קלט לא תקין",IF(E4&lt;0,"קלט לא תקין",ROUND(D4*E4,2))))))))</f>
        <v/>
      </c>
      <c r="G4" s="12" t="s">
        <v>352</v>
      </c>
      <c r="H4" s="12" t="s">
        <v>113</v>
      </c>
    </row>
    <row r="5" ht="46.5" customHeight="1">
      <c r="A5" s="19"/>
      <c r="B5" s="20" t="s">
        <v>353</v>
      </c>
      <c r="C5" s="19" t="s">
        <v>126</v>
      </c>
      <c r="D5" s="19"/>
      <c r="E5" s="22"/>
      <c r="F5" s="22" t="str">
        <f t="shared" si="1"/>
        <v/>
      </c>
      <c r="G5" s="12" t="s">
        <v>354</v>
      </c>
      <c r="H5" s="12" t="s">
        <v>113</v>
      </c>
    </row>
    <row r="6" ht="63.75" customHeight="1">
      <c r="A6" s="19"/>
      <c r="B6" s="20" t="s">
        <v>355</v>
      </c>
      <c r="C6" s="19" t="s">
        <v>126</v>
      </c>
      <c r="D6" s="19"/>
      <c r="E6" s="22"/>
      <c r="F6" s="22" t="str">
        <f t="shared" si="1"/>
        <v/>
      </c>
      <c r="G6" s="12" t="s">
        <v>356</v>
      </c>
      <c r="H6" s="12" t="s">
        <v>113</v>
      </c>
    </row>
    <row r="7" ht="399.75" customHeight="1">
      <c r="A7" s="19"/>
      <c r="B7" s="20"/>
      <c r="C7" s="19"/>
      <c r="D7" s="19"/>
      <c r="E7" s="19"/>
      <c r="F7" s="19"/>
      <c r="G7" s="12"/>
      <c r="H7" s="12" t="s">
        <v>86</v>
      </c>
    </row>
    <row r="8" ht="1.5" customHeight="1">
      <c r="A8" s="19"/>
      <c r="B8" s="20"/>
      <c r="C8" s="19"/>
      <c r="D8" s="19"/>
      <c r="E8" s="19"/>
      <c r="F8" s="19"/>
      <c r="G8" s="12"/>
      <c r="H8" s="12" t="s">
        <v>86</v>
      </c>
    </row>
    <row r="9" ht="31.5" customHeight="1">
      <c r="A9" s="6"/>
      <c r="B9" s="7" t="s">
        <v>130</v>
      </c>
      <c r="C9" s="8"/>
      <c r="D9" s="8"/>
      <c r="E9" s="9"/>
      <c r="F9" s="23">
        <f>SUM(F4,F5,F6)</f>
        <v>0</v>
      </c>
      <c r="G9" s="12"/>
      <c r="H9" s="12" t="s">
        <v>136</v>
      </c>
    </row>
    <row r="10" ht="24.0" customHeight="1"/>
    <row r="11" ht="24.0" customHeight="1"/>
    <row r="12" ht="24.0" customHeight="1"/>
    <row r="13" ht="24.0" customHeight="1"/>
    <row r="14" ht="24.0" customHeight="1"/>
    <row r="15" ht="24.0" customHeight="1"/>
    <row r="16" ht="24.0" customHeight="1"/>
    <row r="17" ht="24.0" customHeight="1"/>
    <row r="18" ht="24.0" customHeight="1"/>
    <row r="19" ht="24.0" customHeight="1"/>
    <row r="20" ht="24.0" customHeight="1"/>
    <row r="21" ht="24.0" customHeight="1"/>
    <row r="22" ht="24.0" customHeight="1"/>
    <row r="23" ht="24.0" customHeight="1"/>
    <row r="24" ht="24.0" customHeight="1"/>
    <row r="25" ht="24.0" customHeight="1"/>
    <row r="26" ht="24.0" customHeight="1"/>
    <row r="27" ht="24.0" customHeight="1"/>
    <row r="28" ht="24.0" customHeight="1"/>
    <row r="29" ht="24.0" customHeight="1"/>
    <row r="30" ht="24.0" customHeight="1"/>
    <row r="31" ht="24.0" customHeight="1"/>
    <row r="32" ht="24.0" customHeight="1"/>
    <row r="33" ht="24.0" customHeight="1"/>
    <row r="34" ht="24.0" customHeight="1"/>
    <row r="35" ht="24.0" customHeight="1"/>
    <row r="36" ht="24.0" customHeight="1"/>
    <row r="37" ht="24.0" customHeight="1"/>
    <row r="38" ht="24.0" customHeight="1"/>
    <row r="39" ht="24.0" customHeight="1"/>
    <row r="40" ht="24.0" customHeight="1"/>
    <row r="41" ht="24.0" customHeight="1"/>
    <row r="42" ht="24.0" customHeight="1"/>
    <row r="43" ht="24.0" customHeight="1"/>
    <row r="44" ht="24.0" customHeight="1"/>
    <row r="45" ht="24.0" customHeight="1"/>
    <row r="46" ht="24.0" customHeight="1"/>
    <row r="47" ht="24.0" customHeight="1"/>
    <row r="48" ht="24.0" customHeight="1"/>
    <row r="49" ht="24.0" customHeight="1"/>
    <row r="50" ht="24.0" customHeight="1"/>
    <row r="51" ht="24.0" customHeight="1"/>
    <row r="52" ht="24.0" customHeight="1"/>
    <row r="53" ht="24.0" customHeight="1"/>
    <row r="54" ht="24.0" customHeight="1"/>
    <row r="55" ht="24.0" customHeight="1"/>
    <row r="56" ht="24.0" customHeight="1"/>
    <row r="57" ht="24.0" customHeight="1"/>
    <row r="58" ht="24.0" customHeight="1"/>
    <row r="59" ht="24.0" customHeight="1"/>
    <row r="60" ht="24.0" customHeight="1"/>
    <row r="61" ht="24.0" customHeight="1"/>
    <row r="62" ht="24.0" customHeight="1"/>
    <row r="63" ht="24.0" customHeight="1"/>
    <row r="64" ht="24.0" customHeight="1"/>
    <row r="65" ht="24.0" customHeight="1"/>
    <row r="66" ht="24.0" customHeight="1"/>
    <row r="67" ht="24.0" customHeight="1"/>
    <row r="68" ht="24.0" customHeight="1"/>
    <row r="69" ht="24.0" customHeight="1"/>
    <row r="70" ht="24.0" customHeight="1"/>
    <row r="71" ht="24.0" customHeight="1"/>
    <row r="72" ht="24.0" customHeight="1"/>
    <row r="73" ht="24.0" customHeight="1"/>
    <row r="74" ht="24.0" customHeight="1"/>
    <row r="75" ht="24.0" customHeight="1"/>
    <row r="76" ht="24.0" customHeight="1"/>
    <row r="77" ht="24.0" customHeight="1"/>
    <row r="78" ht="24.0" customHeight="1"/>
    <row r="79" ht="24.0" customHeight="1"/>
    <row r="80" ht="24.0" customHeight="1"/>
    <row r="81" ht="24.0" customHeight="1"/>
    <row r="82" ht="24.0" customHeight="1"/>
    <row r="83" ht="24.0" customHeight="1"/>
    <row r="84" ht="24.0" customHeight="1"/>
    <row r="85" ht="24.0" customHeight="1"/>
    <row r="86" ht="24.0" customHeight="1"/>
    <row r="87" ht="24.0" customHeight="1"/>
    <row r="88" ht="24.0" customHeight="1"/>
    <row r="89" ht="24.0" customHeight="1"/>
    <row r="90" ht="24.0" customHeight="1"/>
    <row r="91" ht="24.0" customHeight="1"/>
    <row r="92" ht="24.0" customHeight="1"/>
    <row r="93" ht="24.0" customHeight="1"/>
    <row r="94" ht="24.0" customHeight="1"/>
    <row r="95" ht="24.0" customHeight="1"/>
    <row r="96" ht="24.0" customHeight="1"/>
    <row r="97" ht="24.0" customHeight="1"/>
    <row r="98" ht="24.0" customHeight="1"/>
    <row r="99" ht="24.0" customHeight="1"/>
    <row r="100" ht="24.0" customHeight="1"/>
    <row r="101" ht="24.0" customHeight="1"/>
    <row r="102" ht="24.0" customHeight="1"/>
    <row r="103" ht="24.0" customHeight="1"/>
    <row r="104" ht="24.0" customHeight="1"/>
    <row r="105" ht="24.0" customHeight="1"/>
    <row r="106" ht="24.0" customHeight="1"/>
    <row r="107" ht="24.0" customHeight="1"/>
    <row r="108" ht="24.0" customHeight="1"/>
    <row r="109" ht="24.0" customHeight="1"/>
    <row r="110" ht="24.0" customHeight="1"/>
    <row r="111" ht="24.0" customHeight="1"/>
    <row r="112" ht="24.0" customHeight="1"/>
    <row r="113" ht="24.0" customHeight="1"/>
    <row r="114" ht="24.0" customHeight="1"/>
    <row r="115" ht="24.0" customHeight="1"/>
    <row r="116" ht="24.0" customHeight="1"/>
    <row r="117" ht="24.0" customHeight="1"/>
    <row r="118" ht="24.0" customHeight="1"/>
    <row r="119" ht="24.0" customHeight="1"/>
    <row r="120" ht="24.0" customHeight="1"/>
    <row r="121" ht="24.0" customHeight="1"/>
    <row r="122" ht="24.0" customHeight="1"/>
    <row r="123" ht="24.0" customHeight="1"/>
    <row r="124" ht="24.0" customHeight="1"/>
    <row r="125" ht="24.0" customHeight="1"/>
    <row r="126" ht="24.0" customHeight="1"/>
    <row r="127" ht="24.0" customHeight="1"/>
    <row r="128" ht="24.0" customHeight="1"/>
    <row r="129" ht="24.0" customHeight="1"/>
    <row r="130" ht="24.0" customHeight="1"/>
    <row r="131" ht="24.0" customHeight="1"/>
    <row r="132" ht="24.0" customHeight="1"/>
    <row r="133" ht="24.0" customHeight="1"/>
    <row r="134" ht="24.0" customHeight="1"/>
    <row r="135" ht="24.0" customHeight="1"/>
    <row r="136" ht="24.0" customHeight="1"/>
    <row r="137" ht="24.0" customHeight="1"/>
    <row r="138" ht="24.0" customHeight="1"/>
    <row r="139" ht="24.0" customHeight="1"/>
    <row r="140" ht="24.0" customHeight="1"/>
    <row r="141" ht="24.0" customHeight="1"/>
    <row r="142" ht="24.0" customHeight="1"/>
    <row r="143" ht="24.0" customHeight="1"/>
    <row r="144" ht="24.0" customHeight="1"/>
    <row r="145" ht="24.0" customHeight="1"/>
    <row r="146" ht="24.0" customHeight="1"/>
    <row r="147" ht="24.0" customHeight="1"/>
    <row r="148" ht="24.0" customHeight="1"/>
    <row r="149" ht="24.0" customHeight="1"/>
    <row r="150" ht="24.0" customHeight="1"/>
    <row r="151" ht="24.0" customHeight="1"/>
    <row r="152" ht="24.0" customHeight="1"/>
    <row r="153" ht="24.0" customHeight="1"/>
    <row r="154" ht="24.0" customHeight="1"/>
    <row r="155" ht="24.0" customHeight="1"/>
    <row r="156" ht="24.0" customHeight="1"/>
    <row r="157" ht="24.0" customHeight="1"/>
    <row r="158" ht="24.0" customHeight="1"/>
    <row r="159" ht="24.0" customHeight="1"/>
    <row r="160" ht="24.0" customHeight="1"/>
    <row r="161" ht="24.0" customHeight="1"/>
    <row r="162" ht="24.0" customHeight="1"/>
    <row r="163" ht="24.0" customHeight="1"/>
    <row r="164" ht="24.0" customHeight="1"/>
    <row r="165" ht="24.0" customHeight="1"/>
    <row r="166" ht="24.0" customHeight="1"/>
    <row r="167" ht="24.0" customHeight="1"/>
    <row r="168" ht="24.0" customHeight="1"/>
    <row r="169" ht="24.0" customHeight="1"/>
    <row r="170" ht="24.0" customHeight="1"/>
    <row r="171" ht="24.0" customHeight="1"/>
    <row r="172" ht="24.0" customHeight="1"/>
    <row r="173" ht="24.0" customHeight="1"/>
    <row r="174" ht="24.0" customHeight="1"/>
    <row r="175" ht="24.0" customHeight="1"/>
    <row r="176" ht="24.0" customHeight="1"/>
    <row r="177" ht="24.0" customHeight="1"/>
    <row r="178" ht="24.0" customHeight="1"/>
    <row r="179" ht="24.0" customHeight="1"/>
    <row r="180" ht="24.0" customHeight="1"/>
    <row r="181" ht="24.0" customHeight="1"/>
    <row r="182" ht="24.0" customHeight="1"/>
    <row r="183" ht="24.0" customHeight="1"/>
    <row r="184" ht="24.0" customHeight="1"/>
    <row r="185" ht="24.0" customHeight="1"/>
    <row r="186" ht="24.0" customHeight="1"/>
    <row r="187" ht="24.0" customHeight="1"/>
    <row r="188" ht="24.0" customHeight="1"/>
    <row r="189" ht="24.0" customHeight="1"/>
    <row r="190" ht="24.0" customHeight="1"/>
    <row r="191" ht="24.0" customHeight="1"/>
    <row r="192" ht="24.0" customHeight="1"/>
    <row r="193" ht="24.0" customHeight="1"/>
    <row r="194" ht="24.0" customHeight="1"/>
    <row r="195" ht="24.0" customHeight="1"/>
    <row r="196" ht="24.0" customHeight="1"/>
    <row r="197" ht="24.0" customHeight="1"/>
    <row r="198" ht="24.0" customHeight="1"/>
    <row r="199" ht="24.0" customHeight="1"/>
    <row r="200" ht="24.0" customHeight="1"/>
    <row r="201" ht="24.0" customHeight="1"/>
    <row r="202" ht="24.0" customHeight="1"/>
    <row r="203" ht="24.0" customHeight="1"/>
    <row r="204" ht="24.0" customHeight="1"/>
    <row r="205" ht="24.0" customHeight="1"/>
    <row r="206" ht="24.0" customHeight="1"/>
    <row r="207" ht="24.0" customHeight="1"/>
    <row r="208" ht="24.0" customHeight="1"/>
    <row r="209" ht="24.0" customHeight="1"/>
    <row r="210" ht="24.0" customHeight="1"/>
    <row r="211" ht="24.0" customHeight="1"/>
    <row r="212" ht="24.0" customHeight="1"/>
    <row r="213" ht="24.0" customHeight="1"/>
    <row r="214" ht="24.0" customHeight="1"/>
    <row r="215" ht="24.0" customHeight="1"/>
    <row r="216" ht="24.0" customHeight="1"/>
    <row r="217" ht="24.0" customHeight="1"/>
    <row r="218" ht="24.0" customHeight="1"/>
    <row r="219" ht="24.0" customHeight="1"/>
    <row r="220" ht="24.0" customHeight="1"/>
    <row r="221" ht="24.0" customHeight="1"/>
    <row r="222" ht="24.0" customHeight="1"/>
    <row r="223" ht="24.0" customHeight="1"/>
    <row r="224" ht="24.0" customHeight="1"/>
    <row r="225" ht="24.0" customHeight="1"/>
    <row r="226" ht="24.0" customHeight="1"/>
    <row r="227" ht="24.0" customHeight="1"/>
    <row r="228" ht="24.0" customHeight="1"/>
    <row r="229" ht="24.0" customHeight="1"/>
    <row r="230" ht="24.0" customHeight="1"/>
    <row r="231" ht="24.0" customHeight="1"/>
    <row r="232" ht="24.0" customHeight="1"/>
    <row r="233" ht="24.0" customHeight="1"/>
    <row r="234" ht="24.0" customHeight="1"/>
    <row r="235" ht="24.0" customHeight="1"/>
    <row r="236" ht="24.0" customHeight="1"/>
    <row r="237" ht="24.0" customHeight="1"/>
    <row r="238" ht="24.0" customHeight="1"/>
    <row r="239" ht="24.0" customHeight="1"/>
    <row r="240" ht="24.0" customHeight="1"/>
    <row r="241" ht="24.0" customHeight="1"/>
    <row r="242" ht="24.0" customHeight="1"/>
    <row r="243" ht="24.0" customHeight="1"/>
    <row r="244" ht="24.0" customHeight="1"/>
    <row r="245" ht="24.0" customHeight="1"/>
    <row r="246" ht="24.0" customHeight="1"/>
    <row r="247" ht="24.0" customHeight="1"/>
    <row r="248" ht="24.0" customHeight="1"/>
    <row r="249" ht="24.0" customHeight="1"/>
    <row r="250" ht="24.0" customHeight="1"/>
    <row r="251" ht="24.0" customHeight="1"/>
    <row r="252" ht="24.0" customHeight="1"/>
    <row r="253" ht="24.0" customHeight="1"/>
    <row r="254" ht="24.0" customHeight="1"/>
    <row r="255" ht="24.0" customHeight="1"/>
    <row r="256" ht="24.0" customHeight="1"/>
    <row r="257" ht="24.0" customHeight="1"/>
    <row r="258" ht="24.0" customHeight="1"/>
    <row r="259" ht="24.0" customHeight="1"/>
    <row r="260" ht="24.0" customHeight="1"/>
    <row r="261" ht="24.0" customHeight="1"/>
    <row r="262" ht="24.0" customHeight="1"/>
    <row r="263" ht="24.0" customHeight="1"/>
    <row r="264" ht="24.0" customHeight="1"/>
    <row r="265" ht="24.0" customHeight="1"/>
    <row r="266" ht="24.0" customHeight="1"/>
    <row r="267" ht="24.0" customHeight="1"/>
    <row r="268" ht="24.0" customHeight="1"/>
    <row r="269" ht="24.0" customHeight="1"/>
    <row r="270" ht="24.0" customHeight="1"/>
    <row r="271" ht="24.0" customHeight="1"/>
    <row r="272" ht="24.0" customHeight="1"/>
    <row r="273" ht="24.0" customHeight="1"/>
    <row r="274" ht="24.0" customHeight="1"/>
    <row r="275" ht="24.0" customHeight="1"/>
    <row r="276" ht="24.0" customHeight="1"/>
    <row r="277" ht="24.0" customHeight="1"/>
    <row r="278" ht="24.0" customHeight="1"/>
    <row r="279" ht="24.0" customHeight="1"/>
    <row r="280" ht="24.0" customHeight="1"/>
    <row r="281" ht="24.0" customHeight="1"/>
    <row r="282" ht="24.0" customHeight="1"/>
    <row r="283" ht="24.0" customHeight="1"/>
    <row r="284" ht="24.0" customHeight="1"/>
    <row r="285" ht="24.0" customHeight="1"/>
    <row r="286" ht="24.0" customHeight="1"/>
    <row r="287" ht="24.0" customHeight="1"/>
    <row r="288" ht="24.0" customHeight="1"/>
    <row r="289" ht="24.0" customHeight="1"/>
    <row r="290" ht="24.0" customHeight="1"/>
    <row r="291" ht="24.0" customHeight="1"/>
    <row r="292" ht="24.0" customHeight="1"/>
    <row r="293" ht="24.0" customHeight="1"/>
    <row r="294" ht="24.0" customHeight="1"/>
    <row r="295" ht="24.0" customHeight="1"/>
    <row r="296" ht="24.0" customHeight="1"/>
    <row r="297" ht="24.0" customHeight="1"/>
    <row r="298" ht="24.0" customHeight="1"/>
    <row r="299" ht="24.0" customHeight="1"/>
    <row r="300" ht="24.0" customHeight="1"/>
    <row r="301" ht="24.0" customHeight="1"/>
    <row r="302" ht="24.0" customHeight="1"/>
    <row r="303" ht="24.0" customHeight="1"/>
    <row r="304" ht="24.0" customHeight="1"/>
    <row r="305" ht="24.0" customHeight="1"/>
    <row r="306" ht="24.0" customHeight="1"/>
    <row r="307" ht="24.0" customHeight="1"/>
    <row r="308" ht="24.0" customHeight="1"/>
    <row r="309" ht="24.0" customHeight="1"/>
    <row r="310" ht="24.0" customHeight="1"/>
    <row r="311" ht="24.0" customHeight="1"/>
    <row r="312" ht="24.0" customHeight="1"/>
    <row r="313" ht="24.0" customHeight="1"/>
    <row r="314" ht="24.0" customHeight="1"/>
    <row r="315" ht="24.0" customHeight="1"/>
    <row r="316" ht="24.0" customHeight="1"/>
    <row r="317" ht="24.0" customHeight="1"/>
    <row r="318" ht="24.0" customHeight="1"/>
    <row r="319" ht="24.0" customHeight="1"/>
    <row r="320" ht="24.0" customHeight="1"/>
    <row r="321" ht="24.0" customHeight="1"/>
    <row r="322" ht="24.0" customHeight="1"/>
    <row r="323" ht="24.0" customHeight="1"/>
    <row r="324" ht="24.0" customHeight="1"/>
    <row r="325" ht="24.0" customHeight="1"/>
    <row r="326" ht="24.0" customHeight="1"/>
    <row r="327" ht="24.0" customHeight="1"/>
    <row r="328" ht="24.0" customHeight="1"/>
    <row r="329" ht="24.0" customHeight="1"/>
    <row r="330" ht="24.0" customHeight="1"/>
    <row r="331" ht="24.0" customHeight="1"/>
    <row r="332" ht="24.0" customHeight="1"/>
    <row r="333" ht="24.0" customHeight="1"/>
    <row r="334" ht="24.0" customHeight="1"/>
    <row r="335" ht="24.0" customHeight="1"/>
    <row r="336" ht="24.0" customHeight="1"/>
    <row r="337" ht="24.0" customHeight="1"/>
    <row r="338" ht="24.0" customHeight="1"/>
    <row r="339" ht="24.0" customHeight="1"/>
    <row r="340" ht="24.0" customHeight="1"/>
    <row r="341" ht="24.0" customHeight="1"/>
    <row r="342" ht="24.0" customHeight="1"/>
    <row r="343" ht="24.0" customHeight="1"/>
    <row r="344" ht="24.0" customHeight="1"/>
    <row r="345" ht="24.0" customHeight="1"/>
    <row r="346" ht="24.0" customHeight="1"/>
    <row r="347" ht="24.0" customHeight="1"/>
    <row r="348" ht="24.0" customHeight="1"/>
    <row r="349" ht="24.0" customHeight="1"/>
    <row r="350" ht="24.0" customHeight="1"/>
    <row r="351" ht="24.0" customHeight="1"/>
    <row r="352" ht="24.0" customHeight="1"/>
    <row r="353" ht="24.0" customHeight="1"/>
    <row r="354" ht="24.0" customHeight="1"/>
    <row r="355" ht="24.0" customHeight="1"/>
    <row r="356" ht="24.0" customHeight="1"/>
    <row r="357" ht="24.0" customHeight="1"/>
    <row r="358" ht="24.0" customHeight="1"/>
    <row r="359" ht="24.0" customHeight="1"/>
    <row r="360" ht="24.0" customHeight="1"/>
    <row r="361" ht="24.0" customHeight="1"/>
    <row r="362" ht="24.0" customHeight="1"/>
    <row r="363" ht="24.0" customHeight="1"/>
    <row r="364" ht="24.0" customHeight="1"/>
    <row r="365" ht="24.0" customHeight="1"/>
    <row r="366" ht="24.0" customHeight="1"/>
    <row r="367" ht="24.0" customHeight="1"/>
    <row r="368" ht="24.0" customHeight="1"/>
    <row r="369" ht="24.0" customHeight="1"/>
    <row r="370" ht="24.0" customHeight="1"/>
    <row r="371" ht="24.0" customHeight="1"/>
    <row r="372" ht="24.0" customHeight="1"/>
    <row r="373" ht="24.0" customHeight="1"/>
    <row r="374" ht="24.0" customHeight="1"/>
    <row r="375" ht="24.0" customHeight="1"/>
    <row r="376" ht="24.0" customHeight="1"/>
    <row r="377" ht="24.0" customHeight="1"/>
    <row r="378" ht="24.0" customHeight="1"/>
    <row r="379" ht="24.0" customHeight="1"/>
    <row r="380" ht="24.0" customHeight="1"/>
    <row r="381" ht="24.0" customHeight="1"/>
    <row r="382" ht="24.0" customHeight="1"/>
    <row r="383" ht="24.0" customHeight="1"/>
    <row r="384" ht="24.0" customHeight="1"/>
    <row r="385" ht="24.0" customHeight="1"/>
    <row r="386" ht="24.0" customHeight="1"/>
    <row r="387" ht="24.0" customHeight="1"/>
    <row r="388" ht="24.0" customHeight="1"/>
    <row r="389" ht="24.0" customHeight="1"/>
    <row r="390" ht="24.0" customHeight="1"/>
    <row r="391" ht="24.0" customHeight="1"/>
    <row r="392" ht="24.0" customHeight="1"/>
    <row r="393" ht="24.0" customHeight="1"/>
    <row r="394" ht="24.0" customHeight="1"/>
    <row r="395" ht="24.0" customHeight="1"/>
    <row r="396" ht="24.0" customHeight="1"/>
    <row r="397" ht="24.0" customHeight="1"/>
    <row r="398" ht="24.0" customHeight="1"/>
    <row r="399" ht="24.0" customHeight="1"/>
    <row r="400" ht="24.0" customHeight="1"/>
    <row r="401" ht="24.0" customHeight="1"/>
    <row r="402" ht="24.0" customHeight="1"/>
    <row r="403" ht="24.0" customHeight="1"/>
    <row r="404" ht="24.0" customHeight="1"/>
    <row r="405" ht="24.0" customHeight="1"/>
    <row r="406" ht="24.0" customHeight="1"/>
    <row r="407" ht="24.0" customHeight="1"/>
    <row r="408" ht="24.0" customHeight="1"/>
    <row r="409" ht="24.0" customHeight="1"/>
    <row r="410" ht="24.0" customHeight="1"/>
    <row r="411" ht="24.0" customHeight="1"/>
    <row r="412" ht="24.0" customHeight="1"/>
    <row r="413" ht="24.0" customHeight="1"/>
    <row r="414" ht="24.0" customHeight="1"/>
    <row r="415" ht="24.0" customHeight="1"/>
    <row r="416" ht="24.0" customHeight="1"/>
    <row r="417" ht="24.0" customHeight="1"/>
    <row r="418" ht="24.0" customHeight="1"/>
    <row r="419" ht="24.0" customHeight="1"/>
    <row r="420" ht="24.0" customHeight="1"/>
    <row r="421" ht="24.0" customHeight="1"/>
    <row r="422" ht="24.0" customHeight="1"/>
    <row r="423" ht="24.0" customHeight="1"/>
    <row r="424" ht="24.0" customHeight="1"/>
    <row r="425" ht="24.0" customHeight="1"/>
    <row r="426" ht="24.0" customHeight="1"/>
    <row r="427" ht="24.0" customHeight="1"/>
    <row r="428" ht="24.0" customHeight="1"/>
    <row r="429" ht="24.0" customHeight="1"/>
    <row r="430" ht="24.0" customHeight="1"/>
    <row r="431" ht="24.0" customHeight="1"/>
    <row r="432" ht="24.0" customHeight="1"/>
    <row r="433" ht="24.0" customHeight="1"/>
    <row r="434" ht="24.0" customHeight="1"/>
    <row r="435" ht="24.0" customHeight="1"/>
    <row r="436" ht="24.0" customHeight="1"/>
    <row r="437" ht="24.0" customHeight="1"/>
    <row r="438" ht="24.0" customHeight="1"/>
    <row r="439" ht="24.0" customHeight="1"/>
    <row r="440" ht="24.0" customHeight="1"/>
    <row r="441" ht="24.0" customHeight="1"/>
    <row r="442" ht="24.0" customHeight="1"/>
    <row r="443" ht="24.0" customHeight="1"/>
    <row r="444" ht="24.0" customHeight="1"/>
    <row r="445" ht="24.0" customHeight="1"/>
    <row r="446" ht="24.0" customHeight="1"/>
    <row r="447" ht="24.0" customHeight="1"/>
    <row r="448" ht="24.0" customHeight="1"/>
    <row r="449" ht="24.0" customHeight="1"/>
    <row r="450" ht="24.0" customHeight="1"/>
    <row r="451" ht="24.0" customHeight="1"/>
    <row r="452" ht="24.0" customHeight="1"/>
    <row r="453" ht="24.0" customHeight="1"/>
    <row r="454" ht="24.0" customHeight="1"/>
    <row r="455" ht="24.0" customHeight="1"/>
    <row r="456" ht="24.0" customHeight="1"/>
    <row r="457" ht="24.0" customHeight="1"/>
    <row r="458" ht="24.0" customHeight="1"/>
    <row r="459" ht="24.0" customHeight="1"/>
    <row r="460" ht="24.0" customHeight="1"/>
    <row r="461" ht="24.0" customHeight="1"/>
    <row r="462" ht="24.0" customHeight="1"/>
    <row r="463" ht="24.0" customHeight="1"/>
    <row r="464" ht="24.0" customHeight="1"/>
    <row r="465" ht="24.0" customHeight="1"/>
    <row r="466" ht="24.0" customHeight="1"/>
    <row r="467" ht="24.0" customHeight="1"/>
    <row r="468" ht="24.0" customHeight="1"/>
    <row r="469" ht="24.0" customHeight="1"/>
    <row r="470" ht="24.0" customHeight="1"/>
    <row r="471" ht="24.0" customHeight="1"/>
    <row r="472" ht="24.0" customHeight="1"/>
    <row r="473" ht="24.0" customHeight="1"/>
    <row r="474" ht="24.0" customHeight="1"/>
    <row r="475" ht="24.0" customHeight="1"/>
    <row r="476" ht="24.0" customHeight="1"/>
    <row r="477" ht="24.0" customHeight="1"/>
    <row r="478" ht="24.0" customHeight="1"/>
    <row r="479" ht="24.0" customHeight="1"/>
    <row r="480" ht="24.0" customHeight="1"/>
    <row r="481" ht="24.0" customHeight="1"/>
    <row r="482" ht="24.0" customHeight="1"/>
    <row r="483" ht="24.0" customHeight="1"/>
    <row r="484" ht="24.0" customHeight="1"/>
    <row r="485" ht="24.0" customHeight="1"/>
    <row r="486" ht="24.0" customHeight="1"/>
    <row r="487" ht="24.0" customHeight="1"/>
    <row r="488" ht="24.0" customHeight="1"/>
    <row r="489" ht="24.0" customHeight="1"/>
    <row r="490" ht="24.0" customHeight="1"/>
    <row r="491" ht="24.0" customHeight="1"/>
    <row r="492" ht="24.0" customHeight="1"/>
    <row r="493" ht="24.0" customHeight="1"/>
    <row r="494" ht="24.0" customHeight="1"/>
    <row r="495" ht="24.0" customHeight="1"/>
    <row r="496" ht="24.0" customHeight="1"/>
    <row r="497" ht="24.0" customHeight="1"/>
    <row r="498" ht="24.0" customHeight="1"/>
    <row r="499" ht="24.0" customHeight="1"/>
    <row r="500" ht="24.0" customHeight="1"/>
    <row r="501" ht="24.0" customHeight="1"/>
    <row r="502" ht="24.0" customHeight="1"/>
    <row r="503" ht="24.0" customHeight="1"/>
    <row r="504" ht="24.0" customHeight="1"/>
    <row r="505" ht="24.0" customHeight="1"/>
    <row r="506" ht="24.0" customHeight="1"/>
    <row r="507" ht="24.0" customHeight="1"/>
    <row r="508" ht="24.0" customHeight="1"/>
    <row r="509" ht="24.0" customHeight="1"/>
    <row r="510" ht="24.0" customHeight="1"/>
    <row r="511" ht="24.0" customHeight="1"/>
    <row r="512" ht="24.0" customHeight="1"/>
    <row r="513" ht="24.0" customHeight="1"/>
    <row r="514" ht="24.0" customHeight="1"/>
    <row r="515" ht="24.0" customHeight="1"/>
    <row r="516" ht="24.0" customHeight="1"/>
    <row r="517" ht="24.0" customHeight="1"/>
    <row r="518" ht="24.0" customHeight="1"/>
    <row r="519" ht="24.0" customHeight="1"/>
    <row r="520" ht="24.0" customHeight="1"/>
    <row r="521" ht="24.0" customHeight="1"/>
    <row r="522" ht="24.0" customHeight="1"/>
    <row r="523" ht="24.0" customHeight="1"/>
    <row r="524" ht="24.0" customHeight="1"/>
    <row r="525" ht="24.0" customHeight="1"/>
    <row r="526" ht="24.0" customHeight="1"/>
    <row r="527" ht="24.0" customHeight="1"/>
    <row r="528" ht="24.0" customHeight="1"/>
    <row r="529" ht="24.0" customHeight="1"/>
    <row r="530" ht="24.0" customHeight="1"/>
    <row r="531" ht="24.0" customHeight="1"/>
    <row r="532" ht="24.0" customHeight="1"/>
    <row r="533" ht="24.0" customHeight="1"/>
    <row r="534" ht="24.0" customHeight="1"/>
    <row r="535" ht="24.0" customHeight="1"/>
    <row r="536" ht="24.0" customHeight="1"/>
    <row r="537" ht="24.0" customHeight="1"/>
    <row r="538" ht="24.0" customHeight="1"/>
    <row r="539" ht="24.0" customHeight="1"/>
    <row r="540" ht="24.0" customHeight="1"/>
    <row r="541" ht="24.0" customHeight="1"/>
    <row r="542" ht="24.0" customHeight="1"/>
    <row r="543" ht="24.0" customHeight="1"/>
    <row r="544" ht="24.0" customHeight="1"/>
    <row r="545" ht="24.0" customHeight="1"/>
    <row r="546" ht="24.0" customHeight="1"/>
    <row r="547" ht="24.0" customHeight="1"/>
    <row r="548" ht="24.0" customHeight="1"/>
    <row r="549" ht="24.0" customHeight="1"/>
    <row r="550" ht="24.0" customHeight="1"/>
    <row r="551" ht="24.0" customHeight="1"/>
    <row r="552" ht="24.0" customHeight="1"/>
    <row r="553" ht="24.0" customHeight="1"/>
    <row r="554" ht="24.0" customHeight="1"/>
    <row r="555" ht="24.0" customHeight="1"/>
    <row r="556" ht="24.0" customHeight="1"/>
    <row r="557" ht="24.0" customHeight="1"/>
    <row r="558" ht="24.0" customHeight="1"/>
    <row r="559" ht="24.0" customHeight="1"/>
    <row r="560" ht="24.0" customHeight="1"/>
    <row r="561" ht="24.0" customHeight="1"/>
    <row r="562" ht="24.0" customHeight="1"/>
    <row r="563" ht="24.0" customHeight="1"/>
    <row r="564" ht="24.0" customHeight="1"/>
    <row r="565" ht="24.0" customHeight="1"/>
    <row r="566" ht="24.0" customHeight="1"/>
    <row r="567" ht="24.0" customHeight="1"/>
    <row r="568" ht="24.0" customHeight="1"/>
    <row r="569" ht="24.0" customHeight="1"/>
    <row r="570" ht="24.0" customHeight="1"/>
    <row r="571" ht="24.0" customHeight="1"/>
    <row r="572" ht="24.0" customHeight="1"/>
    <row r="573" ht="24.0" customHeight="1"/>
    <row r="574" ht="24.0" customHeight="1"/>
    <row r="575" ht="24.0" customHeight="1"/>
    <row r="576" ht="24.0" customHeight="1"/>
    <row r="577" ht="24.0" customHeight="1"/>
    <row r="578" ht="24.0" customHeight="1"/>
    <row r="579" ht="24.0" customHeight="1"/>
    <row r="580" ht="24.0" customHeight="1"/>
    <row r="581" ht="24.0" customHeight="1"/>
    <row r="582" ht="24.0" customHeight="1"/>
    <row r="583" ht="24.0" customHeight="1"/>
    <row r="584" ht="24.0" customHeight="1"/>
    <row r="585" ht="24.0" customHeight="1"/>
    <row r="586" ht="24.0" customHeight="1"/>
    <row r="587" ht="24.0" customHeight="1"/>
    <row r="588" ht="24.0" customHeight="1"/>
    <row r="589" ht="24.0" customHeight="1"/>
    <row r="590" ht="24.0" customHeight="1"/>
    <row r="591" ht="24.0" customHeight="1"/>
    <row r="592" ht="24.0" customHeight="1"/>
    <row r="593" ht="24.0" customHeight="1"/>
    <row r="594" ht="24.0" customHeight="1"/>
    <row r="595" ht="24.0" customHeight="1"/>
    <row r="596" ht="24.0" customHeight="1"/>
    <row r="597" ht="24.0" customHeight="1"/>
    <row r="598" ht="24.0" customHeight="1"/>
    <row r="599" ht="24.0" customHeight="1"/>
    <row r="600" ht="24.0" customHeight="1"/>
    <row r="601" ht="24.0" customHeight="1"/>
    <row r="602" ht="24.0" customHeight="1"/>
    <row r="603" ht="24.0" customHeight="1"/>
    <row r="604" ht="24.0" customHeight="1"/>
    <row r="605" ht="24.0" customHeight="1"/>
    <row r="606" ht="24.0" customHeight="1"/>
    <row r="607" ht="24.0" customHeight="1"/>
    <row r="608" ht="24.0" customHeight="1"/>
    <row r="609" ht="24.0" customHeight="1"/>
    <row r="610" ht="24.0" customHeight="1"/>
    <row r="611" ht="24.0" customHeight="1"/>
    <row r="612" ht="24.0" customHeight="1"/>
    <row r="613" ht="24.0" customHeight="1"/>
    <row r="614" ht="24.0" customHeight="1"/>
    <row r="615" ht="24.0" customHeight="1"/>
    <row r="616" ht="24.0" customHeight="1"/>
    <row r="617" ht="24.0" customHeight="1"/>
    <row r="618" ht="24.0" customHeight="1"/>
    <row r="619" ht="24.0" customHeight="1"/>
    <row r="620" ht="24.0" customHeight="1"/>
    <row r="621" ht="24.0" customHeight="1"/>
    <row r="622" ht="24.0" customHeight="1"/>
    <row r="623" ht="24.0" customHeight="1"/>
    <row r="624" ht="24.0" customHeight="1"/>
    <row r="625" ht="24.0" customHeight="1"/>
    <row r="626" ht="24.0" customHeight="1"/>
    <row r="627" ht="24.0" customHeight="1"/>
    <row r="628" ht="24.0" customHeight="1"/>
    <row r="629" ht="24.0" customHeight="1"/>
    <row r="630" ht="24.0" customHeight="1"/>
    <row r="631" ht="24.0" customHeight="1"/>
    <row r="632" ht="24.0" customHeight="1"/>
    <row r="633" ht="24.0" customHeight="1"/>
    <row r="634" ht="24.0" customHeight="1"/>
    <row r="635" ht="24.0" customHeight="1"/>
    <row r="636" ht="24.0" customHeight="1"/>
    <row r="637" ht="24.0" customHeight="1"/>
    <row r="638" ht="24.0" customHeight="1"/>
    <row r="639" ht="24.0" customHeight="1"/>
    <row r="640" ht="24.0" customHeight="1"/>
    <row r="641" ht="24.0" customHeight="1"/>
    <row r="642" ht="24.0" customHeight="1"/>
    <row r="643" ht="24.0" customHeight="1"/>
    <row r="644" ht="24.0" customHeight="1"/>
    <row r="645" ht="24.0" customHeight="1"/>
    <row r="646" ht="24.0" customHeight="1"/>
    <row r="647" ht="24.0" customHeight="1"/>
    <row r="648" ht="24.0" customHeight="1"/>
    <row r="649" ht="24.0" customHeight="1"/>
    <row r="650" ht="24.0" customHeight="1"/>
    <row r="651" ht="24.0" customHeight="1"/>
    <row r="652" ht="24.0" customHeight="1"/>
    <row r="653" ht="24.0" customHeight="1"/>
    <row r="654" ht="24.0" customHeight="1"/>
    <row r="655" ht="24.0" customHeight="1"/>
    <row r="656" ht="24.0" customHeight="1"/>
    <row r="657" ht="24.0" customHeight="1"/>
    <row r="658" ht="24.0" customHeight="1"/>
    <row r="659" ht="24.0" customHeight="1"/>
    <row r="660" ht="24.0" customHeight="1"/>
    <row r="661" ht="24.0" customHeight="1"/>
    <row r="662" ht="24.0" customHeight="1"/>
    <row r="663" ht="24.0" customHeight="1"/>
    <row r="664" ht="24.0" customHeight="1"/>
    <row r="665" ht="24.0" customHeight="1"/>
    <row r="666" ht="24.0" customHeight="1"/>
    <row r="667" ht="24.0" customHeight="1"/>
    <row r="668" ht="24.0" customHeight="1"/>
    <row r="669" ht="24.0" customHeight="1"/>
    <row r="670" ht="24.0" customHeight="1"/>
    <row r="671" ht="24.0" customHeight="1"/>
    <row r="672" ht="24.0" customHeight="1"/>
    <row r="673" ht="24.0" customHeight="1"/>
    <row r="674" ht="24.0" customHeight="1"/>
    <row r="675" ht="24.0" customHeight="1"/>
    <row r="676" ht="24.0" customHeight="1"/>
    <row r="677" ht="24.0" customHeight="1"/>
    <row r="678" ht="24.0" customHeight="1"/>
    <row r="679" ht="24.0" customHeight="1"/>
    <row r="680" ht="24.0" customHeight="1"/>
    <row r="681" ht="24.0" customHeight="1"/>
    <row r="682" ht="24.0" customHeight="1"/>
    <row r="683" ht="24.0" customHeight="1"/>
    <row r="684" ht="24.0" customHeight="1"/>
    <row r="685" ht="24.0" customHeight="1"/>
    <row r="686" ht="24.0" customHeight="1"/>
    <row r="687" ht="24.0" customHeight="1"/>
    <row r="688" ht="24.0" customHeight="1"/>
    <row r="689" ht="24.0" customHeight="1"/>
    <row r="690" ht="24.0" customHeight="1"/>
    <row r="691" ht="24.0" customHeight="1"/>
    <row r="692" ht="24.0" customHeight="1"/>
    <row r="693" ht="24.0" customHeight="1"/>
    <row r="694" ht="24.0" customHeight="1"/>
    <row r="695" ht="24.0" customHeight="1"/>
    <row r="696" ht="24.0" customHeight="1"/>
    <row r="697" ht="24.0" customHeight="1"/>
    <row r="698" ht="24.0" customHeight="1"/>
    <row r="699" ht="24.0" customHeight="1"/>
    <row r="700" ht="24.0" customHeight="1"/>
    <row r="701" ht="24.0" customHeight="1"/>
    <row r="702" ht="24.0" customHeight="1"/>
    <row r="703" ht="24.0" customHeight="1"/>
    <row r="704" ht="24.0" customHeight="1"/>
    <row r="705" ht="24.0" customHeight="1"/>
    <row r="706" ht="24.0" customHeight="1"/>
    <row r="707" ht="24.0" customHeight="1"/>
    <row r="708" ht="24.0" customHeight="1"/>
    <row r="709" ht="24.0" customHeight="1"/>
    <row r="710" ht="24.0" customHeight="1"/>
    <row r="711" ht="24.0" customHeight="1"/>
    <row r="712" ht="24.0" customHeight="1"/>
    <row r="713" ht="24.0" customHeight="1"/>
    <row r="714" ht="24.0" customHeight="1"/>
    <row r="715" ht="24.0" customHeight="1"/>
    <row r="716" ht="24.0" customHeight="1"/>
    <row r="717" ht="24.0" customHeight="1"/>
    <row r="718" ht="24.0" customHeight="1"/>
    <row r="719" ht="24.0" customHeight="1"/>
    <row r="720" ht="24.0" customHeight="1"/>
    <row r="721" ht="24.0" customHeight="1"/>
    <row r="722" ht="24.0" customHeight="1"/>
    <row r="723" ht="24.0" customHeight="1"/>
    <row r="724" ht="24.0" customHeight="1"/>
    <row r="725" ht="24.0" customHeight="1"/>
    <row r="726" ht="24.0" customHeight="1"/>
    <row r="727" ht="24.0" customHeight="1"/>
    <row r="728" ht="24.0" customHeight="1"/>
    <row r="729" ht="24.0" customHeight="1"/>
    <row r="730" ht="24.0" customHeight="1"/>
    <row r="731" ht="24.0" customHeight="1"/>
    <row r="732" ht="24.0" customHeight="1"/>
    <row r="733" ht="24.0" customHeight="1"/>
    <row r="734" ht="24.0" customHeight="1"/>
    <row r="735" ht="24.0" customHeight="1"/>
    <row r="736" ht="24.0" customHeight="1"/>
    <row r="737" ht="24.0" customHeight="1"/>
    <row r="738" ht="24.0" customHeight="1"/>
    <row r="739" ht="24.0" customHeight="1"/>
    <row r="740" ht="24.0" customHeight="1"/>
    <row r="741" ht="24.0" customHeight="1"/>
    <row r="742" ht="24.0" customHeight="1"/>
    <row r="743" ht="24.0" customHeight="1"/>
    <row r="744" ht="24.0" customHeight="1"/>
    <row r="745" ht="24.0" customHeight="1"/>
    <row r="746" ht="24.0" customHeight="1"/>
    <row r="747" ht="24.0" customHeight="1"/>
    <row r="748" ht="24.0" customHeight="1"/>
    <row r="749" ht="24.0" customHeight="1"/>
    <row r="750" ht="24.0" customHeight="1"/>
    <row r="751" ht="24.0" customHeight="1"/>
    <row r="752" ht="24.0" customHeight="1"/>
    <row r="753" ht="24.0" customHeight="1"/>
    <row r="754" ht="24.0" customHeight="1"/>
    <row r="755" ht="24.0" customHeight="1"/>
    <row r="756" ht="24.0" customHeight="1"/>
    <row r="757" ht="24.0" customHeight="1"/>
    <row r="758" ht="24.0" customHeight="1"/>
    <row r="759" ht="24.0" customHeight="1"/>
    <row r="760" ht="24.0" customHeight="1"/>
    <row r="761" ht="24.0" customHeight="1"/>
    <row r="762" ht="24.0" customHeight="1"/>
    <row r="763" ht="24.0" customHeight="1"/>
    <row r="764" ht="24.0" customHeight="1"/>
    <row r="765" ht="24.0" customHeight="1"/>
    <row r="766" ht="24.0" customHeight="1"/>
    <row r="767" ht="24.0" customHeight="1"/>
    <row r="768" ht="24.0" customHeight="1"/>
    <row r="769" ht="24.0" customHeight="1"/>
    <row r="770" ht="24.0" customHeight="1"/>
    <row r="771" ht="24.0" customHeight="1"/>
    <row r="772" ht="24.0" customHeight="1"/>
    <row r="773" ht="24.0" customHeight="1"/>
    <row r="774" ht="24.0" customHeight="1"/>
    <row r="775" ht="24.0" customHeight="1"/>
    <row r="776" ht="24.0" customHeight="1"/>
    <row r="777" ht="24.0" customHeight="1"/>
    <row r="778" ht="24.0" customHeight="1"/>
    <row r="779" ht="24.0" customHeight="1"/>
    <row r="780" ht="24.0" customHeight="1"/>
    <row r="781" ht="24.0" customHeight="1"/>
    <row r="782" ht="24.0" customHeight="1"/>
    <row r="783" ht="24.0" customHeight="1"/>
    <row r="784" ht="24.0" customHeight="1"/>
    <row r="785" ht="24.0" customHeight="1"/>
    <row r="786" ht="24.0" customHeight="1"/>
    <row r="787" ht="24.0" customHeight="1"/>
    <row r="788" ht="24.0" customHeight="1"/>
    <row r="789" ht="24.0" customHeight="1"/>
    <row r="790" ht="24.0" customHeight="1"/>
    <row r="791" ht="24.0" customHeight="1"/>
    <row r="792" ht="24.0" customHeight="1"/>
    <row r="793" ht="24.0" customHeight="1"/>
    <row r="794" ht="24.0" customHeight="1"/>
    <row r="795" ht="24.0" customHeight="1"/>
    <row r="796" ht="24.0" customHeight="1"/>
    <row r="797" ht="24.0" customHeight="1"/>
    <row r="798" ht="24.0" customHeight="1"/>
    <row r="799" ht="24.0" customHeight="1"/>
    <row r="800" ht="24.0" customHeight="1"/>
    <row r="801" ht="24.0" customHeight="1"/>
    <row r="802" ht="24.0" customHeight="1"/>
    <row r="803" ht="24.0" customHeight="1"/>
    <row r="804" ht="24.0" customHeight="1"/>
    <row r="805" ht="24.0" customHeight="1"/>
    <row r="806" ht="24.0" customHeight="1"/>
    <row r="807" ht="24.0" customHeight="1"/>
    <row r="808" ht="24.0" customHeight="1"/>
    <row r="809" ht="24.0" customHeight="1"/>
    <row r="810" ht="24.0" customHeight="1"/>
    <row r="811" ht="24.0" customHeight="1"/>
    <row r="812" ht="24.0" customHeight="1"/>
    <row r="813" ht="24.0" customHeight="1"/>
    <row r="814" ht="24.0" customHeight="1"/>
    <row r="815" ht="24.0" customHeight="1"/>
    <row r="816" ht="24.0" customHeight="1"/>
    <row r="817" ht="24.0" customHeight="1"/>
    <row r="818" ht="24.0" customHeight="1"/>
    <row r="819" ht="24.0" customHeight="1"/>
    <row r="820" ht="24.0" customHeight="1"/>
    <row r="821" ht="24.0" customHeight="1"/>
    <row r="822" ht="24.0" customHeight="1"/>
    <row r="823" ht="24.0" customHeight="1"/>
    <row r="824" ht="24.0" customHeight="1"/>
    <row r="825" ht="24.0" customHeight="1"/>
    <row r="826" ht="24.0" customHeight="1"/>
    <row r="827" ht="24.0" customHeight="1"/>
    <row r="828" ht="24.0" customHeight="1"/>
    <row r="829" ht="24.0" customHeight="1"/>
    <row r="830" ht="24.0" customHeight="1"/>
    <row r="831" ht="24.0" customHeight="1"/>
    <row r="832" ht="24.0" customHeight="1"/>
    <row r="833" ht="24.0" customHeight="1"/>
    <row r="834" ht="24.0" customHeight="1"/>
    <row r="835" ht="24.0" customHeight="1"/>
    <row r="836" ht="24.0" customHeight="1"/>
    <row r="837" ht="24.0" customHeight="1"/>
    <row r="838" ht="24.0" customHeight="1"/>
    <row r="839" ht="24.0" customHeight="1"/>
    <row r="840" ht="24.0" customHeight="1"/>
    <row r="841" ht="24.0" customHeight="1"/>
    <row r="842" ht="24.0" customHeight="1"/>
    <row r="843" ht="24.0" customHeight="1"/>
    <row r="844" ht="24.0" customHeight="1"/>
    <row r="845" ht="24.0" customHeight="1"/>
    <row r="846" ht="24.0" customHeight="1"/>
    <row r="847" ht="24.0" customHeight="1"/>
    <row r="848" ht="24.0" customHeight="1"/>
    <row r="849" ht="24.0" customHeight="1"/>
    <row r="850" ht="24.0" customHeight="1"/>
    <row r="851" ht="24.0" customHeight="1"/>
    <row r="852" ht="24.0" customHeight="1"/>
    <row r="853" ht="24.0" customHeight="1"/>
    <row r="854" ht="24.0" customHeight="1"/>
    <row r="855" ht="24.0" customHeight="1"/>
    <row r="856" ht="24.0" customHeight="1"/>
    <row r="857" ht="24.0" customHeight="1"/>
    <row r="858" ht="24.0" customHeight="1"/>
    <row r="859" ht="24.0" customHeight="1"/>
    <row r="860" ht="24.0" customHeight="1"/>
    <row r="861" ht="24.0" customHeight="1"/>
    <row r="862" ht="24.0" customHeight="1"/>
    <row r="863" ht="24.0" customHeight="1"/>
    <row r="864" ht="24.0" customHeight="1"/>
    <row r="865" ht="24.0" customHeight="1"/>
    <row r="866" ht="24.0" customHeight="1"/>
    <row r="867" ht="24.0" customHeight="1"/>
    <row r="868" ht="24.0" customHeight="1"/>
    <row r="869" ht="24.0" customHeight="1"/>
    <row r="870" ht="24.0" customHeight="1"/>
    <row r="871" ht="24.0" customHeight="1"/>
    <row r="872" ht="24.0" customHeight="1"/>
    <row r="873" ht="24.0" customHeight="1"/>
    <row r="874" ht="24.0" customHeight="1"/>
    <row r="875" ht="24.0" customHeight="1"/>
    <row r="876" ht="24.0" customHeight="1"/>
    <row r="877" ht="24.0" customHeight="1"/>
    <row r="878" ht="24.0" customHeight="1"/>
    <row r="879" ht="24.0" customHeight="1"/>
    <row r="880" ht="24.0" customHeight="1"/>
    <row r="881" ht="24.0" customHeight="1"/>
    <row r="882" ht="24.0" customHeight="1"/>
    <row r="883" ht="24.0" customHeight="1"/>
    <row r="884" ht="24.0" customHeight="1"/>
    <row r="885" ht="24.0" customHeight="1"/>
    <row r="886" ht="24.0" customHeight="1"/>
    <row r="887" ht="24.0" customHeight="1"/>
    <row r="888" ht="24.0" customHeight="1"/>
    <row r="889" ht="24.0" customHeight="1"/>
    <row r="890" ht="24.0" customHeight="1"/>
    <row r="891" ht="24.0" customHeight="1"/>
    <row r="892" ht="24.0" customHeight="1"/>
    <row r="893" ht="24.0" customHeight="1"/>
    <row r="894" ht="24.0" customHeight="1"/>
    <row r="895" ht="24.0" customHeight="1"/>
    <row r="896" ht="24.0" customHeight="1"/>
    <row r="897" ht="24.0" customHeight="1"/>
    <row r="898" ht="24.0" customHeight="1"/>
    <row r="899" ht="24.0" customHeight="1"/>
    <row r="900" ht="24.0" customHeight="1"/>
    <row r="901" ht="24.0" customHeight="1"/>
    <row r="902" ht="24.0" customHeight="1"/>
    <row r="903" ht="24.0" customHeight="1"/>
    <row r="904" ht="24.0" customHeight="1"/>
    <row r="905" ht="24.0" customHeight="1"/>
    <row r="906" ht="24.0" customHeight="1"/>
    <row r="907" ht="24.0" customHeight="1"/>
    <row r="908" ht="24.0" customHeight="1"/>
    <row r="909" ht="24.0" customHeight="1"/>
    <row r="910" ht="24.0" customHeight="1"/>
    <row r="911" ht="24.0" customHeight="1"/>
    <row r="912" ht="24.0" customHeight="1"/>
    <row r="913" ht="24.0" customHeight="1"/>
    <row r="914" ht="24.0" customHeight="1"/>
    <row r="915" ht="24.0" customHeight="1"/>
    <row r="916" ht="24.0" customHeight="1"/>
    <row r="917" ht="24.0" customHeight="1"/>
    <row r="918" ht="24.0" customHeight="1"/>
    <row r="919" ht="24.0" customHeight="1"/>
    <row r="920" ht="24.0" customHeight="1"/>
    <row r="921" ht="24.0" customHeight="1"/>
    <row r="922" ht="24.0" customHeight="1"/>
    <row r="923" ht="24.0" customHeight="1"/>
    <row r="924" ht="24.0" customHeight="1"/>
    <row r="925" ht="24.0" customHeight="1"/>
    <row r="926" ht="24.0" customHeight="1"/>
    <row r="927" ht="24.0" customHeight="1"/>
    <row r="928" ht="24.0" customHeight="1"/>
    <row r="929" ht="24.0" customHeight="1"/>
    <row r="930" ht="24.0" customHeight="1"/>
    <row r="931" ht="24.0" customHeight="1"/>
    <row r="932" ht="24.0" customHeight="1"/>
    <row r="933" ht="24.0" customHeight="1"/>
    <row r="934" ht="24.0" customHeight="1"/>
    <row r="935" ht="24.0" customHeight="1"/>
    <row r="936" ht="24.0" customHeight="1"/>
    <row r="937" ht="24.0" customHeight="1"/>
    <row r="938" ht="24.0" customHeight="1"/>
    <row r="939" ht="24.0" customHeight="1"/>
    <row r="940" ht="24.0" customHeight="1"/>
    <row r="941" ht="24.0" customHeight="1"/>
    <row r="942" ht="24.0" customHeight="1"/>
    <row r="943" ht="24.0" customHeight="1"/>
    <row r="944" ht="24.0" customHeight="1"/>
    <row r="945" ht="24.0" customHeight="1"/>
    <row r="946" ht="24.0" customHeight="1"/>
    <row r="947" ht="24.0" customHeight="1"/>
    <row r="948" ht="24.0" customHeight="1"/>
    <row r="949" ht="24.0" customHeight="1"/>
    <row r="950" ht="24.0" customHeight="1"/>
    <row r="951" ht="24.0" customHeight="1"/>
    <row r="952" ht="24.0" customHeight="1"/>
    <row r="953" ht="24.0" customHeight="1"/>
    <row r="954" ht="24.0" customHeight="1"/>
    <row r="955" ht="24.0" customHeight="1"/>
    <row r="956" ht="24.0" customHeight="1"/>
    <row r="957" ht="24.0" customHeight="1"/>
    <row r="958" ht="24.0" customHeight="1"/>
    <row r="959" ht="24.0" customHeight="1"/>
    <row r="960" ht="24.0" customHeight="1"/>
    <row r="961" ht="24.0" customHeight="1"/>
    <row r="962" ht="24.0" customHeight="1"/>
    <row r="963" ht="24.0" customHeight="1"/>
    <row r="964" ht="24.0" customHeight="1"/>
    <row r="965" ht="24.0" customHeight="1"/>
    <row r="966" ht="24.0" customHeight="1"/>
    <row r="967" ht="24.0" customHeight="1"/>
    <row r="968" ht="24.0" customHeight="1"/>
    <row r="969" ht="24.0" customHeight="1"/>
    <row r="970" ht="24.0" customHeight="1"/>
    <row r="971" ht="24.0" customHeight="1"/>
    <row r="972" ht="24.0" customHeight="1"/>
    <row r="973" ht="24.0" customHeight="1"/>
    <row r="974" ht="24.0" customHeight="1"/>
    <row r="975" ht="24.0" customHeight="1"/>
    <row r="976" ht="24.0" customHeight="1"/>
    <row r="977" ht="24.0" customHeight="1"/>
    <row r="978" ht="24.0" customHeight="1"/>
    <row r="979" ht="24.0" customHeight="1"/>
    <row r="980" ht="24.0" customHeight="1"/>
    <row r="981" ht="24.0" customHeight="1"/>
    <row r="982" ht="24.0" customHeight="1"/>
    <row r="983" ht="24.0" customHeight="1"/>
    <row r="984" ht="24.0" customHeight="1"/>
    <row r="985" ht="24.0" customHeight="1"/>
    <row r="986" ht="24.0" customHeight="1"/>
    <row r="987" ht="24.0" customHeight="1"/>
    <row r="988" ht="24.0" customHeight="1"/>
    <row r="989" ht="24.0" customHeight="1"/>
    <row r="990" ht="24.0" customHeight="1"/>
    <row r="991" ht="24.0" customHeight="1"/>
    <row r="992" ht="24.0" customHeight="1"/>
    <row r="993" ht="24.0" customHeight="1"/>
    <row r="994" ht="24.0" customHeight="1"/>
    <row r="995" ht="24.0" customHeight="1"/>
    <row r="996" ht="24.0" customHeight="1"/>
    <row r="997" ht="24.0" customHeight="1"/>
    <row r="998" ht="24.0" customHeight="1"/>
    <row r="999" ht="24.0" customHeight="1"/>
    <row r="1000" ht="24.0" customHeight="1"/>
  </sheetData>
  <mergeCells count="2">
    <mergeCell ref="B1:F1"/>
    <mergeCell ref="B9:E9"/>
  </mergeCells>
  <conditionalFormatting sqref="E4">
    <cfRule type="expression" dxfId="0" priority="1">
      <formula>AND(ISNUMBER(E4),ROUND(E4,2)=INT(ROUND(E4,2)))</formula>
    </cfRule>
  </conditionalFormatting>
  <conditionalFormatting sqref="E4">
    <cfRule type="expression" dxfId="1" priority="2">
      <formula>AND(ISNUMBER(E4),ROUND(E4,2)&lt;&gt;INT(ROUND(E4,2)))</formula>
    </cfRule>
  </conditionalFormatting>
  <conditionalFormatting sqref="F4">
    <cfRule type="expression" dxfId="0" priority="3">
      <formula>AND(ISNUMBER(F4),ROUND(F4,2)=INT(ROUND(F4,2)))</formula>
    </cfRule>
  </conditionalFormatting>
  <conditionalFormatting sqref="F4">
    <cfRule type="expression" dxfId="1" priority="4">
      <formula>AND(ISNUMBER(F4),ROUND(F4,2)&lt;&gt;INT(ROUND(F4,2)))</formula>
    </cfRule>
  </conditionalFormatting>
  <conditionalFormatting sqref="E5">
    <cfRule type="expression" dxfId="0" priority="5">
      <formula>AND(ISNUMBER(E5),ROUND(E5,2)=INT(ROUND(E5,2)))</formula>
    </cfRule>
  </conditionalFormatting>
  <conditionalFormatting sqref="E5">
    <cfRule type="expression" dxfId="1" priority="6">
      <formula>AND(ISNUMBER(E5),ROUND(E5,2)&lt;&gt;INT(ROUND(E5,2)))</formula>
    </cfRule>
  </conditionalFormatting>
  <conditionalFormatting sqref="F5">
    <cfRule type="expression" dxfId="0" priority="7">
      <formula>AND(ISNUMBER(F5),ROUND(F5,2)=INT(ROUND(F5,2)))</formula>
    </cfRule>
  </conditionalFormatting>
  <conditionalFormatting sqref="F5">
    <cfRule type="expression" dxfId="1" priority="8">
      <formula>AND(ISNUMBER(F5),ROUND(F5,2)&lt;&gt;INT(ROUND(F5,2)))</formula>
    </cfRule>
  </conditionalFormatting>
  <conditionalFormatting sqref="E6">
    <cfRule type="expression" dxfId="0" priority="9">
      <formula>AND(ISNUMBER(E6),ROUND(E6,2)=INT(ROUND(E6,2)))</formula>
    </cfRule>
  </conditionalFormatting>
  <conditionalFormatting sqref="E6">
    <cfRule type="expression" dxfId="1" priority="10">
      <formula>AND(ISNUMBER(E6),ROUND(E6,2)&lt;&gt;INT(ROUND(E6,2)))</formula>
    </cfRule>
  </conditionalFormatting>
  <conditionalFormatting sqref="F6">
    <cfRule type="expression" dxfId="0" priority="11">
      <formula>AND(ISNUMBER(F6),ROUND(F6,2)=INT(ROUND(F6,2)))</formula>
    </cfRule>
  </conditionalFormatting>
  <conditionalFormatting sqref="F6">
    <cfRule type="expression" dxfId="1" priority="12">
      <formula>AND(ISNUMBER(F6),ROUND(F6,2)&lt;&gt;INT(ROUND(F6,2)))</formula>
    </cfRule>
  </conditionalFormatting>
  <conditionalFormatting sqref="F9">
    <cfRule type="expression" dxfId="0" priority="13">
      <formula>AND(ISNUMBER(F9),ROUND(F9,2)=INT(ROUND(F9,2)))</formula>
    </cfRule>
  </conditionalFormatting>
  <conditionalFormatting sqref="F9">
    <cfRule type="expression" dxfId="1" priority="14">
      <formula>AND(ISNUMBER(F9),ROUND(F9,2)&lt;&gt;INT(ROUND(F9,2)))</formula>
    </cfRule>
  </conditionalFormatting>
  <dataValidations>
    <dataValidation type="decimal" operator="greaterThanOrEqual" allowBlank="1" showInputMessage="1" showErrorMessage="1" prompt="יש להזין מספר לא שלילי" sqref="D4:D6">
      <formula1>0.0</formula1>
    </dataValidation>
    <dataValidation type="custom" allowBlank="1" showInputMessage="1" showErrorMessage="1" prompt="מספר לא שלילי, כלול או לא רלוונטי בלבד" sqref="E4:E6">
      <formula1>OR(ISBLANK(E4),AND(ISNUMBER(E4),E4&gt;=0),E4="כלול",E4="לא רלוונטי")</formula1>
    </dataValidation>
  </dataValidations>
  <printOptions/>
  <pageMargins bottom="0.75" footer="0.0" header="0.0" left="0.25" right="0.25" top="0.75"/>
  <pageSetup fitToHeight="0" paperSize="9" orientation="portrait"/>
  <headerFooter>
    <oddFooter>&amp;Cעמוד &amp;P</oddFooter>
  </headerFooter>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rightToLeft="1" workbookViewId="0"/>
  </sheetViews>
  <sheetFormatPr customHeight="1" defaultColWidth="14.43" defaultRowHeight="15.0"/>
  <cols>
    <col customWidth="1" min="1" max="1" width="7.29"/>
    <col customWidth="1" min="2" max="2" width="66.29"/>
    <col customWidth="1" min="3" max="6" width="8.14"/>
    <col customWidth="1" hidden="1" min="7" max="7" width="36.0"/>
    <col customWidth="1" hidden="1" min="8" max="8" width="12.0"/>
    <col customWidth="1" min="9" max="26" width="8.71"/>
  </cols>
  <sheetData>
    <row r="1" ht="31.5" customHeight="1">
      <c r="A1" s="10"/>
      <c r="B1" s="3" t="s">
        <v>73</v>
      </c>
      <c r="G1" s="2" t="s">
        <v>71</v>
      </c>
      <c r="H1" s="2" t="s">
        <v>53</v>
      </c>
    </row>
    <row r="2" ht="31.5" customHeight="1">
      <c r="A2" s="16" t="s">
        <v>59</v>
      </c>
      <c r="B2" s="17" t="s">
        <v>67</v>
      </c>
      <c r="C2" s="16" t="s">
        <v>72</v>
      </c>
      <c r="D2" s="16" t="s">
        <v>76</v>
      </c>
      <c r="E2" s="16" t="s">
        <v>79</v>
      </c>
      <c r="F2" s="16" t="s">
        <v>81</v>
      </c>
      <c r="G2" s="2"/>
      <c r="H2" s="2" t="s">
        <v>84</v>
      </c>
    </row>
    <row r="3" ht="63.75" customHeight="1">
      <c r="A3" s="19"/>
      <c r="B3" s="20" t="s">
        <v>338</v>
      </c>
      <c r="C3" s="19"/>
      <c r="D3" s="19"/>
      <c r="E3" s="19"/>
      <c r="F3" s="19"/>
      <c r="G3" s="12" t="s">
        <v>339</v>
      </c>
      <c r="H3" s="12" t="s">
        <v>105</v>
      </c>
    </row>
    <row r="4" ht="63.75" customHeight="1">
      <c r="A4" s="19"/>
      <c r="B4" s="20" t="s">
        <v>340</v>
      </c>
      <c r="C4" s="19" t="s">
        <v>119</v>
      </c>
      <c r="D4" s="19"/>
      <c r="E4" s="22"/>
      <c r="F4" s="22" t="str">
        <f>IF(ISBLANK(D4),"",IF(NOT(ISNUMBER(D4)),"קלט לא תקין",IF(D4&lt;0,"קלט לא תקין",IF(ISBLANK(E4),"",IF(OR(E4="כלול",E4="לא רלוונטי"),0,IF(NOT(ISNUMBER(E4)),"קלט לא תקין",IF(E4&lt;0,"קלט לא תקין",ROUND(D4*E4,2))))))))</f>
        <v/>
      </c>
      <c r="G4" s="12" t="s">
        <v>346</v>
      </c>
      <c r="H4" s="12" t="s">
        <v>113</v>
      </c>
    </row>
    <row r="5" ht="399.75" customHeight="1">
      <c r="A5" s="19"/>
      <c r="B5" s="20"/>
      <c r="C5" s="19"/>
      <c r="D5" s="19"/>
      <c r="E5" s="19"/>
      <c r="F5" s="19"/>
      <c r="G5" s="12"/>
      <c r="H5" s="12" t="s">
        <v>86</v>
      </c>
    </row>
    <row r="6" ht="95.25" customHeight="1">
      <c r="A6" s="19"/>
      <c r="B6" s="20"/>
      <c r="C6" s="19"/>
      <c r="D6" s="19"/>
      <c r="E6" s="19"/>
      <c r="F6" s="19"/>
      <c r="G6" s="12"/>
      <c r="H6" s="12" t="s">
        <v>86</v>
      </c>
    </row>
    <row r="7" ht="31.5" customHeight="1">
      <c r="A7" s="6"/>
      <c r="B7" s="7" t="s">
        <v>130</v>
      </c>
      <c r="C7" s="8"/>
      <c r="D7" s="8"/>
      <c r="E7" s="9"/>
      <c r="F7" s="23">
        <f>SUM(F4)</f>
        <v>0</v>
      </c>
      <c r="G7" s="12"/>
      <c r="H7" s="12" t="s">
        <v>136</v>
      </c>
    </row>
    <row r="8" ht="24.0" customHeight="1"/>
    <row r="9" ht="24.0" customHeight="1"/>
    <row r="10" ht="24.0" customHeight="1"/>
    <row r="11" ht="24.0" customHeight="1"/>
    <row r="12" ht="24.0" customHeight="1"/>
    <row r="13" ht="24.0" customHeight="1"/>
    <row r="14" ht="24.0" customHeight="1"/>
    <row r="15" ht="24.0" customHeight="1"/>
    <row r="16" ht="24.0" customHeight="1"/>
    <row r="17" ht="24.0" customHeight="1"/>
    <row r="18" ht="24.0" customHeight="1"/>
    <row r="19" ht="24.0" customHeight="1"/>
    <row r="20" ht="24.0" customHeight="1"/>
    <row r="21" ht="24.0" customHeight="1"/>
    <row r="22" ht="24.0" customHeight="1"/>
    <row r="23" ht="24.0" customHeight="1"/>
    <row r="24" ht="24.0" customHeight="1"/>
    <row r="25" ht="24.0" customHeight="1"/>
    <row r="26" ht="24.0" customHeight="1"/>
    <row r="27" ht="24.0" customHeight="1"/>
    <row r="28" ht="24.0" customHeight="1"/>
    <row r="29" ht="24.0" customHeight="1"/>
    <row r="30" ht="24.0" customHeight="1"/>
    <row r="31" ht="24.0" customHeight="1"/>
    <row r="32" ht="24.0" customHeight="1"/>
    <row r="33" ht="24.0" customHeight="1"/>
    <row r="34" ht="24.0" customHeight="1"/>
    <row r="35" ht="24.0" customHeight="1"/>
    <row r="36" ht="24.0" customHeight="1"/>
    <row r="37" ht="24.0" customHeight="1"/>
    <row r="38" ht="24.0" customHeight="1"/>
    <row r="39" ht="24.0" customHeight="1"/>
    <row r="40" ht="24.0" customHeight="1"/>
    <row r="41" ht="24.0" customHeight="1"/>
    <row r="42" ht="24.0" customHeight="1"/>
    <row r="43" ht="24.0" customHeight="1"/>
    <row r="44" ht="24.0" customHeight="1"/>
    <row r="45" ht="24.0" customHeight="1"/>
    <row r="46" ht="24.0" customHeight="1"/>
    <row r="47" ht="24.0" customHeight="1"/>
    <row r="48" ht="24.0" customHeight="1"/>
    <row r="49" ht="24.0" customHeight="1"/>
    <row r="50" ht="24.0" customHeight="1"/>
    <row r="51" ht="24.0" customHeight="1"/>
    <row r="52" ht="24.0" customHeight="1"/>
    <row r="53" ht="24.0" customHeight="1"/>
    <row r="54" ht="24.0" customHeight="1"/>
    <row r="55" ht="24.0" customHeight="1"/>
    <row r="56" ht="24.0" customHeight="1"/>
    <row r="57" ht="24.0" customHeight="1"/>
    <row r="58" ht="24.0" customHeight="1"/>
    <row r="59" ht="24.0" customHeight="1"/>
    <row r="60" ht="24.0" customHeight="1"/>
    <row r="61" ht="24.0" customHeight="1"/>
    <row r="62" ht="24.0" customHeight="1"/>
    <row r="63" ht="24.0" customHeight="1"/>
    <row r="64" ht="24.0" customHeight="1"/>
    <row r="65" ht="24.0" customHeight="1"/>
    <row r="66" ht="24.0" customHeight="1"/>
    <row r="67" ht="24.0" customHeight="1"/>
    <row r="68" ht="24.0" customHeight="1"/>
    <row r="69" ht="24.0" customHeight="1"/>
    <row r="70" ht="24.0" customHeight="1"/>
    <row r="71" ht="24.0" customHeight="1"/>
    <row r="72" ht="24.0" customHeight="1"/>
    <row r="73" ht="24.0" customHeight="1"/>
    <row r="74" ht="24.0" customHeight="1"/>
    <row r="75" ht="24.0" customHeight="1"/>
    <row r="76" ht="24.0" customHeight="1"/>
    <row r="77" ht="24.0" customHeight="1"/>
    <row r="78" ht="24.0" customHeight="1"/>
    <row r="79" ht="24.0" customHeight="1"/>
    <row r="80" ht="24.0" customHeight="1"/>
    <row r="81" ht="24.0" customHeight="1"/>
    <row r="82" ht="24.0" customHeight="1"/>
    <row r="83" ht="24.0" customHeight="1"/>
    <row r="84" ht="24.0" customHeight="1"/>
    <row r="85" ht="24.0" customHeight="1"/>
    <row r="86" ht="24.0" customHeight="1"/>
    <row r="87" ht="24.0" customHeight="1"/>
    <row r="88" ht="24.0" customHeight="1"/>
    <row r="89" ht="24.0" customHeight="1"/>
    <row r="90" ht="24.0" customHeight="1"/>
    <row r="91" ht="24.0" customHeight="1"/>
    <row r="92" ht="24.0" customHeight="1"/>
    <row r="93" ht="24.0" customHeight="1"/>
    <row r="94" ht="24.0" customHeight="1"/>
    <row r="95" ht="24.0" customHeight="1"/>
    <row r="96" ht="24.0" customHeight="1"/>
    <row r="97" ht="24.0" customHeight="1"/>
    <row r="98" ht="24.0" customHeight="1"/>
    <row r="99" ht="24.0" customHeight="1"/>
    <row r="100" ht="24.0" customHeight="1"/>
    <row r="101" ht="24.0" customHeight="1"/>
    <row r="102" ht="24.0" customHeight="1"/>
    <row r="103" ht="24.0" customHeight="1"/>
    <row r="104" ht="24.0" customHeight="1"/>
    <row r="105" ht="24.0" customHeight="1"/>
    <row r="106" ht="24.0" customHeight="1"/>
    <row r="107" ht="24.0" customHeight="1"/>
    <row r="108" ht="24.0" customHeight="1"/>
    <row r="109" ht="24.0" customHeight="1"/>
    <row r="110" ht="24.0" customHeight="1"/>
    <row r="111" ht="24.0" customHeight="1"/>
    <row r="112" ht="24.0" customHeight="1"/>
    <row r="113" ht="24.0" customHeight="1"/>
    <row r="114" ht="24.0" customHeight="1"/>
    <row r="115" ht="24.0" customHeight="1"/>
    <row r="116" ht="24.0" customHeight="1"/>
    <row r="117" ht="24.0" customHeight="1"/>
    <row r="118" ht="24.0" customHeight="1"/>
    <row r="119" ht="24.0" customHeight="1"/>
    <row r="120" ht="24.0" customHeight="1"/>
    <row r="121" ht="24.0" customHeight="1"/>
    <row r="122" ht="24.0" customHeight="1"/>
    <row r="123" ht="24.0" customHeight="1"/>
    <row r="124" ht="24.0" customHeight="1"/>
    <row r="125" ht="24.0" customHeight="1"/>
    <row r="126" ht="24.0" customHeight="1"/>
    <row r="127" ht="24.0" customHeight="1"/>
    <row r="128" ht="24.0" customHeight="1"/>
    <row r="129" ht="24.0" customHeight="1"/>
    <row r="130" ht="24.0" customHeight="1"/>
    <row r="131" ht="24.0" customHeight="1"/>
    <row r="132" ht="24.0" customHeight="1"/>
    <row r="133" ht="24.0" customHeight="1"/>
    <row r="134" ht="24.0" customHeight="1"/>
    <row r="135" ht="24.0" customHeight="1"/>
    <row r="136" ht="24.0" customHeight="1"/>
    <row r="137" ht="24.0" customHeight="1"/>
    <row r="138" ht="24.0" customHeight="1"/>
    <row r="139" ht="24.0" customHeight="1"/>
    <row r="140" ht="24.0" customHeight="1"/>
    <row r="141" ht="24.0" customHeight="1"/>
    <row r="142" ht="24.0" customHeight="1"/>
    <row r="143" ht="24.0" customHeight="1"/>
    <row r="144" ht="24.0" customHeight="1"/>
    <row r="145" ht="24.0" customHeight="1"/>
    <row r="146" ht="24.0" customHeight="1"/>
    <row r="147" ht="24.0" customHeight="1"/>
    <row r="148" ht="24.0" customHeight="1"/>
    <row r="149" ht="24.0" customHeight="1"/>
    <row r="150" ht="24.0" customHeight="1"/>
    <row r="151" ht="24.0" customHeight="1"/>
    <row r="152" ht="24.0" customHeight="1"/>
    <row r="153" ht="24.0" customHeight="1"/>
    <row r="154" ht="24.0" customHeight="1"/>
    <row r="155" ht="24.0" customHeight="1"/>
    <row r="156" ht="24.0" customHeight="1"/>
    <row r="157" ht="24.0" customHeight="1"/>
    <row r="158" ht="24.0" customHeight="1"/>
    <row r="159" ht="24.0" customHeight="1"/>
    <row r="160" ht="24.0" customHeight="1"/>
    <row r="161" ht="24.0" customHeight="1"/>
    <row r="162" ht="24.0" customHeight="1"/>
    <row r="163" ht="24.0" customHeight="1"/>
    <row r="164" ht="24.0" customHeight="1"/>
    <row r="165" ht="24.0" customHeight="1"/>
    <row r="166" ht="24.0" customHeight="1"/>
    <row r="167" ht="24.0" customHeight="1"/>
    <row r="168" ht="24.0" customHeight="1"/>
    <row r="169" ht="24.0" customHeight="1"/>
    <row r="170" ht="24.0" customHeight="1"/>
    <row r="171" ht="24.0" customHeight="1"/>
    <row r="172" ht="24.0" customHeight="1"/>
    <row r="173" ht="24.0" customHeight="1"/>
    <row r="174" ht="24.0" customHeight="1"/>
    <row r="175" ht="24.0" customHeight="1"/>
    <row r="176" ht="24.0" customHeight="1"/>
    <row r="177" ht="24.0" customHeight="1"/>
    <row r="178" ht="24.0" customHeight="1"/>
    <row r="179" ht="24.0" customHeight="1"/>
    <row r="180" ht="24.0" customHeight="1"/>
    <row r="181" ht="24.0" customHeight="1"/>
    <row r="182" ht="24.0" customHeight="1"/>
    <row r="183" ht="24.0" customHeight="1"/>
    <row r="184" ht="24.0" customHeight="1"/>
    <row r="185" ht="24.0" customHeight="1"/>
    <row r="186" ht="24.0" customHeight="1"/>
    <row r="187" ht="24.0" customHeight="1"/>
    <row r="188" ht="24.0" customHeight="1"/>
    <row r="189" ht="24.0" customHeight="1"/>
    <row r="190" ht="24.0" customHeight="1"/>
    <row r="191" ht="24.0" customHeight="1"/>
    <row r="192" ht="24.0" customHeight="1"/>
    <row r="193" ht="24.0" customHeight="1"/>
    <row r="194" ht="24.0" customHeight="1"/>
    <row r="195" ht="24.0" customHeight="1"/>
    <row r="196" ht="24.0" customHeight="1"/>
    <row r="197" ht="24.0" customHeight="1"/>
    <row r="198" ht="24.0" customHeight="1"/>
    <row r="199" ht="24.0" customHeight="1"/>
    <row r="200" ht="24.0" customHeight="1"/>
    <row r="201" ht="24.0" customHeight="1"/>
    <row r="202" ht="24.0" customHeight="1"/>
    <row r="203" ht="24.0" customHeight="1"/>
    <row r="204" ht="24.0" customHeight="1"/>
    <row r="205" ht="24.0" customHeight="1"/>
    <row r="206" ht="24.0" customHeight="1"/>
    <row r="207" ht="24.0" customHeight="1"/>
    <row r="208" ht="24.0" customHeight="1"/>
    <row r="209" ht="24.0" customHeight="1"/>
    <row r="210" ht="24.0" customHeight="1"/>
    <row r="211" ht="24.0" customHeight="1"/>
    <row r="212" ht="24.0" customHeight="1"/>
    <row r="213" ht="24.0" customHeight="1"/>
    <row r="214" ht="24.0" customHeight="1"/>
    <row r="215" ht="24.0" customHeight="1"/>
    <row r="216" ht="24.0" customHeight="1"/>
    <row r="217" ht="24.0" customHeight="1"/>
    <row r="218" ht="24.0" customHeight="1"/>
    <row r="219" ht="24.0" customHeight="1"/>
    <row r="220" ht="24.0" customHeight="1"/>
    <row r="221" ht="24.0" customHeight="1"/>
    <row r="222" ht="24.0" customHeight="1"/>
    <row r="223" ht="24.0" customHeight="1"/>
    <row r="224" ht="24.0" customHeight="1"/>
    <row r="225" ht="24.0" customHeight="1"/>
    <row r="226" ht="24.0" customHeight="1"/>
    <row r="227" ht="24.0" customHeight="1"/>
    <row r="228" ht="24.0" customHeight="1"/>
    <row r="229" ht="24.0" customHeight="1"/>
    <row r="230" ht="24.0" customHeight="1"/>
    <row r="231" ht="24.0" customHeight="1"/>
    <row r="232" ht="24.0" customHeight="1"/>
    <row r="233" ht="24.0" customHeight="1"/>
    <row r="234" ht="24.0" customHeight="1"/>
    <row r="235" ht="24.0" customHeight="1"/>
    <row r="236" ht="24.0" customHeight="1"/>
    <row r="237" ht="24.0" customHeight="1"/>
    <row r="238" ht="24.0" customHeight="1"/>
    <row r="239" ht="24.0" customHeight="1"/>
    <row r="240" ht="24.0" customHeight="1"/>
    <row r="241" ht="24.0" customHeight="1"/>
    <row r="242" ht="24.0" customHeight="1"/>
    <row r="243" ht="24.0" customHeight="1"/>
    <row r="244" ht="24.0" customHeight="1"/>
    <row r="245" ht="24.0" customHeight="1"/>
    <row r="246" ht="24.0" customHeight="1"/>
    <row r="247" ht="24.0" customHeight="1"/>
    <row r="248" ht="24.0" customHeight="1"/>
    <row r="249" ht="24.0" customHeight="1"/>
    <row r="250" ht="24.0" customHeight="1"/>
    <row r="251" ht="24.0" customHeight="1"/>
    <row r="252" ht="24.0" customHeight="1"/>
    <row r="253" ht="24.0" customHeight="1"/>
    <row r="254" ht="24.0" customHeight="1"/>
    <row r="255" ht="24.0" customHeight="1"/>
    <row r="256" ht="24.0" customHeight="1"/>
    <row r="257" ht="24.0" customHeight="1"/>
    <row r="258" ht="24.0" customHeight="1"/>
    <row r="259" ht="24.0" customHeight="1"/>
    <row r="260" ht="24.0" customHeight="1"/>
    <row r="261" ht="24.0" customHeight="1"/>
    <row r="262" ht="24.0" customHeight="1"/>
    <row r="263" ht="24.0" customHeight="1"/>
    <row r="264" ht="24.0" customHeight="1"/>
    <row r="265" ht="24.0" customHeight="1"/>
    <row r="266" ht="24.0" customHeight="1"/>
    <row r="267" ht="24.0" customHeight="1"/>
    <row r="268" ht="24.0" customHeight="1"/>
    <row r="269" ht="24.0" customHeight="1"/>
    <row r="270" ht="24.0" customHeight="1"/>
    <row r="271" ht="24.0" customHeight="1"/>
    <row r="272" ht="24.0" customHeight="1"/>
    <row r="273" ht="24.0" customHeight="1"/>
    <row r="274" ht="24.0" customHeight="1"/>
    <row r="275" ht="24.0" customHeight="1"/>
    <row r="276" ht="24.0" customHeight="1"/>
    <row r="277" ht="24.0" customHeight="1"/>
    <row r="278" ht="24.0" customHeight="1"/>
    <row r="279" ht="24.0" customHeight="1"/>
    <row r="280" ht="24.0" customHeight="1"/>
    <row r="281" ht="24.0" customHeight="1"/>
    <row r="282" ht="24.0" customHeight="1"/>
    <row r="283" ht="24.0" customHeight="1"/>
    <row r="284" ht="24.0" customHeight="1"/>
    <row r="285" ht="24.0" customHeight="1"/>
    <row r="286" ht="24.0" customHeight="1"/>
    <row r="287" ht="24.0" customHeight="1"/>
    <row r="288" ht="24.0" customHeight="1"/>
    <row r="289" ht="24.0" customHeight="1"/>
    <row r="290" ht="24.0" customHeight="1"/>
    <row r="291" ht="24.0" customHeight="1"/>
    <row r="292" ht="24.0" customHeight="1"/>
    <row r="293" ht="24.0" customHeight="1"/>
    <row r="294" ht="24.0" customHeight="1"/>
    <row r="295" ht="24.0" customHeight="1"/>
    <row r="296" ht="24.0" customHeight="1"/>
    <row r="297" ht="24.0" customHeight="1"/>
    <row r="298" ht="24.0" customHeight="1"/>
    <row r="299" ht="24.0" customHeight="1"/>
    <row r="300" ht="24.0" customHeight="1"/>
    <row r="301" ht="24.0" customHeight="1"/>
    <row r="302" ht="24.0" customHeight="1"/>
    <row r="303" ht="24.0" customHeight="1"/>
    <row r="304" ht="24.0" customHeight="1"/>
    <row r="305" ht="24.0" customHeight="1"/>
    <row r="306" ht="24.0" customHeight="1"/>
    <row r="307" ht="24.0" customHeight="1"/>
    <row r="308" ht="24.0" customHeight="1"/>
    <row r="309" ht="24.0" customHeight="1"/>
    <row r="310" ht="24.0" customHeight="1"/>
    <row r="311" ht="24.0" customHeight="1"/>
    <row r="312" ht="24.0" customHeight="1"/>
    <row r="313" ht="24.0" customHeight="1"/>
    <row r="314" ht="24.0" customHeight="1"/>
    <row r="315" ht="24.0" customHeight="1"/>
    <row r="316" ht="24.0" customHeight="1"/>
    <row r="317" ht="24.0" customHeight="1"/>
    <row r="318" ht="24.0" customHeight="1"/>
    <row r="319" ht="24.0" customHeight="1"/>
    <row r="320" ht="24.0" customHeight="1"/>
    <row r="321" ht="24.0" customHeight="1"/>
    <row r="322" ht="24.0" customHeight="1"/>
    <row r="323" ht="24.0" customHeight="1"/>
    <row r="324" ht="24.0" customHeight="1"/>
    <row r="325" ht="24.0" customHeight="1"/>
    <row r="326" ht="24.0" customHeight="1"/>
    <row r="327" ht="24.0" customHeight="1"/>
    <row r="328" ht="24.0" customHeight="1"/>
    <row r="329" ht="24.0" customHeight="1"/>
    <row r="330" ht="24.0" customHeight="1"/>
    <row r="331" ht="24.0" customHeight="1"/>
    <row r="332" ht="24.0" customHeight="1"/>
    <row r="333" ht="24.0" customHeight="1"/>
    <row r="334" ht="24.0" customHeight="1"/>
    <row r="335" ht="24.0" customHeight="1"/>
    <row r="336" ht="24.0" customHeight="1"/>
    <row r="337" ht="24.0" customHeight="1"/>
    <row r="338" ht="24.0" customHeight="1"/>
    <row r="339" ht="24.0" customHeight="1"/>
    <row r="340" ht="24.0" customHeight="1"/>
    <row r="341" ht="24.0" customHeight="1"/>
    <row r="342" ht="24.0" customHeight="1"/>
    <row r="343" ht="24.0" customHeight="1"/>
    <row r="344" ht="24.0" customHeight="1"/>
    <row r="345" ht="24.0" customHeight="1"/>
    <row r="346" ht="24.0" customHeight="1"/>
    <row r="347" ht="24.0" customHeight="1"/>
    <row r="348" ht="24.0" customHeight="1"/>
    <row r="349" ht="24.0" customHeight="1"/>
    <row r="350" ht="24.0" customHeight="1"/>
    <row r="351" ht="24.0" customHeight="1"/>
    <row r="352" ht="24.0" customHeight="1"/>
    <row r="353" ht="24.0" customHeight="1"/>
    <row r="354" ht="24.0" customHeight="1"/>
    <row r="355" ht="24.0" customHeight="1"/>
    <row r="356" ht="24.0" customHeight="1"/>
    <row r="357" ht="24.0" customHeight="1"/>
    <row r="358" ht="24.0" customHeight="1"/>
    <row r="359" ht="24.0" customHeight="1"/>
    <row r="360" ht="24.0" customHeight="1"/>
    <row r="361" ht="24.0" customHeight="1"/>
    <row r="362" ht="24.0" customHeight="1"/>
    <row r="363" ht="24.0" customHeight="1"/>
    <row r="364" ht="24.0" customHeight="1"/>
    <row r="365" ht="24.0" customHeight="1"/>
    <row r="366" ht="24.0" customHeight="1"/>
    <row r="367" ht="24.0" customHeight="1"/>
    <row r="368" ht="24.0" customHeight="1"/>
    <row r="369" ht="24.0" customHeight="1"/>
    <row r="370" ht="24.0" customHeight="1"/>
    <row r="371" ht="24.0" customHeight="1"/>
    <row r="372" ht="24.0" customHeight="1"/>
    <row r="373" ht="24.0" customHeight="1"/>
    <row r="374" ht="24.0" customHeight="1"/>
    <row r="375" ht="24.0" customHeight="1"/>
    <row r="376" ht="24.0" customHeight="1"/>
    <row r="377" ht="24.0" customHeight="1"/>
    <row r="378" ht="24.0" customHeight="1"/>
    <row r="379" ht="24.0" customHeight="1"/>
    <row r="380" ht="24.0" customHeight="1"/>
    <row r="381" ht="24.0" customHeight="1"/>
    <row r="382" ht="24.0" customHeight="1"/>
    <row r="383" ht="24.0" customHeight="1"/>
    <row r="384" ht="24.0" customHeight="1"/>
    <row r="385" ht="24.0" customHeight="1"/>
    <row r="386" ht="24.0" customHeight="1"/>
    <row r="387" ht="24.0" customHeight="1"/>
    <row r="388" ht="24.0" customHeight="1"/>
    <row r="389" ht="24.0" customHeight="1"/>
    <row r="390" ht="24.0" customHeight="1"/>
    <row r="391" ht="24.0" customHeight="1"/>
    <row r="392" ht="24.0" customHeight="1"/>
    <row r="393" ht="24.0" customHeight="1"/>
    <row r="394" ht="24.0" customHeight="1"/>
    <row r="395" ht="24.0" customHeight="1"/>
    <row r="396" ht="24.0" customHeight="1"/>
    <row r="397" ht="24.0" customHeight="1"/>
    <row r="398" ht="24.0" customHeight="1"/>
    <row r="399" ht="24.0" customHeight="1"/>
    <row r="400" ht="24.0" customHeight="1"/>
    <row r="401" ht="24.0" customHeight="1"/>
    <row r="402" ht="24.0" customHeight="1"/>
    <row r="403" ht="24.0" customHeight="1"/>
    <row r="404" ht="24.0" customHeight="1"/>
    <row r="405" ht="24.0" customHeight="1"/>
    <row r="406" ht="24.0" customHeight="1"/>
    <row r="407" ht="24.0" customHeight="1"/>
    <row r="408" ht="24.0" customHeight="1"/>
    <row r="409" ht="24.0" customHeight="1"/>
    <row r="410" ht="24.0" customHeight="1"/>
    <row r="411" ht="24.0" customHeight="1"/>
    <row r="412" ht="24.0" customHeight="1"/>
    <row r="413" ht="24.0" customHeight="1"/>
    <row r="414" ht="24.0" customHeight="1"/>
    <row r="415" ht="24.0" customHeight="1"/>
    <row r="416" ht="24.0" customHeight="1"/>
    <row r="417" ht="24.0" customHeight="1"/>
    <row r="418" ht="24.0" customHeight="1"/>
    <row r="419" ht="24.0" customHeight="1"/>
    <row r="420" ht="24.0" customHeight="1"/>
    <row r="421" ht="24.0" customHeight="1"/>
    <row r="422" ht="24.0" customHeight="1"/>
    <row r="423" ht="24.0" customHeight="1"/>
    <row r="424" ht="24.0" customHeight="1"/>
    <row r="425" ht="24.0" customHeight="1"/>
    <row r="426" ht="24.0" customHeight="1"/>
    <row r="427" ht="24.0" customHeight="1"/>
    <row r="428" ht="24.0" customHeight="1"/>
    <row r="429" ht="24.0" customHeight="1"/>
    <row r="430" ht="24.0" customHeight="1"/>
    <row r="431" ht="24.0" customHeight="1"/>
    <row r="432" ht="24.0" customHeight="1"/>
    <row r="433" ht="24.0" customHeight="1"/>
    <row r="434" ht="24.0" customHeight="1"/>
    <row r="435" ht="24.0" customHeight="1"/>
    <row r="436" ht="24.0" customHeight="1"/>
    <row r="437" ht="24.0" customHeight="1"/>
    <row r="438" ht="24.0" customHeight="1"/>
    <row r="439" ht="24.0" customHeight="1"/>
    <row r="440" ht="24.0" customHeight="1"/>
    <row r="441" ht="24.0" customHeight="1"/>
    <row r="442" ht="24.0" customHeight="1"/>
    <row r="443" ht="24.0" customHeight="1"/>
    <row r="444" ht="24.0" customHeight="1"/>
    <row r="445" ht="24.0" customHeight="1"/>
    <row r="446" ht="24.0" customHeight="1"/>
    <row r="447" ht="24.0" customHeight="1"/>
    <row r="448" ht="24.0" customHeight="1"/>
    <row r="449" ht="24.0" customHeight="1"/>
    <row r="450" ht="24.0" customHeight="1"/>
    <row r="451" ht="24.0" customHeight="1"/>
    <row r="452" ht="24.0" customHeight="1"/>
    <row r="453" ht="24.0" customHeight="1"/>
    <row r="454" ht="24.0" customHeight="1"/>
    <row r="455" ht="24.0" customHeight="1"/>
    <row r="456" ht="24.0" customHeight="1"/>
    <row r="457" ht="24.0" customHeight="1"/>
    <row r="458" ht="24.0" customHeight="1"/>
    <row r="459" ht="24.0" customHeight="1"/>
    <row r="460" ht="24.0" customHeight="1"/>
    <row r="461" ht="24.0" customHeight="1"/>
    <row r="462" ht="24.0" customHeight="1"/>
    <row r="463" ht="24.0" customHeight="1"/>
    <row r="464" ht="24.0" customHeight="1"/>
    <row r="465" ht="24.0" customHeight="1"/>
    <row r="466" ht="24.0" customHeight="1"/>
    <row r="467" ht="24.0" customHeight="1"/>
    <row r="468" ht="24.0" customHeight="1"/>
    <row r="469" ht="24.0" customHeight="1"/>
    <row r="470" ht="24.0" customHeight="1"/>
    <row r="471" ht="24.0" customHeight="1"/>
    <row r="472" ht="24.0" customHeight="1"/>
    <row r="473" ht="24.0" customHeight="1"/>
    <row r="474" ht="24.0" customHeight="1"/>
    <row r="475" ht="24.0" customHeight="1"/>
    <row r="476" ht="24.0" customHeight="1"/>
    <row r="477" ht="24.0" customHeight="1"/>
    <row r="478" ht="24.0" customHeight="1"/>
    <row r="479" ht="24.0" customHeight="1"/>
    <row r="480" ht="24.0" customHeight="1"/>
    <row r="481" ht="24.0" customHeight="1"/>
    <row r="482" ht="24.0" customHeight="1"/>
    <row r="483" ht="24.0" customHeight="1"/>
    <row r="484" ht="24.0" customHeight="1"/>
    <row r="485" ht="24.0" customHeight="1"/>
    <row r="486" ht="24.0" customHeight="1"/>
    <row r="487" ht="24.0" customHeight="1"/>
    <row r="488" ht="24.0" customHeight="1"/>
    <row r="489" ht="24.0" customHeight="1"/>
    <row r="490" ht="24.0" customHeight="1"/>
    <row r="491" ht="24.0" customHeight="1"/>
    <row r="492" ht="24.0" customHeight="1"/>
    <row r="493" ht="24.0" customHeight="1"/>
    <row r="494" ht="24.0" customHeight="1"/>
    <row r="495" ht="24.0" customHeight="1"/>
    <row r="496" ht="24.0" customHeight="1"/>
    <row r="497" ht="24.0" customHeight="1"/>
    <row r="498" ht="24.0" customHeight="1"/>
    <row r="499" ht="24.0" customHeight="1"/>
    <row r="500" ht="24.0" customHeight="1"/>
    <row r="501" ht="24.0" customHeight="1"/>
    <row r="502" ht="24.0" customHeight="1"/>
    <row r="503" ht="24.0" customHeight="1"/>
    <row r="504" ht="24.0" customHeight="1"/>
    <row r="505" ht="24.0" customHeight="1"/>
    <row r="506" ht="24.0" customHeight="1"/>
    <row r="507" ht="24.0" customHeight="1"/>
    <row r="508" ht="24.0" customHeight="1"/>
    <row r="509" ht="24.0" customHeight="1"/>
    <row r="510" ht="24.0" customHeight="1"/>
    <row r="511" ht="24.0" customHeight="1"/>
    <row r="512" ht="24.0" customHeight="1"/>
    <row r="513" ht="24.0" customHeight="1"/>
    <row r="514" ht="24.0" customHeight="1"/>
    <row r="515" ht="24.0" customHeight="1"/>
    <row r="516" ht="24.0" customHeight="1"/>
    <row r="517" ht="24.0" customHeight="1"/>
    <row r="518" ht="24.0" customHeight="1"/>
    <row r="519" ht="24.0" customHeight="1"/>
    <row r="520" ht="24.0" customHeight="1"/>
    <row r="521" ht="24.0" customHeight="1"/>
    <row r="522" ht="24.0" customHeight="1"/>
    <row r="523" ht="24.0" customHeight="1"/>
    <row r="524" ht="24.0" customHeight="1"/>
    <row r="525" ht="24.0" customHeight="1"/>
    <row r="526" ht="24.0" customHeight="1"/>
    <row r="527" ht="24.0" customHeight="1"/>
    <row r="528" ht="24.0" customHeight="1"/>
    <row r="529" ht="24.0" customHeight="1"/>
    <row r="530" ht="24.0" customHeight="1"/>
    <row r="531" ht="24.0" customHeight="1"/>
    <row r="532" ht="24.0" customHeight="1"/>
    <row r="533" ht="24.0" customHeight="1"/>
    <row r="534" ht="24.0" customHeight="1"/>
    <row r="535" ht="24.0" customHeight="1"/>
    <row r="536" ht="24.0" customHeight="1"/>
    <row r="537" ht="24.0" customHeight="1"/>
    <row r="538" ht="24.0" customHeight="1"/>
    <row r="539" ht="24.0" customHeight="1"/>
    <row r="540" ht="24.0" customHeight="1"/>
    <row r="541" ht="24.0" customHeight="1"/>
    <row r="542" ht="24.0" customHeight="1"/>
    <row r="543" ht="24.0" customHeight="1"/>
    <row r="544" ht="24.0" customHeight="1"/>
    <row r="545" ht="24.0" customHeight="1"/>
    <row r="546" ht="24.0" customHeight="1"/>
    <row r="547" ht="24.0" customHeight="1"/>
    <row r="548" ht="24.0" customHeight="1"/>
    <row r="549" ht="24.0" customHeight="1"/>
    <row r="550" ht="24.0" customHeight="1"/>
    <row r="551" ht="24.0" customHeight="1"/>
    <row r="552" ht="24.0" customHeight="1"/>
    <row r="553" ht="24.0" customHeight="1"/>
    <row r="554" ht="24.0" customHeight="1"/>
    <row r="555" ht="24.0" customHeight="1"/>
    <row r="556" ht="24.0" customHeight="1"/>
    <row r="557" ht="24.0" customHeight="1"/>
    <row r="558" ht="24.0" customHeight="1"/>
    <row r="559" ht="24.0" customHeight="1"/>
    <row r="560" ht="24.0" customHeight="1"/>
    <row r="561" ht="24.0" customHeight="1"/>
    <row r="562" ht="24.0" customHeight="1"/>
    <row r="563" ht="24.0" customHeight="1"/>
    <row r="564" ht="24.0" customHeight="1"/>
    <row r="565" ht="24.0" customHeight="1"/>
    <row r="566" ht="24.0" customHeight="1"/>
    <row r="567" ht="24.0" customHeight="1"/>
    <row r="568" ht="24.0" customHeight="1"/>
    <row r="569" ht="24.0" customHeight="1"/>
    <row r="570" ht="24.0" customHeight="1"/>
    <row r="571" ht="24.0" customHeight="1"/>
    <row r="572" ht="24.0" customHeight="1"/>
    <row r="573" ht="24.0" customHeight="1"/>
    <row r="574" ht="24.0" customHeight="1"/>
    <row r="575" ht="24.0" customHeight="1"/>
    <row r="576" ht="24.0" customHeight="1"/>
    <row r="577" ht="24.0" customHeight="1"/>
    <row r="578" ht="24.0" customHeight="1"/>
    <row r="579" ht="24.0" customHeight="1"/>
    <row r="580" ht="24.0" customHeight="1"/>
    <row r="581" ht="24.0" customHeight="1"/>
    <row r="582" ht="24.0" customHeight="1"/>
    <row r="583" ht="24.0" customHeight="1"/>
    <row r="584" ht="24.0" customHeight="1"/>
    <row r="585" ht="24.0" customHeight="1"/>
    <row r="586" ht="24.0" customHeight="1"/>
    <row r="587" ht="24.0" customHeight="1"/>
    <row r="588" ht="24.0" customHeight="1"/>
    <row r="589" ht="24.0" customHeight="1"/>
    <row r="590" ht="24.0" customHeight="1"/>
    <row r="591" ht="24.0" customHeight="1"/>
    <row r="592" ht="24.0" customHeight="1"/>
    <row r="593" ht="24.0" customHeight="1"/>
    <row r="594" ht="24.0" customHeight="1"/>
    <row r="595" ht="24.0" customHeight="1"/>
    <row r="596" ht="24.0" customHeight="1"/>
    <row r="597" ht="24.0" customHeight="1"/>
    <row r="598" ht="24.0" customHeight="1"/>
    <row r="599" ht="24.0" customHeight="1"/>
    <row r="600" ht="24.0" customHeight="1"/>
    <row r="601" ht="24.0" customHeight="1"/>
    <row r="602" ht="24.0" customHeight="1"/>
    <row r="603" ht="24.0" customHeight="1"/>
    <row r="604" ht="24.0" customHeight="1"/>
    <row r="605" ht="24.0" customHeight="1"/>
    <row r="606" ht="24.0" customHeight="1"/>
    <row r="607" ht="24.0" customHeight="1"/>
    <row r="608" ht="24.0" customHeight="1"/>
    <row r="609" ht="24.0" customHeight="1"/>
    <row r="610" ht="24.0" customHeight="1"/>
    <row r="611" ht="24.0" customHeight="1"/>
    <row r="612" ht="24.0" customHeight="1"/>
    <row r="613" ht="24.0" customHeight="1"/>
    <row r="614" ht="24.0" customHeight="1"/>
    <row r="615" ht="24.0" customHeight="1"/>
    <row r="616" ht="24.0" customHeight="1"/>
    <row r="617" ht="24.0" customHeight="1"/>
    <row r="618" ht="24.0" customHeight="1"/>
    <row r="619" ht="24.0" customHeight="1"/>
    <row r="620" ht="24.0" customHeight="1"/>
    <row r="621" ht="24.0" customHeight="1"/>
    <row r="622" ht="24.0" customHeight="1"/>
    <row r="623" ht="24.0" customHeight="1"/>
    <row r="624" ht="24.0" customHeight="1"/>
    <row r="625" ht="24.0" customHeight="1"/>
    <row r="626" ht="24.0" customHeight="1"/>
    <row r="627" ht="24.0" customHeight="1"/>
    <row r="628" ht="24.0" customHeight="1"/>
    <row r="629" ht="24.0" customHeight="1"/>
    <row r="630" ht="24.0" customHeight="1"/>
    <row r="631" ht="24.0" customHeight="1"/>
    <row r="632" ht="24.0" customHeight="1"/>
    <row r="633" ht="24.0" customHeight="1"/>
    <row r="634" ht="24.0" customHeight="1"/>
    <row r="635" ht="24.0" customHeight="1"/>
    <row r="636" ht="24.0" customHeight="1"/>
    <row r="637" ht="24.0" customHeight="1"/>
    <row r="638" ht="24.0" customHeight="1"/>
    <row r="639" ht="24.0" customHeight="1"/>
    <row r="640" ht="24.0" customHeight="1"/>
    <row r="641" ht="24.0" customHeight="1"/>
    <row r="642" ht="24.0" customHeight="1"/>
    <row r="643" ht="24.0" customHeight="1"/>
    <row r="644" ht="24.0" customHeight="1"/>
    <row r="645" ht="24.0" customHeight="1"/>
    <row r="646" ht="24.0" customHeight="1"/>
    <row r="647" ht="24.0" customHeight="1"/>
    <row r="648" ht="24.0" customHeight="1"/>
    <row r="649" ht="24.0" customHeight="1"/>
    <row r="650" ht="24.0" customHeight="1"/>
    <row r="651" ht="24.0" customHeight="1"/>
    <row r="652" ht="24.0" customHeight="1"/>
    <row r="653" ht="24.0" customHeight="1"/>
    <row r="654" ht="24.0" customHeight="1"/>
    <row r="655" ht="24.0" customHeight="1"/>
    <row r="656" ht="24.0" customHeight="1"/>
    <row r="657" ht="24.0" customHeight="1"/>
    <row r="658" ht="24.0" customHeight="1"/>
    <row r="659" ht="24.0" customHeight="1"/>
    <row r="660" ht="24.0" customHeight="1"/>
    <row r="661" ht="24.0" customHeight="1"/>
    <row r="662" ht="24.0" customHeight="1"/>
    <row r="663" ht="24.0" customHeight="1"/>
    <row r="664" ht="24.0" customHeight="1"/>
    <row r="665" ht="24.0" customHeight="1"/>
    <row r="666" ht="24.0" customHeight="1"/>
    <row r="667" ht="24.0" customHeight="1"/>
    <row r="668" ht="24.0" customHeight="1"/>
    <row r="669" ht="24.0" customHeight="1"/>
    <row r="670" ht="24.0" customHeight="1"/>
    <row r="671" ht="24.0" customHeight="1"/>
    <row r="672" ht="24.0" customHeight="1"/>
    <row r="673" ht="24.0" customHeight="1"/>
    <row r="674" ht="24.0" customHeight="1"/>
    <row r="675" ht="24.0" customHeight="1"/>
    <row r="676" ht="24.0" customHeight="1"/>
    <row r="677" ht="24.0" customHeight="1"/>
    <row r="678" ht="24.0" customHeight="1"/>
    <row r="679" ht="24.0" customHeight="1"/>
    <row r="680" ht="24.0" customHeight="1"/>
    <row r="681" ht="24.0" customHeight="1"/>
    <row r="682" ht="24.0" customHeight="1"/>
    <row r="683" ht="24.0" customHeight="1"/>
    <row r="684" ht="24.0" customHeight="1"/>
    <row r="685" ht="24.0" customHeight="1"/>
    <row r="686" ht="24.0" customHeight="1"/>
    <row r="687" ht="24.0" customHeight="1"/>
    <row r="688" ht="24.0" customHeight="1"/>
    <row r="689" ht="24.0" customHeight="1"/>
    <row r="690" ht="24.0" customHeight="1"/>
    <row r="691" ht="24.0" customHeight="1"/>
    <row r="692" ht="24.0" customHeight="1"/>
    <row r="693" ht="24.0" customHeight="1"/>
    <row r="694" ht="24.0" customHeight="1"/>
    <row r="695" ht="24.0" customHeight="1"/>
    <row r="696" ht="24.0" customHeight="1"/>
    <row r="697" ht="24.0" customHeight="1"/>
    <row r="698" ht="24.0" customHeight="1"/>
    <row r="699" ht="24.0" customHeight="1"/>
    <row r="700" ht="24.0" customHeight="1"/>
    <row r="701" ht="24.0" customHeight="1"/>
    <row r="702" ht="24.0" customHeight="1"/>
    <row r="703" ht="24.0" customHeight="1"/>
    <row r="704" ht="24.0" customHeight="1"/>
    <row r="705" ht="24.0" customHeight="1"/>
    <row r="706" ht="24.0" customHeight="1"/>
    <row r="707" ht="24.0" customHeight="1"/>
    <row r="708" ht="24.0" customHeight="1"/>
    <row r="709" ht="24.0" customHeight="1"/>
    <row r="710" ht="24.0" customHeight="1"/>
    <row r="711" ht="24.0" customHeight="1"/>
    <row r="712" ht="24.0" customHeight="1"/>
    <row r="713" ht="24.0" customHeight="1"/>
    <row r="714" ht="24.0" customHeight="1"/>
    <row r="715" ht="24.0" customHeight="1"/>
    <row r="716" ht="24.0" customHeight="1"/>
    <row r="717" ht="24.0" customHeight="1"/>
    <row r="718" ht="24.0" customHeight="1"/>
    <row r="719" ht="24.0" customHeight="1"/>
    <row r="720" ht="24.0" customHeight="1"/>
    <row r="721" ht="24.0" customHeight="1"/>
    <row r="722" ht="24.0" customHeight="1"/>
    <row r="723" ht="24.0" customHeight="1"/>
    <row r="724" ht="24.0" customHeight="1"/>
    <row r="725" ht="24.0" customHeight="1"/>
    <row r="726" ht="24.0" customHeight="1"/>
    <row r="727" ht="24.0" customHeight="1"/>
    <row r="728" ht="24.0" customHeight="1"/>
    <row r="729" ht="24.0" customHeight="1"/>
    <row r="730" ht="24.0" customHeight="1"/>
    <row r="731" ht="24.0" customHeight="1"/>
    <row r="732" ht="24.0" customHeight="1"/>
    <row r="733" ht="24.0" customHeight="1"/>
    <row r="734" ht="24.0" customHeight="1"/>
    <row r="735" ht="24.0" customHeight="1"/>
    <row r="736" ht="24.0" customHeight="1"/>
    <row r="737" ht="24.0" customHeight="1"/>
    <row r="738" ht="24.0" customHeight="1"/>
    <row r="739" ht="24.0" customHeight="1"/>
    <row r="740" ht="24.0" customHeight="1"/>
    <row r="741" ht="24.0" customHeight="1"/>
    <row r="742" ht="24.0" customHeight="1"/>
    <row r="743" ht="24.0" customHeight="1"/>
    <row r="744" ht="24.0" customHeight="1"/>
    <row r="745" ht="24.0" customHeight="1"/>
    <row r="746" ht="24.0" customHeight="1"/>
    <row r="747" ht="24.0" customHeight="1"/>
    <row r="748" ht="24.0" customHeight="1"/>
    <row r="749" ht="24.0" customHeight="1"/>
    <row r="750" ht="24.0" customHeight="1"/>
    <row r="751" ht="24.0" customHeight="1"/>
    <row r="752" ht="24.0" customHeight="1"/>
    <row r="753" ht="24.0" customHeight="1"/>
    <row r="754" ht="24.0" customHeight="1"/>
    <row r="755" ht="24.0" customHeight="1"/>
    <row r="756" ht="24.0" customHeight="1"/>
    <row r="757" ht="24.0" customHeight="1"/>
    <row r="758" ht="24.0" customHeight="1"/>
    <row r="759" ht="24.0" customHeight="1"/>
    <row r="760" ht="24.0" customHeight="1"/>
    <row r="761" ht="24.0" customHeight="1"/>
    <row r="762" ht="24.0" customHeight="1"/>
    <row r="763" ht="24.0" customHeight="1"/>
    <row r="764" ht="24.0" customHeight="1"/>
    <row r="765" ht="24.0" customHeight="1"/>
    <row r="766" ht="24.0" customHeight="1"/>
    <row r="767" ht="24.0" customHeight="1"/>
    <row r="768" ht="24.0" customHeight="1"/>
    <row r="769" ht="24.0" customHeight="1"/>
    <row r="770" ht="24.0" customHeight="1"/>
    <row r="771" ht="24.0" customHeight="1"/>
    <row r="772" ht="24.0" customHeight="1"/>
    <row r="773" ht="24.0" customHeight="1"/>
    <row r="774" ht="24.0" customHeight="1"/>
    <row r="775" ht="24.0" customHeight="1"/>
    <row r="776" ht="24.0" customHeight="1"/>
    <row r="777" ht="24.0" customHeight="1"/>
    <row r="778" ht="24.0" customHeight="1"/>
    <row r="779" ht="24.0" customHeight="1"/>
    <row r="780" ht="24.0" customHeight="1"/>
    <row r="781" ht="24.0" customHeight="1"/>
    <row r="782" ht="24.0" customHeight="1"/>
    <row r="783" ht="24.0" customHeight="1"/>
    <row r="784" ht="24.0" customHeight="1"/>
    <row r="785" ht="24.0" customHeight="1"/>
    <row r="786" ht="24.0" customHeight="1"/>
    <row r="787" ht="24.0" customHeight="1"/>
    <row r="788" ht="24.0" customHeight="1"/>
    <row r="789" ht="24.0" customHeight="1"/>
    <row r="790" ht="24.0" customHeight="1"/>
    <row r="791" ht="24.0" customHeight="1"/>
    <row r="792" ht="24.0" customHeight="1"/>
    <row r="793" ht="24.0" customHeight="1"/>
    <row r="794" ht="24.0" customHeight="1"/>
    <row r="795" ht="24.0" customHeight="1"/>
    <row r="796" ht="24.0" customHeight="1"/>
    <row r="797" ht="24.0" customHeight="1"/>
    <row r="798" ht="24.0" customHeight="1"/>
    <row r="799" ht="24.0" customHeight="1"/>
    <row r="800" ht="24.0" customHeight="1"/>
    <row r="801" ht="24.0" customHeight="1"/>
    <row r="802" ht="24.0" customHeight="1"/>
    <row r="803" ht="24.0" customHeight="1"/>
    <row r="804" ht="24.0" customHeight="1"/>
    <row r="805" ht="24.0" customHeight="1"/>
    <row r="806" ht="24.0" customHeight="1"/>
    <row r="807" ht="24.0" customHeight="1"/>
    <row r="808" ht="24.0" customHeight="1"/>
    <row r="809" ht="24.0" customHeight="1"/>
    <row r="810" ht="24.0" customHeight="1"/>
    <row r="811" ht="24.0" customHeight="1"/>
    <row r="812" ht="24.0" customHeight="1"/>
    <row r="813" ht="24.0" customHeight="1"/>
    <row r="814" ht="24.0" customHeight="1"/>
    <row r="815" ht="24.0" customHeight="1"/>
    <row r="816" ht="24.0" customHeight="1"/>
    <row r="817" ht="24.0" customHeight="1"/>
    <row r="818" ht="24.0" customHeight="1"/>
    <row r="819" ht="24.0" customHeight="1"/>
    <row r="820" ht="24.0" customHeight="1"/>
    <row r="821" ht="24.0" customHeight="1"/>
    <row r="822" ht="24.0" customHeight="1"/>
    <row r="823" ht="24.0" customHeight="1"/>
    <row r="824" ht="24.0" customHeight="1"/>
    <row r="825" ht="24.0" customHeight="1"/>
    <row r="826" ht="24.0" customHeight="1"/>
    <row r="827" ht="24.0" customHeight="1"/>
    <row r="828" ht="24.0" customHeight="1"/>
    <row r="829" ht="24.0" customHeight="1"/>
    <row r="830" ht="24.0" customHeight="1"/>
    <row r="831" ht="24.0" customHeight="1"/>
    <row r="832" ht="24.0" customHeight="1"/>
    <row r="833" ht="24.0" customHeight="1"/>
    <row r="834" ht="24.0" customHeight="1"/>
    <row r="835" ht="24.0" customHeight="1"/>
    <row r="836" ht="24.0" customHeight="1"/>
    <row r="837" ht="24.0" customHeight="1"/>
    <row r="838" ht="24.0" customHeight="1"/>
    <row r="839" ht="24.0" customHeight="1"/>
    <row r="840" ht="24.0" customHeight="1"/>
    <row r="841" ht="24.0" customHeight="1"/>
    <row r="842" ht="24.0" customHeight="1"/>
    <row r="843" ht="24.0" customHeight="1"/>
    <row r="844" ht="24.0" customHeight="1"/>
    <row r="845" ht="24.0" customHeight="1"/>
    <row r="846" ht="24.0" customHeight="1"/>
    <row r="847" ht="24.0" customHeight="1"/>
    <row r="848" ht="24.0" customHeight="1"/>
    <row r="849" ht="24.0" customHeight="1"/>
    <row r="850" ht="24.0" customHeight="1"/>
    <row r="851" ht="24.0" customHeight="1"/>
    <row r="852" ht="24.0" customHeight="1"/>
    <row r="853" ht="24.0" customHeight="1"/>
    <row r="854" ht="24.0" customHeight="1"/>
    <row r="855" ht="24.0" customHeight="1"/>
    <row r="856" ht="24.0" customHeight="1"/>
    <row r="857" ht="24.0" customHeight="1"/>
    <row r="858" ht="24.0" customHeight="1"/>
    <row r="859" ht="24.0" customHeight="1"/>
    <row r="860" ht="24.0" customHeight="1"/>
    <row r="861" ht="24.0" customHeight="1"/>
    <row r="862" ht="24.0" customHeight="1"/>
    <row r="863" ht="24.0" customHeight="1"/>
    <row r="864" ht="24.0" customHeight="1"/>
    <row r="865" ht="24.0" customHeight="1"/>
    <row r="866" ht="24.0" customHeight="1"/>
    <row r="867" ht="24.0" customHeight="1"/>
    <row r="868" ht="24.0" customHeight="1"/>
    <row r="869" ht="24.0" customHeight="1"/>
    <row r="870" ht="24.0" customHeight="1"/>
    <row r="871" ht="24.0" customHeight="1"/>
    <row r="872" ht="24.0" customHeight="1"/>
    <row r="873" ht="24.0" customHeight="1"/>
    <row r="874" ht="24.0" customHeight="1"/>
    <row r="875" ht="24.0" customHeight="1"/>
    <row r="876" ht="24.0" customHeight="1"/>
    <row r="877" ht="24.0" customHeight="1"/>
    <row r="878" ht="24.0" customHeight="1"/>
    <row r="879" ht="24.0" customHeight="1"/>
    <row r="880" ht="24.0" customHeight="1"/>
    <row r="881" ht="24.0" customHeight="1"/>
    <row r="882" ht="24.0" customHeight="1"/>
    <row r="883" ht="24.0" customHeight="1"/>
    <row r="884" ht="24.0" customHeight="1"/>
    <row r="885" ht="24.0" customHeight="1"/>
    <row r="886" ht="24.0" customHeight="1"/>
    <row r="887" ht="24.0" customHeight="1"/>
    <row r="888" ht="24.0" customHeight="1"/>
    <row r="889" ht="24.0" customHeight="1"/>
    <row r="890" ht="24.0" customHeight="1"/>
    <row r="891" ht="24.0" customHeight="1"/>
    <row r="892" ht="24.0" customHeight="1"/>
    <row r="893" ht="24.0" customHeight="1"/>
    <row r="894" ht="24.0" customHeight="1"/>
    <row r="895" ht="24.0" customHeight="1"/>
    <row r="896" ht="24.0" customHeight="1"/>
    <row r="897" ht="24.0" customHeight="1"/>
    <row r="898" ht="24.0" customHeight="1"/>
    <row r="899" ht="24.0" customHeight="1"/>
    <row r="900" ht="24.0" customHeight="1"/>
    <row r="901" ht="24.0" customHeight="1"/>
    <row r="902" ht="24.0" customHeight="1"/>
    <row r="903" ht="24.0" customHeight="1"/>
    <row r="904" ht="24.0" customHeight="1"/>
    <row r="905" ht="24.0" customHeight="1"/>
    <row r="906" ht="24.0" customHeight="1"/>
    <row r="907" ht="24.0" customHeight="1"/>
    <row r="908" ht="24.0" customHeight="1"/>
    <row r="909" ht="24.0" customHeight="1"/>
    <row r="910" ht="24.0" customHeight="1"/>
    <row r="911" ht="24.0" customHeight="1"/>
    <row r="912" ht="24.0" customHeight="1"/>
    <row r="913" ht="24.0" customHeight="1"/>
    <row r="914" ht="24.0" customHeight="1"/>
    <row r="915" ht="24.0" customHeight="1"/>
    <row r="916" ht="24.0" customHeight="1"/>
    <row r="917" ht="24.0" customHeight="1"/>
    <row r="918" ht="24.0" customHeight="1"/>
    <row r="919" ht="24.0" customHeight="1"/>
    <row r="920" ht="24.0" customHeight="1"/>
    <row r="921" ht="24.0" customHeight="1"/>
    <row r="922" ht="24.0" customHeight="1"/>
    <row r="923" ht="24.0" customHeight="1"/>
    <row r="924" ht="24.0" customHeight="1"/>
    <row r="925" ht="24.0" customHeight="1"/>
    <row r="926" ht="24.0" customHeight="1"/>
    <row r="927" ht="24.0" customHeight="1"/>
    <row r="928" ht="24.0" customHeight="1"/>
    <row r="929" ht="24.0" customHeight="1"/>
    <row r="930" ht="24.0" customHeight="1"/>
    <row r="931" ht="24.0" customHeight="1"/>
    <row r="932" ht="24.0" customHeight="1"/>
    <row r="933" ht="24.0" customHeight="1"/>
    <row r="934" ht="24.0" customHeight="1"/>
    <row r="935" ht="24.0" customHeight="1"/>
    <row r="936" ht="24.0" customHeight="1"/>
    <row r="937" ht="24.0" customHeight="1"/>
    <row r="938" ht="24.0" customHeight="1"/>
    <row r="939" ht="24.0" customHeight="1"/>
    <row r="940" ht="24.0" customHeight="1"/>
    <row r="941" ht="24.0" customHeight="1"/>
    <row r="942" ht="24.0" customHeight="1"/>
    <row r="943" ht="24.0" customHeight="1"/>
    <row r="944" ht="24.0" customHeight="1"/>
    <row r="945" ht="24.0" customHeight="1"/>
    <row r="946" ht="24.0" customHeight="1"/>
    <row r="947" ht="24.0" customHeight="1"/>
    <row r="948" ht="24.0" customHeight="1"/>
    <row r="949" ht="24.0" customHeight="1"/>
    <row r="950" ht="24.0" customHeight="1"/>
    <row r="951" ht="24.0" customHeight="1"/>
    <row r="952" ht="24.0" customHeight="1"/>
    <row r="953" ht="24.0" customHeight="1"/>
    <row r="954" ht="24.0" customHeight="1"/>
    <row r="955" ht="24.0" customHeight="1"/>
    <row r="956" ht="24.0" customHeight="1"/>
    <row r="957" ht="24.0" customHeight="1"/>
    <row r="958" ht="24.0" customHeight="1"/>
    <row r="959" ht="24.0" customHeight="1"/>
    <row r="960" ht="24.0" customHeight="1"/>
    <row r="961" ht="24.0" customHeight="1"/>
    <row r="962" ht="24.0" customHeight="1"/>
    <row r="963" ht="24.0" customHeight="1"/>
    <row r="964" ht="24.0" customHeight="1"/>
    <row r="965" ht="24.0" customHeight="1"/>
    <row r="966" ht="24.0" customHeight="1"/>
    <row r="967" ht="24.0" customHeight="1"/>
    <row r="968" ht="24.0" customHeight="1"/>
    <row r="969" ht="24.0" customHeight="1"/>
    <row r="970" ht="24.0" customHeight="1"/>
    <row r="971" ht="24.0" customHeight="1"/>
    <row r="972" ht="24.0" customHeight="1"/>
    <row r="973" ht="24.0" customHeight="1"/>
    <row r="974" ht="24.0" customHeight="1"/>
    <row r="975" ht="24.0" customHeight="1"/>
    <row r="976" ht="24.0" customHeight="1"/>
    <row r="977" ht="24.0" customHeight="1"/>
    <row r="978" ht="24.0" customHeight="1"/>
    <row r="979" ht="24.0" customHeight="1"/>
    <row r="980" ht="24.0" customHeight="1"/>
    <row r="981" ht="24.0" customHeight="1"/>
    <row r="982" ht="24.0" customHeight="1"/>
    <row r="983" ht="24.0" customHeight="1"/>
    <row r="984" ht="24.0" customHeight="1"/>
    <row r="985" ht="24.0" customHeight="1"/>
    <row r="986" ht="24.0" customHeight="1"/>
    <row r="987" ht="24.0" customHeight="1"/>
    <row r="988" ht="24.0" customHeight="1"/>
    <row r="989" ht="24.0" customHeight="1"/>
    <row r="990" ht="24.0" customHeight="1"/>
    <row r="991" ht="24.0" customHeight="1"/>
    <row r="992" ht="24.0" customHeight="1"/>
    <row r="993" ht="24.0" customHeight="1"/>
    <row r="994" ht="24.0" customHeight="1"/>
    <row r="995" ht="24.0" customHeight="1"/>
    <row r="996" ht="24.0" customHeight="1"/>
    <row r="997" ht="24.0" customHeight="1"/>
    <row r="998" ht="24.0" customHeight="1"/>
    <row r="999" ht="24.0" customHeight="1"/>
    <row r="1000" ht="24.0" customHeight="1"/>
  </sheetData>
  <mergeCells count="2">
    <mergeCell ref="B1:F1"/>
    <mergeCell ref="B7:E7"/>
  </mergeCells>
  <conditionalFormatting sqref="E4">
    <cfRule type="expression" dxfId="0" priority="1">
      <formula>AND(ISNUMBER(E4),ROUND(E4,2)=INT(ROUND(E4,2)))</formula>
    </cfRule>
  </conditionalFormatting>
  <conditionalFormatting sqref="E4">
    <cfRule type="expression" dxfId="1" priority="2">
      <formula>AND(ISNUMBER(E4),ROUND(E4,2)&lt;&gt;INT(ROUND(E4,2)))</formula>
    </cfRule>
  </conditionalFormatting>
  <conditionalFormatting sqref="F4">
    <cfRule type="expression" dxfId="0" priority="3">
      <formula>AND(ISNUMBER(F4),ROUND(F4,2)=INT(ROUND(F4,2)))</formula>
    </cfRule>
  </conditionalFormatting>
  <conditionalFormatting sqref="F4">
    <cfRule type="expression" dxfId="1" priority="4">
      <formula>AND(ISNUMBER(F4),ROUND(F4,2)&lt;&gt;INT(ROUND(F4,2)))</formula>
    </cfRule>
  </conditionalFormatting>
  <conditionalFormatting sqref="F7">
    <cfRule type="expression" dxfId="0" priority="5">
      <formula>AND(ISNUMBER(F7),ROUND(F7,2)=INT(ROUND(F7,2)))</formula>
    </cfRule>
  </conditionalFormatting>
  <conditionalFormatting sqref="F7">
    <cfRule type="expression" dxfId="1" priority="6">
      <formula>AND(ISNUMBER(F7),ROUND(F7,2)&lt;&gt;INT(ROUND(F7,2)))</formula>
    </cfRule>
  </conditionalFormatting>
  <dataValidations>
    <dataValidation type="decimal" operator="greaterThanOrEqual" allowBlank="1" showInputMessage="1" showErrorMessage="1" prompt="יש להזין מספר לא שלילי" sqref="D4">
      <formula1>0.0</formula1>
    </dataValidation>
    <dataValidation type="custom" allowBlank="1" showInputMessage="1" showErrorMessage="1" prompt="מספר לא שלילי, כלול או לא רלוונטי בלבד" sqref="E4">
      <formula1>OR(ISBLANK(E4),AND(ISNUMBER(E4),E4&gt;=0),E4="כלול",E4="לא רלוונטי")</formula1>
    </dataValidation>
  </dataValidations>
  <printOptions/>
  <pageMargins bottom="0.75" footer="0.0" header="0.0" left="0.25" right="0.25" top="0.75"/>
  <pageSetup fitToHeight="0" paperSize="9" orientation="portrait"/>
  <headerFooter>
    <oddFooter>&amp;Cעמוד &amp;P</oddFooter>
  </headerFooter>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rightToLeft="1" workbookViewId="0"/>
  </sheetViews>
  <sheetFormatPr customHeight="1" defaultColWidth="14.43" defaultRowHeight="15.0"/>
  <cols>
    <col customWidth="1" min="1" max="1" width="7.29"/>
    <col customWidth="1" min="2" max="2" width="66.29"/>
    <col customWidth="1" min="3" max="6" width="8.14"/>
    <col customWidth="1" hidden="1" min="7" max="7" width="36.0"/>
    <col customWidth="1" hidden="1" min="8" max="8" width="12.0"/>
    <col customWidth="1" min="9" max="26" width="8.71"/>
  </cols>
  <sheetData>
    <row r="1" ht="31.5" customHeight="1">
      <c r="A1" s="10"/>
      <c r="B1" s="3" t="s">
        <v>78</v>
      </c>
      <c r="G1" s="2" t="s">
        <v>77</v>
      </c>
      <c r="H1" s="2" t="s">
        <v>53</v>
      </c>
    </row>
    <row r="2" ht="31.5" customHeight="1">
      <c r="A2" s="16" t="s">
        <v>59</v>
      </c>
      <c r="B2" s="17" t="s">
        <v>67</v>
      </c>
      <c r="C2" s="16" t="s">
        <v>72</v>
      </c>
      <c r="D2" s="16" t="s">
        <v>76</v>
      </c>
      <c r="E2" s="16" t="s">
        <v>79</v>
      </c>
      <c r="F2" s="16" t="s">
        <v>81</v>
      </c>
      <c r="G2" s="2"/>
      <c r="H2" s="2" t="s">
        <v>84</v>
      </c>
    </row>
    <row r="3" ht="63.75" customHeight="1">
      <c r="A3" s="19"/>
      <c r="B3" s="20" t="s">
        <v>338</v>
      </c>
      <c r="C3" s="19"/>
      <c r="D3" s="19"/>
      <c r="E3" s="19"/>
      <c r="F3" s="19"/>
      <c r="G3" s="12" t="s">
        <v>341</v>
      </c>
      <c r="H3" s="12" t="s">
        <v>105</v>
      </c>
    </row>
    <row r="4" ht="46.5" customHeight="1">
      <c r="A4" s="19"/>
      <c r="B4" s="20" t="s">
        <v>342</v>
      </c>
      <c r="C4" s="19" t="s">
        <v>126</v>
      </c>
      <c r="D4" s="19"/>
      <c r="E4" s="22"/>
      <c r="F4" s="22" t="str">
        <f>IF(ISBLANK(D4),"",IF(NOT(ISNUMBER(D4)),"קלט לא תקין",IF(D4&lt;0,"קלט לא תקין",IF(ISBLANK(E4),"",IF(OR(E4="כלול",E4="לא רלוונטי"),0,IF(NOT(ISNUMBER(E4)),"קלט לא תקין",IF(E4&lt;0,"קלט לא תקין",ROUND(D4*E4,2))))))))</f>
        <v/>
      </c>
      <c r="G4" s="12" t="s">
        <v>347</v>
      </c>
      <c r="H4" s="12" t="s">
        <v>113</v>
      </c>
    </row>
    <row r="5" ht="399.75" customHeight="1">
      <c r="A5" s="19"/>
      <c r="B5" s="20"/>
      <c r="C5" s="19"/>
      <c r="D5" s="19"/>
      <c r="E5" s="19"/>
      <c r="F5" s="19"/>
      <c r="G5" s="12"/>
      <c r="H5" s="12" t="s">
        <v>86</v>
      </c>
    </row>
    <row r="6" ht="112.5" customHeight="1">
      <c r="A6" s="19"/>
      <c r="B6" s="20"/>
      <c r="C6" s="19"/>
      <c r="D6" s="19"/>
      <c r="E6" s="19"/>
      <c r="F6" s="19"/>
      <c r="G6" s="12"/>
      <c r="H6" s="12" t="s">
        <v>86</v>
      </c>
    </row>
    <row r="7" ht="31.5" customHeight="1">
      <c r="A7" s="6"/>
      <c r="B7" s="7" t="s">
        <v>130</v>
      </c>
      <c r="C7" s="8"/>
      <c r="D7" s="8"/>
      <c r="E7" s="9"/>
      <c r="F7" s="23">
        <f>SUM(F4)</f>
        <v>0</v>
      </c>
      <c r="G7" s="12"/>
      <c r="H7" s="12" t="s">
        <v>136</v>
      </c>
    </row>
    <row r="8" ht="24.0" customHeight="1"/>
    <row r="9" ht="24.0" customHeight="1"/>
    <row r="10" ht="24.0" customHeight="1"/>
    <row r="11" ht="24.0" customHeight="1"/>
    <row r="12" ht="24.0" customHeight="1"/>
    <row r="13" ht="24.0" customHeight="1"/>
    <row r="14" ht="24.0" customHeight="1"/>
    <row r="15" ht="24.0" customHeight="1"/>
    <row r="16" ht="24.0" customHeight="1"/>
    <row r="17" ht="24.0" customHeight="1"/>
    <row r="18" ht="24.0" customHeight="1"/>
    <row r="19" ht="24.0" customHeight="1"/>
    <row r="20" ht="24.0" customHeight="1"/>
    <row r="21" ht="24.0" customHeight="1"/>
    <row r="22" ht="24.0" customHeight="1"/>
    <row r="23" ht="24.0" customHeight="1"/>
    <row r="24" ht="24.0" customHeight="1"/>
    <row r="25" ht="24.0" customHeight="1"/>
    <row r="26" ht="24.0" customHeight="1"/>
    <row r="27" ht="24.0" customHeight="1"/>
    <row r="28" ht="24.0" customHeight="1"/>
    <row r="29" ht="24.0" customHeight="1"/>
    <row r="30" ht="24.0" customHeight="1"/>
    <row r="31" ht="24.0" customHeight="1"/>
    <row r="32" ht="24.0" customHeight="1"/>
    <row r="33" ht="24.0" customHeight="1"/>
    <row r="34" ht="24.0" customHeight="1"/>
    <row r="35" ht="24.0" customHeight="1"/>
    <row r="36" ht="24.0" customHeight="1"/>
    <row r="37" ht="24.0" customHeight="1"/>
    <row r="38" ht="24.0" customHeight="1"/>
    <row r="39" ht="24.0" customHeight="1"/>
    <row r="40" ht="24.0" customHeight="1"/>
    <row r="41" ht="24.0" customHeight="1"/>
    <row r="42" ht="24.0" customHeight="1"/>
    <row r="43" ht="24.0" customHeight="1"/>
    <row r="44" ht="24.0" customHeight="1"/>
    <row r="45" ht="24.0" customHeight="1"/>
    <row r="46" ht="24.0" customHeight="1"/>
    <row r="47" ht="24.0" customHeight="1"/>
    <row r="48" ht="24.0" customHeight="1"/>
    <row r="49" ht="24.0" customHeight="1"/>
    <row r="50" ht="24.0" customHeight="1"/>
    <row r="51" ht="24.0" customHeight="1"/>
    <row r="52" ht="24.0" customHeight="1"/>
    <row r="53" ht="24.0" customHeight="1"/>
    <row r="54" ht="24.0" customHeight="1"/>
    <row r="55" ht="24.0" customHeight="1"/>
    <row r="56" ht="24.0" customHeight="1"/>
    <row r="57" ht="24.0" customHeight="1"/>
    <row r="58" ht="24.0" customHeight="1"/>
    <row r="59" ht="24.0" customHeight="1"/>
    <row r="60" ht="24.0" customHeight="1"/>
    <row r="61" ht="24.0" customHeight="1"/>
    <row r="62" ht="24.0" customHeight="1"/>
    <row r="63" ht="24.0" customHeight="1"/>
    <row r="64" ht="24.0" customHeight="1"/>
    <row r="65" ht="24.0" customHeight="1"/>
    <row r="66" ht="24.0" customHeight="1"/>
    <row r="67" ht="24.0" customHeight="1"/>
    <row r="68" ht="24.0" customHeight="1"/>
    <row r="69" ht="24.0" customHeight="1"/>
    <row r="70" ht="24.0" customHeight="1"/>
    <row r="71" ht="24.0" customHeight="1"/>
    <row r="72" ht="24.0" customHeight="1"/>
    <row r="73" ht="24.0" customHeight="1"/>
    <row r="74" ht="24.0" customHeight="1"/>
    <row r="75" ht="24.0" customHeight="1"/>
    <row r="76" ht="24.0" customHeight="1"/>
    <row r="77" ht="24.0" customHeight="1"/>
    <row r="78" ht="24.0" customHeight="1"/>
    <row r="79" ht="24.0" customHeight="1"/>
    <row r="80" ht="24.0" customHeight="1"/>
    <row r="81" ht="24.0" customHeight="1"/>
    <row r="82" ht="24.0" customHeight="1"/>
    <row r="83" ht="24.0" customHeight="1"/>
    <row r="84" ht="24.0" customHeight="1"/>
    <row r="85" ht="24.0" customHeight="1"/>
    <row r="86" ht="24.0" customHeight="1"/>
    <row r="87" ht="24.0" customHeight="1"/>
    <row r="88" ht="24.0" customHeight="1"/>
    <row r="89" ht="24.0" customHeight="1"/>
    <row r="90" ht="24.0" customHeight="1"/>
    <row r="91" ht="24.0" customHeight="1"/>
    <row r="92" ht="24.0" customHeight="1"/>
    <row r="93" ht="24.0" customHeight="1"/>
    <row r="94" ht="24.0" customHeight="1"/>
    <row r="95" ht="24.0" customHeight="1"/>
    <row r="96" ht="24.0" customHeight="1"/>
    <row r="97" ht="24.0" customHeight="1"/>
    <row r="98" ht="24.0" customHeight="1"/>
    <row r="99" ht="24.0" customHeight="1"/>
    <row r="100" ht="24.0" customHeight="1"/>
    <row r="101" ht="24.0" customHeight="1"/>
    <row r="102" ht="24.0" customHeight="1"/>
    <row r="103" ht="24.0" customHeight="1"/>
    <row r="104" ht="24.0" customHeight="1"/>
    <row r="105" ht="24.0" customHeight="1"/>
    <row r="106" ht="24.0" customHeight="1"/>
    <row r="107" ht="24.0" customHeight="1"/>
    <row r="108" ht="24.0" customHeight="1"/>
    <row r="109" ht="24.0" customHeight="1"/>
    <row r="110" ht="24.0" customHeight="1"/>
    <row r="111" ht="24.0" customHeight="1"/>
    <row r="112" ht="24.0" customHeight="1"/>
    <row r="113" ht="24.0" customHeight="1"/>
    <row r="114" ht="24.0" customHeight="1"/>
    <row r="115" ht="24.0" customHeight="1"/>
    <row r="116" ht="24.0" customHeight="1"/>
    <row r="117" ht="24.0" customHeight="1"/>
    <row r="118" ht="24.0" customHeight="1"/>
    <row r="119" ht="24.0" customHeight="1"/>
    <row r="120" ht="24.0" customHeight="1"/>
    <row r="121" ht="24.0" customHeight="1"/>
    <row r="122" ht="24.0" customHeight="1"/>
    <row r="123" ht="24.0" customHeight="1"/>
    <row r="124" ht="24.0" customHeight="1"/>
    <row r="125" ht="24.0" customHeight="1"/>
    <row r="126" ht="24.0" customHeight="1"/>
    <row r="127" ht="24.0" customHeight="1"/>
    <row r="128" ht="24.0" customHeight="1"/>
    <row r="129" ht="24.0" customHeight="1"/>
    <row r="130" ht="24.0" customHeight="1"/>
    <row r="131" ht="24.0" customHeight="1"/>
    <row r="132" ht="24.0" customHeight="1"/>
    <row r="133" ht="24.0" customHeight="1"/>
    <row r="134" ht="24.0" customHeight="1"/>
    <row r="135" ht="24.0" customHeight="1"/>
    <row r="136" ht="24.0" customHeight="1"/>
    <row r="137" ht="24.0" customHeight="1"/>
    <row r="138" ht="24.0" customHeight="1"/>
    <row r="139" ht="24.0" customHeight="1"/>
    <row r="140" ht="24.0" customHeight="1"/>
    <row r="141" ht="24.0" customHeight="1"/>
    <row r="142" ht="24.0" customHeight="1"/>
    <row r="143" ht="24.0" customHeight="1"/>
    <row r="144" ht="24.0" customHeight="1"/>
    <row r="145" ht="24.0" customHeight="1"/>
    <row r="146" ht="24.0" customHeight="1"/>
    <row r="147" ht="24.0" customHeight="1"/>
    <row r="148" ht="24.0" customHeight="1"/>
    <row r="149" ht="24.0" customHeight="1"/>
    <row r="150" ht="24.0" customHeight="1"/>
    <row r="151" ht="24.0" customHeight="1"/>
    <row r="152" ht="24.0" customHeight="1"/>
    <row r="153" ht="24.0" customHeight="1"/>
    <row r="154" ht="24.0" customHeight="1"/>
    <row r="155" ht="24.0" customHeight="1"/>
    <row r="156" ht="24.0" customHeight="1"/>
    <row r="157" ht="24.0" customHeight="1"/>
    <row r="158" ht="24.0" customHeight="1"/>
    <row r="159" ht="24.0" customHeight="1"/>
    <row r="160" ht="24.0" customHeight="1"/>
    <row r="161" ht="24.0" customHeight="1"/>
    <row r="162" ht="24.0" customHeight="1"/>
    <row r="163" ht="24.0" customHeight="1"/>
    <row r="164" ht="24.0" customHeight="1"/>
    <row r="165" ht="24.0" customHeight="1"/>
    <row r="166" ht="24.0" customHeight="1"/>
    <row r="167" ht="24.0" customHeight="1"/>
    <row r="168" ht="24.0" customHeight="1"/>
    <row r="169" ht="24.0" customHeight="1"/>
    <row r="170" ht="24.0" customHeight="1"/>
    <row r="171" ht="24.0" customHeight="1"/>
    <row r="172" ht="24.0" customHeight="1"/>
    <row r="173" ht="24.0" customHeight="1"/>
    <row r="174" ht="24.0" customHeight="1"/>
    <row r="175" ht="24.0" customHeight="1"/>
    <row r="176" ht="24.0" customHeight="1"/>
    <row r="177" ht="24.0" customHeight="1"/>
    <row r="178" ht="24.0" customHeight="1"/>
    <row r="179" ht="24.0" customHeight="1"/>
    <row r="180" ht="24.0" customHeight="1"/>
    <row r="181" ht="24.0" customHeight="1"/>
    <row r="182" ht="24.0" customHeight="1"/>
    <row r="183" ht="24.0" customHeight="1"/>
    <row r="184" ht="24.0" customHeight="1"/>
    <row r="185" ht="24.0" customHeight="1"/>
    <row r="186" ht="24.0" customHeight="1"/>
    <row r="187" ht="24.0" customHeight="1"/>
    <row r="188" ht="24.0" customHeight="1"/>
    <row r="189" ht="24.0" customHeight="1"/>
    <row r="190" ht="24.0" customHeight="1"/>
    <row r="191" ht="24.0" customHeight="1"/>
    <row r="192" ht="24.0" customHeight="1"/>
    <row r="193" ht="24.0" customHeight="1"/>
    <row r="194" ht="24.0" customHeight="1"/>
    <row r="195" ht="24.0" customHeight="1"/>
    <row r="196" ht="24.0" customHeight="1"/>
    <row r="197" ht="24.0" customHeight="1"/>
    <row r="198" ht="24.0" customHeight="1"/>
    <row r="199" ht="24.0" customHeight="1"/>
    <row r="200" ht="24.0" customHeight="1"/>
    <row r="201" ht="24.0" customHeight="1"/>
    <row r="202" ht="24.0" customHeight="1"/>
    <row r="203" ht="24.0" customHeight="1"/>
    <row r="204" ht="24.0" customHeight="1"/>
    <row r="205" ht="24.0" customHeight="1"/>
    <row r="206" ht="24.0" customHeight="1"/>
    <row r="207" ht="24.0" customHeight="1"/>
    <row r="208" ht="24.0" customHeight="1"/>
    <row r="209" ht="24.0" customHeight="1"/>
    <row r="210" ht="24.0" customHeight="1"/>
    <row r="211" ht="24.0" customHeight="1"/>
    <row r="212" ht="24.0" customHeight="1"/>
    <row r="213" ht="24.0" customHeight="1"/>
    <row r="214" ht="24.0" customHeight="1"/>
    <row r="215" ht="24.0" customHeight="1"/>
    <row r="216" ht="24.0" customHeight="1"/>
    <row r="217" ht="24.0" customHeight="1"/>
    <row r="218" ht="24.0" customHeight="1"/>
    <row r="219" ht="24.0" customHeight="1"/>
    <row r="220" ht="24.0" customHeight="1"/>
    <row r="221" ht="24.0" customHeight="1"/>
    <row r="222" ht="24.0" customHeight="1"/>
    <row r="223" ht="24.0" customHeight="1"/>
    <row r="224" ht="24.0" customHeight="1"/>
    <row r="225" ht="24.0" customHeight="1"/>
    <row r="226" ht="24.0" customHeight="1"/>
    <row r="227" ht="24.0" customHeight="1"/>
    <row r="228" ht="24.0" customHeight="1"/>
    <row r="229" ht="24.0" customHeight="1"/>
    <row r="230" ht="24.0" customHeight="1"/>
    <row r="231" ht="24.0" customHeight="1"/>
    <row r="232" ht="24.0" customHeight="1"/>
    <row r="233" ht="24.0" customHeight="1"/>
    <row r="234" ht="24.0" customHeight="1"/>
    <row r="235" ht="24.0" customHeight="1"/>
    <row r="236" ht="24.0" customHeight="1"/>
    <row r="237" ht="24.0" customHeight="1"/>
    <row r="238" ht="24.0" customHeight="1"/>
    <row r="239" ht="24.0" customHeight="1"/>
    <row r="240" ht="24.0" customHeight="1"/>
    <row r="241" ht="24.0" customHeight="1"/>
    <row r="242" ht="24.0" customHeight="1"/>
    <row r="243" ht="24.0" customHeight="1"/>
    <row r="244" ht="24.0" customHeight="1"/>
    <row r="245" ht="24.0" customHeight="1"/>
    <row r="246" ht="24.0" customHeight="1"/>
    <row r="247" ht="24.0" customHeight="1"/>
    <row r="248" ht="24.0" customHeight="1"/>
    <row r="249" ht="24.0" customHeight="1"/>
    <row r="250" ht="24.0" customHeight="1"/>
    <row r="251" ht="24.0" customHeight="1"/>
    <row r="252" ht="24.0" customHeight="1"/>
    <row r="253" ht="24.0" customHeight="1"/>
    <row r="254" ht="24.0" customHeight="1"/>
    <row r="255" ht="24.0" customHeight="1"/>
    <row r="256" ht="24.0" customHeight="1"/>
    <row r="257" ht="24.0" customHeight="1"/>
    <row r="258" ht="24.0" customHeight="1"/>
    <row r="259" ht="24.0" customHeight="1"/>
    <row r="260" ht="24.0" customHeight="1"/>
    <row r="261" ht="24.0" customHeight="1"/>
    <row r="262" ht="24.0" customHeight="1"/>
    <row r="263" ht="24.0" customHeight="1"/>
    <row r="264" ht="24.0" customHeight="1"/>
    <row r="265" ht="24.0" customHeight="1"/>
    <row r="266" ht="24.0" customHeight="1"/>
    <row r="267" ht="24.0" customHeight="1"/>
    <row r="268" ht="24.0" customHeight="1"/>
    <row r="269" ht="24.0" customHeight="1"/>
    <row r="270" ht="24.0" customHeight="1"/>
    <row r="271" ht="24.0" customHeight="1"/>
    <row r="272" ht="24.0" customHeight="1"/>
    <row r="273" ht="24.0" customHeight="1"/>
    <row r="274" ht="24.0" customHeight="1"/>
    <row r="275" ht="24.0" customHeight="1"/>
    <row r="276" ht="24.0" customHeight="1"/>
    <row r="277" ht="24.0" customHeight="1"/>
    <row r="278" ht="24.0" customHeight="1"/>
    <row r="279" ht="24.0" customHeight="1"/>
    <row r="280" ht="24.0" customHeight="1"/>
    <row r="281" ht="24.0" customHeight="1"/>
    <row r="282" ht="24.0" customHeight="1"/>
    <row r="283" ht="24.0" customHeight="1"/>
    <row r="284" ht="24.0" customHeight="1"/>
    <row r="285" ht="24.0" customHeight="1"/>
    <row r="286" ht="24.0" customHeight="1"/>
    <row r="287" ht="24.0" customHeight="1"/>
    <row r="288" ht="24.0" customHeight="1"/>
    <row r="289" ht="24.0" customHeight="1"/>
    <row r="290" ht="24.0" customHeight="1"/>
    <row r="291" ht="24.0" customHeight="1"/>
    <row r="292" ht="24.0" customHeight="1"/>
    <row r="293" ht="24.0" customHeight="1"/>
    <row r="294" ht="24.0" customHeight="1"/>
    <row r="295" ht="24.0" customHeight="1"/>
    <row r="296" ht="24.0" customHeight="1"/>
    <row r="297" ht="24.0" customHeight="1"/>
    <row r="298" ht="24.0" customHeight="1"/>
    <row r="299" ht="24.0" customHeight="1"/>
    <row r="300" ht="24.0" customHeight="1"/>
    <row r="301" ht="24.0" customHeight="1"/>
    <row r="302" ht="24.0" customHeight="1"/>
    <row r="303" ht="24.0" customHeight="1"/>
    <row r="304" ht="24.0" customHeight="1"/>
    <row r="305" ht="24.0" customHeight="1"/>
    <row r="306" ht="24.0" customHeight="1"/>
    <row r="307" ht="24.0" customHeight="1"/>
    <row r="308" ht="24.0" customHeight="1"/>
    <row r="309" ht="24.0" customHeight="1"/>
    <row r="310" ht="24.0" customHeight="1"/>
    <row r="311" ht="24.0" customHeight="1"/>
    <row r="312" ht="24.0" customHeight="1"/>
    <row r="313" ht="24.0" customHeight="1"/>
    <row r="314" ht="24.0" customHeight="1"/>
    <row r="315" ht="24.0" customHeight="1"/>
    <row r="316" ht="24.0" customHeight="1"/>
    <row r="317" ht="24.0" customHeight="1"/>
    <row r="318" ht="24.0" customHeight="1"/>
    <row r="319" ht="24.0" customHeight="1"/>
    <row r="320" ht="24.0" customHeight="1"/>
    <row r="321" ht="24.0" customHeight="1"/>
    <row r="322" ht="24.0" customHeight="1"/>
    <row r="323" ht="24.0" customHeight="1"/>
    <row r="324" ht="24.0" customHeight="1"/>
    <row r="325" ht="24.0" customHeight="1"/>
    <row r="326" ht="24.0" customHeight="1"/>
    <row r="327" ht="24.0" customHeight="1"/>
    <row r="328" ht="24.0" customHeight="1"/>
    <row r="329" ht="24.0" customHeight="1"/>
    <row r="330" ht="24.0" customHeight="1"/>
    <row r="331" ht="24.0" customHeight="1"/>
    <row r="332" ht="24.0" customHeight="1"/>
    <row r="333" ht="24.0" customHeight="1"/>
    <row r="334" ht="24.0" customHeight="1"/>
    <row r="335" ht="24.0" customHeight="1"/>
    <row r="336" ht="24.0" customHeight="1"/>
    <row r="337" ht="24.0" customHeight="1"/>
    <row r="338" ht="24.0" customHeight="1"/>
    <row r="339" ht="24.0" customHeight="1"/>
    <row r="340" ht="24.0" customHeight="1"/>
    <row r="341" ht="24.0" customHeight="1"/>
    <row r="342" ht="24.0" customHeight="1"/>
    <row r="343" ht="24.0" customHeight="1"/>
    <row r="344" ht="24.0" customHeight="1"/>
    <row r="345" ht="24.0" customHeight="1"/>
    <row r="346" ht="24.0" customHeight="1"/>
    <row r="347" ht="24.0" customHeight="1"/>
    <row r="348" ht="24.0" customHeight="1"/>
    <row r="349" ht="24.0" customHeight="1"/>
    <row r="350" ht="24.0" customHeight="1"/>
    <row r="351" ht="24.0" customHeight="1"/>
    <row r="352" ht="24.0" customHeight="1"/>
    <row r="353" ht="24.0" customHeight="1"/>
    <row r="354" ht="24.0" customHeight="1"/>
    <row r="355" ht="24.0" customHeight="1"/>
    <row r="356" ht="24.0" customHeight="1"/>
    <row r="357" ht="24.0" customHeight="1"/>
    <row r="358" ht="24.0" customHeight="1"/>
    <row r="359" ht="24.0" customHeight="1"/>
    <row r="360" ht="24.0" customHeight="1"/>
    <row r="361" ht="24.0" customHeight="1"/>
    <row r="362" ht="24.0" customHeight="1"/>
    <row r="363" ht="24.0" customHeight="1"/>
    <row r="364" ht="24.0" customHeight="1"/>
    <row r="365" ht="24.0" customHeight="1"/>
    <row r="366" ht="24.0" customHeight="1"/>
    <row r="367" ht="24.0" customHeight="1"/>
    <row r="368" ht="24.0" customHeight="1"/>
    <row r="369" ht="24.0" customHeight="1"/>
    <row r="370" ht="24.0" customHeight="1"/>
    <row r="371" ht="24.0" customHeight="1"/>
    <row r="372" ht="24.0" customHeight="1"/>
    <row r="373" ht="24.0" customHeight="1"/>
    <row r="374" ht="24.0" customHeight="1"/>
    <row r="375" ht="24.0" customHeight="1"/>
    <row r="376" ht="24.0" customHeight="1"/>
    <row r="377" ht="24.0" customHeight="1"/>
    <row r="378" ht="24.0" customHeight="1"/>
    <row r="379" ht="24.0" customHeight="1"/>
    <row r="380" ht="24.0" customHeight="1"/>
    <row r="381" ht="24.0" customHeight="1"/>
    <row r="382" ht="24.0" customHeight="1"/>
    <row r="383" ht="24.0" customHeight="1"/>
    <row r="384" ht="24.0" customHeight="1"/>
    <row r="385" ht="24.0" customHeight="1"/>
    <row r="386" ht="24.0" customHeight="1"/>
    <row r="387" ht="24.0" customHeight="1"/>
    <row r="388" ht="24.0" customHeight="1"/>
    <row r="389" ht="24.0" customHeight="1"/>
    <row r="390" ht="24.0" customHeight="1"/>
    <row r="391" ht="24.0" customHeight="1"/>
    <row r="392" ht="24.0" customHeight="1"/>
    <row r="393" ht="24.0" customHeight="1"/>
    <row r="394" ht="24.0" customHeight="1"/>
    <row r="395" ht="24.0" customHeight="1"/>
    <row r="396" ht="24.0" customHeight="1"/>
    <row r="397" ht="24.0" customHeight="1"/>
    <row r="398" ht="24.0" customHeight="1"/>
    <row r="399" ht="24.0" customHeight="1"/>
    <row r="400" ht="24.0" customHeight="1"/>
    <row r="401" ht="24.0" customHeight="1"/>
    <row r="402" ht="24.0" customHeight="1"/>
    <row r="403" ht="24.0" customHeight="1"/>
    <row r="404" ht="24.0" customHeight="1"/>
    <row r="405" ht="24.0" customHeight="1"/>
    <row r="406" ht="24.0" customHeight="1"/>
    <row r="407" ht="24.0" customHeight="1"/>
    <row r="408" ht="24.0" customHeight="1"/>
    <row r="409" ht="24.0" customHeight="1"/>
    <row r="410" ht="24.0" customHeight="1"/>
    <row r="411" ht="24.0" customHeight="1"/>
    <row r="412" ht="24.0" customHeight="1"/>
    <row r="413" ht="24.0" customHeight="1"/>
    <row r="414" ht="24.0" customHeight="1"/>
    <row r="415" ht="24.0" customHeight="1"/>
    <row r="416" ht="24.0" customHeight="1"/>
    <row r="417" ht="24.0" customHeight="1"/>
    <row r="418" ht="24.0" customHeight="1"/>
    <row r="419" ht="24.0" customHeight="1"/>
    <row r="420" ht="24.0" customHeight="1"/>
    <row r="421" ht="24.0" customHeight="1"/>
    <row r="422" ht="24.0" customHeight="1"/>
    <row r="423" ht="24.0" customHeight="1"/>
    <row r="424" ht="24.0" customHeight="1"/>
    <row r="425" ht="24.0" customHeight="1"/>
    <row r="426" ht="24.0" customHeight="1"/>
    <row r="427" ht="24.0" customHeight="1"/>
    <row r="428" ht="24.0" customHeight="1"/>
    <row r="429" ht="24.0" customHeight="1"/>
    <row r="430" ht="24.0" customHeight="1"/>
    <row r="431" ht="24.0" customHeight="1"/>
    <row r="432" ht="24.0" customHeight="1"/>
    <row r="433" ht="24.0" customHeight="1"/>
    <row r="434" ht="24.0" customHeight="1"/>
    <row r="435" ht="24.0" customHeight="1"/>
    <row r="436" ht="24.0" customHeight="1"/>
    <row r="437" ht="24.0" customHeight="1"/>
    <row r="438" ht="24.0" customHeight="1"/>
    <row r="439" ht="24.0" customHeight="1"/>
    <row r="440" ht="24.0" customHeight="1"/>
    <row r="441" ht="24.0" customHeight="1"/>
    <row r="442" ht="24.0" customHeight="1"/>
    <row r="443" ht="24.0" customHeight="1"/>
    <row r="444" ht="24.0" customHeight="1"/>
    <row r="445" ht="24.0" customHeight="1"/>
    <row r="446" ht="24.0" customHeight="1"/>
    <row r="447" ht="24.0" customHeight="1"/>
    <row r="448" ht="24.0" customHeight="1"/>
    <row r="449" ht="24.0" customHeight="1"/>
    <row r="450" ht="24.0" customHeight="1"/>
    <row r="451" ht="24.0" customHeight="1"/>
    <row r="452" ht="24.0" customHeight="1"/>
    <row r="453" ht="24.0" customHeight="1"/>
    <row r="454" ht="24.0" customHeight="1"/>
    <row r="455" ht="24.0" customHeight="1"/>
    <row r="456" ht="24.0" customHeight="1"/>
    <row r="457" ht="24.0" customHeight="1"/>
    <row r="458" ht="24.0" customHeight="1"/>
    <row r="459" ht="24.0" customHeight="1"/>
    <row r="460" ht="24.0" customHeight="1"/>
    <row r="461" ht="24.0" customHeight="1"/>
    <row r="462" ht="24.0" customHeight="1"/>
    <row r="463" ht="24.0" customHeight="1"/>
    <row r="464" ht="24.0" customHeight="1"/>
    <row r="465" ht="24.0" customHeight="1"/>
    <row r="466" ht="24.0" customHeight="1"/>
    <row r="467" ht="24.0" customHeight="1"/>
    <row r="468" ht="24.0" customHeight="1"/>
    <row r="469" ht="24.0" customHeight="1"/>
    <row r="470" ht="24.0" customHeight="1"/>
    <row r="471" ht="24.0" customHeight="1"/>
    <row r="472" ht="24.0" customHeight="1"/>
    <row r="473" ht="24.0" customHeight="1"/>
    <row r="474" ht="24.0" customHeight="1"/>
    <row r="475" ht="24.0" customHeight="1"/>
    <row r="476" ht="24.0" customHeight="1"/>
    <row r="477" ht="24.0" customHeight="1"/>
    <row r="478" ht="24.0" customHeight="1"/>
    <row r="479" ht="24.0" customHeight="1"/>
    <row r="480" ht="24.0" customHeight="1"/>
    <row r="481" ht="24.0" customHeight="1"/>
    <row r="482" ht="24.0" customHeight="1"/>
    <row r="483" ht="24.0" customHeight="1"/>
    <row r="484" ht="24.0" customHeight="1"/>
    <row r="485" ht="24.0" customHeight="1"/>
    <row r="486" ht="24.0" customHeight="1"/>
    <row r="487" ht="24.0" customHeight="1"/>
    <row r="488" ht="24.0" customHeight="1"/>
    <row r="489" ht="24.0" customHeight="1"/>
    <row r="490" ht="24.0" customHeight="1"/>
    <row r="491" ht="24.0" customHeight="1"/>
    <row r="492" ht="24.0" customHeight="1"/>
    <row r="493" ht="24.0" customHeight="1"/>
    <row r="494" ht="24.0" customHeight="1"/>
    <row r="495" ht="24.0" customHeight="1"/>
    <row r="496" ht="24.0" customHeight="1"/>
    <row r="497" ht="24.0" customHeight="1"/>
    <row r="498" ht="24.0" customHeight="1"/>
    <row r="499" ht="24.0" customHeight="1"/>
    <row r="500" ht="24.0" customHeight="1"/>
    <row r="501" ht="24.0" customHeight="1"/>
    <row r="502" ht="24.0" customHeight="1"/>
    <row r="503" ht="24.0" customHeight="1"/>
    <row r="504" ht="24.0" customHeight="1"/>
    <row r="505" ht="24.0" customHeight="1"/>
    <row r="506" ht="24.0" customHeight="1"/>
    <row r="507" ht="24.0" customHeight="1"/>
    <row r="508" ht="24.0" customHeight="1"/>
    <row r="509" ht="24.0" customHeight="1"/>
    <row r="510" ht="24.0" customHeight="1"/>
    <row r="511" ht="24.0" customHeight="1"/>
    <row r="512" ht="24.0" customHeight="1"/>
    <row r="513" ht="24.0" customHeight="1"/>
    <row r="514" ht="24.0" customHeight="1"/>
    <row r="515" ht="24.0" customHeight="1"/>
    <row r="516" ht="24.0" customHeight="1"/>
    <row r="517" ht="24.0" customHeight="1"/>
    <row r="518" ht="24.0" customHeight="1"/>
    <row r="519" ht="24.0" customHeight="1"/>
    <row r="520" ht="24.0" customHeight="1"/>
    <row r="521" ht="24.0" customHeight="1"/>
    <row r="522" ht="24.0" customHeight="1"/>
    <row r="523" ht="24.0" customHeight="1"/>
    <row r="524" ht="24.0" customHeight="1"/>
    <row r="525" ht="24.0" customHeight="1"/>
    <row r="526" ht="24.0" customHeight="1"/>
    <row r="527" ht="24.0" customHeight="1"/>
    <row r="528" ht="24.0" customHeight="1"/>
    <row r="529" ht="24.0" customHeight="1"/>
    <row r="530" ht="24.0" customHeight="1"/>
    <row r="531" ht="24.0" customHeight="1"/>
    <row r="532" ht="24.0" customHeight="1"/>
    <row r="533" ht="24.0" customHeight="1"/>
    <row r="534" ht="24.0" customHeight="1"/>
    <row r="535" ht="24.0" customHeight="1"/>
    <row r="536" ht="24.0" customHeight="1"/>
    <row r="537" ht="24.0" customHeight="1"/>
    <row r="538" ht="24.0" customHeight="1"/>
    <row r="539" ht="24.0" customHeight="1"/>
    <row r="540" ht="24.0" customHeight="1"/>
    <row r="541" ht="24.0" customHeight="1"/>
    <row r="542" ht="24.0" customHeight="1"/>
    <row r="543" ht="24.0" customHeight="1"/>
    <row r="544" ht="24.0" customHeight="1"/>
    <row r="545" ht="24.0" customHeight="1"/>
    <row r="546" ht="24.0" customHeight="1"/>
    <row r="547" ht="24.0" customHeight="1"/>
    <row r="548" ht="24.0" customHeight="1"/>
    <row r="549" ht="24.0" customHeight="1"/>
    <row r="550" ht="24.0" customHeight="1"/>
    <row r="551" ht="24.0" customHeight="1"/>
    <row r="552" ht="24.0" customHeight="1"/>
    <row r="553" ht="24.0" customHeight="1"/>
    <row r="554" ht="24.0" customHeight="1"/>
    <row r="555" ht="24.0" customHeight="1"/>
    <row r="556" ht="24.0" customHeight="1"/>
    <row r="557" ht="24.0" customHeight="1"/>
    <row r="558" ht="24.0" customHeight="1"/>
    <row r="559" ht="24.0" customHeight="1"/>
    <row r="560" ht="24.0" customHeight="1"/>
    <row r="561" ht="24.0" customHeight="1"/>
    <row r="562" ht="24.0" customHeight="1"/>
    <row r="563" ht="24.0" customHeight="1"/>
    <row r="564" ht="24.0" customHeight="1"/>
    <row r="565" ht="24.0" customHeight="1"/>
    <row r="566" ht="24.0" customHeight="1"/>
    <row r="567" ht="24.0" customHeight="1"/>
    <row r="568" ht="24.0" customHeight="1"/>
    <row r="569" ht="24.0" customHeight="1"/>
    <row r="570" ht="24.0" customHeight="1"/>
    <row r="571" ht="24.0" customHeight="1"/>
    <row r="572" ht="24.0" customHeight="1"/>
    <row r="573" ht="24.0" customHeight="1"/>
    <row r="574" ht="24.0" customHeight="1"/>
    <row r="575" ht="24.0" customHeight="1"/>
    <row r="576" ht="24.0" customHeight="1"/>
    <row r="577" ht="24.0" customHeight="1"/>
    <row r="578" ht="24.0" customHeight="1"/>
    <row r="579" ht="24.0" customHeight="1"/>
    <row r="580" ht="24.0" customHeight="1"/>
    <row r="581" ht="24.0" customHeight="1"/>
    <row r="582" ht="24.0" customHeight="1"/>
    <row r="583" ht="24.0" customHeight="1"/>
    <row r="584" ht="24.0" customHeight="1"/>
    <row r="585" ht="24.0" customHeight="1"/>
    <row r="586" ht="24.0" customHeight="1"/>
    <row r="587" ht="24.0" customHeight="1"/>
    <row r="588" ht="24.0" customHeight="1"/>
    <row r="589" ht="24.0" customHeight="1"/>
    <row r="590" ht="24.0" customHeight="1"/>
    <row r="591" ht="24.0" customHeight="1"/>
    <row r="592" ht="24.0" customHeight="1"/>
    <row r="593" ht="24.0" customHeight="1"/>
    <row r="594" ht="24.0" customHeight="1"/>
    <row r="595" ht="24.0" customHeight="1"/>
    <row r="596" ht="24.0" customHeight="1"/>
    <row r="597" ht="24.0" customHeight="1"/>
    <row r="598" ht="24.0" customHeight="1"/>
    <row r="599" ht="24.0" customHeight="1"/>
    <row r="600" ht="24.0" customHeight="1"/>
    <row r="601" ht="24.0" customHeight="1"/>
    <row r="602" ht="24.0" customHeight="1"/>
    <row r="603" ht="24.0" customHeight="1"/>
    <row r="604" ht="24.0" customHeight="1"/>
    <row r="605" ht="24.0" customHeight="1"/>
    <row r="606" ht="24.0" customHeight="1"/>
    <row r="607" ht="24.0" customHeight="1"/>
    <row r="608" ht="24.0" customHeight="1"/>
    <row r="609" ht="24.0" customHeight="1"/>
    <row r="610" ht="24.0" customHeight="1"/>
    <row r="611" ht="24.0" customHeight="1"/>
    <row r="612" ht="24.0" customHeight="1"/>
    <row r="613" ht="24.0" customHeight="1"/>
    <row r="614" ht="24.0" customHeight="1"/>
    <row r="615" ht="24.0" customHeight="1"/>
    <row r="616" ht="24.0" customHeight="1"/>
    <row r="617" ht="24.0" customHeight="1"/>
    <row r="618" ht="24.0" customHeight="1"/>
    <row r="619" ht="24.0" customHeight="1"/>
    <row r="620" ht="24.0" customHeight="1"/>
    <row r="621" ht="24.0" customHeight="1"/>
    <row r="622" ht="24.0" customHeight="1"/>
    <row r="623" ht="24.0" customHeight="1"/>
    <row r="624" ht="24.0" customHeight="1"/>
    <row r="625" ht="24.0" customHeight="1"/>
    <row r="626" ht="24.0" customHeight="1"/>
    <row r="627" ht="24.0" customHeight="1"/>
    <row r="628" ht="24.0" customHeight="1"/>
    <row r="629" ht="24.0" customHeight="1"/>
    <row r="630" ht="24.0" customHeight="1"/>
    <row r="631" ht="24.0" customHeight="1"/>
    <row r="632" ht="24.0" customHeight="1"/>
    <row r="633" ht="24.0" customHeight="1"/>
    <row r="634" ht="24.0" customHeight="1"/>
    <row r="635" ht="24.0" customHeight="1"/>
    <row r="636" ht="24.0" customHeight="1"/>
    <row r="637" ht="24.0" customHeight="1"/>
    <row r="638" ht="24.0" customHeight="1"/>
    <row r="639" ht="24.0" customHeight="1"/>
    <row r="640" ht="24.0" customHeight="1"/>
    <row r="641" ht="24.0" customHeight="1"/>
    <row r="642" ht="24.0" customHeight="1"/>
    <row r="643" ht="24.0" customHeight="1"/>
    <row r="644" ht="24.0" customHeight="1"/>
    <row r="645" ht="24.0" customHeight="1"/>
    <row r="646" ht="24.0" customHeight="1"/>
    <row r="647" ht="24.0" customHeight="1"/>
    <row r="648" ht="24.0" customHeight="1"/>
    <row r="649" ht="24.0" customHeight="1"/>
    <row r="650" ht="24.0" customHeight="1"/>
    <row r="651" ht="24.0" customHeight="1"/>
    <row r="652" ht="24.0" customHeight="1"/>
    <row r="653" ht="24.0" customHeight="1"/>
    <row r="654" ht="24.0" customHeight="1"/>
    <row r="655" ht="24.0" customHeight="1"/>
    <row r="656" ht="24.0" customHeight="1"/>
    <row r="657" ht="24.0" customHeight="1"/>
    <row r="658" ht="24.0" customHeight="1"/>
    <row r="659" ht="24.0" customHeight="1"/>
    <row r="660" ht="24.0" customHeight="1"/>
    <row r="661" ht="24.0" customHeight="1"/>
    <row r="662" ht="24.0" customHeight="1"/>
    <row r="663" ht="24.0" customHeight="1"/>
    <row r="664" ht="24.0" customHeight="1"/>
    <row r="665" ht="24.0" customHeight="1"/>
    <row r="666" ht="24.0" customHeight="1"/>
    <row r="667" ht="24.0" customHeight="1"/>
    <row r="668" ht="24.0" customHeight="1"/>
    <row r="669" ht="24.0" customHeight="1"/>
    <row r="670" ht="24.0" customHeight="1"/>
    <row r="671" ht="24.0" customHeight="1"/>
    <row r="672" ht="24.0" customHeight="1"/>
    <row r="673" ht="24.0" customHeight="1"/>
    <row r="674" ht="24.0" customHeight="1"/>
    <row r="675" ht="24.0" customHeight="1"/>
    <row r="676" ht="24.0" customHeight="1"/>
    <row r="677" ht="24.0" customHeight="1"/>
    <row r="678" ht="24.0" customHeight="1"/>
    <row r="679" ht="24.0" customHeight="1"/>
    <row r="680" ht="24.0" customHeight="1"/>
    <row r="681" ht="24.0" customHeight="1"/>
    <row r="682" ht="24.0" customHeight="1"/>
    <row r="683" ht="24.0" customHeight="1"/>
    <row r="684" ht="24.0" customHeight="1"/>
    <row r="685" ht="24.0" customHeight="1"/>
    <row r="686" ht="24.0" customHeight="1"/>
    <row r="687" ht="24.0" customHeight="1"/>
    <row r="688" ht="24.0" customHeight="1"/>
    <row r="689" ht="24.0" customHeight="1"/>
    <row r="690" ht="24.0" customHeight="1"/>
    <row r="691" ht="24.0" customHeight="1"/>
    <row r="692" ht="24.0" customHeight="1"/>
    <row r="693" ht="24.0" customHeight="1"/>
    <row r="694" ht="24.0" customHeight="1"/>
    <row r="695" ht="24.0" customHeight="1"/>
    <row r="696" ht="24.0" customHeight="1"/>
    <row r="697" ht="24.0" customHeight="1"/>
    <row r="698" ht="24.0" customHeight="1"/>
    <row r="699" ht="24.0" customHeight="1"/>
    <row r="700" ht="24.0" customHeight="1"/>
    <row r="701" ht="24.0" customHeight="1"/>
    <row r="702" ht="24.0" customHeight="1"/>
    <row r="703" ht="24.0" customHeight="1"/>
    <row r="704" ht="24.0" customHeight="1"/>
    <row r="705" ht="24.0" customHeight="1"/>
    <row r="706" ht="24.0" customHeight="1"/>
    <row r="707" ht="24.0" customHeight="1"/>
    <row r="708" ht="24.0" customHeight="1"/>
    <row r="709" ht="24.0" customHeight="1"/>
    <row r="710" ht="24.0" customHeight="1"/>
    <row r="711" ht="24.0" customHeight="1"/>
    <row r="712" ht="24.0" customHeight="1"/>
    <row r="713" ht="24.0" customHeight="1"/>
    <row r="714" ht="24.0" customHeight="1"/>
    <row r="715" ht="24.0" customHeight="1"/>
    <row r="716" ht="24.0" customHeight="1"/>
    <row r="717" ht="24.0" customHeight="1"/>
    <row r="718" ht="24.0" customHeight="1"/>
    <row r="719" ht="24.0" customHeight="1"/>
    <row r="720" ht="24.0" customHeight="1"/>
    <row r="721" ht="24.0" customHeight="1"/>
    <row r="722" ht="24.0" customHeight="1"/>
    <row r="723" ht="24.0" customHeight="1"/>
    <row r="724" ht="24.0" customHeight="1"/>
    <row r="725" ht="24.0" customHeight="1"/>
    <row r="726" ht="24.0" customHeight="1"/>
    <row r="727" ht="24.0" customHeight="1"/>
    <row r="728" ht="24.0" customHeight="1"/>
    <row r="729" ht="24.0" customHeight="1"/>
    <row r="730" ht="24.0" customHeight="1"/>
    <row r="731" ht="24.0" customHeight="1"/>
    <row r="732" ht="24.0" customHeight="1"/>
    <row r="733" ht="24.0" customHeight="1"/>
    <row r="734" ht="24.0" customHeight="1"/>
    <row r="735" ht="24.0" customHeight="1"/>
    <row r="736" ht="24.0" customHeight="1"/>
    <row r="737" ht="24.0" customHeight="1"/>
    <row r="738" ht="24.0" customHeight="1"/>
    <row r="739" ht="24.0" customHeight="1"/>
    <row r="740" ht="24.0" customHeight="1"/>
    <row r="741" ht="24.0" customHeight="1"/>
    <row r="742" ht="24.0" customHeight="1"/>
    <row r="743" ht="24.0" customHeight="1"/>
    <row r="744" ht="24.0" customHeight="1"/>
    <row r="745" ht="24.0" customHeight="1"/>
    <row r="746" ht="24.0" customHeight="1"/>
    <row r="747" ht="24.0" customHeight="1"/>
    <row r="748" ht="24.0" customHeight="1"/>
    <row r="749" ht="24.0" customHeight="1"/>
    <row r="750" ht="24.0" customHeight="1"/>
    <row r="751" ht="24.0" customHeight="1"/>
    <row r="752" ht="24.0" customHeight="1"/>
    <row r="753" ht="24.0" customHeight="1"/>
    <row r="754" ht="24.0" customHeight="1"/>
    <row r="755" ht="24.0" customHeight="1"/>
    <row r="756" ht="24.0" customHeight="1"/>
    <row r="757" ht="24.0" customHeight="1"/>
    <row r="758" ht="24.0" customHeight="1"/>
    <row r="759" ht="24.0" customHeight="1"/>
    <row r="760" ht="24.0" customHeight="1"/>
    <row r="761" ht="24.0" customHeight="1"/>
    <row r="762" ht="24.0" customHeight="1"/>
    <row r="763" ht="24.0" customHeight="1"/>
    <row r="764" ht="24.0" customHeight="1"/>
    <row r="765" ht="24.0" customHeight="1"/>
    <row r="766" ht="24.0" customHeight="1"/>
    <row r="767" ht="24.0" customHeight="1"/>
    <row r="768" ht="24.0" customHeight="1"/>
    <row r="769" ht="24.0" customHeight="1"/>
    <row r="770" ht="24.0" customHeight="1"/>
    <row r="771" ht="24.0" customHeight="1"/>
    <row r="772" ht="24.0" customHeight="1"/>
    <row r="773" ht="24.0" customHeight="1"/>
    <row r="774" ht="24.0" customHeight="1"/>
    <row r="775" ht="24.0" customHeight="1"/>
    <row r="776" ht="24.0" customHeight="1"/>
    <row r="777" ht="24.0" customHeight="1"/>
    <row r="778" ht="24.0" customHeight="1"/>
    <row r="779" ht="24.0" customHeight="1"/>
    <row r="780" ht="24.0" customHeight="1"/>
    <row r="781" ht="24.0" customHeight="1"/>
    <row r="782" ht="24.0" customHeight="1"/>
    <row r="783" ht="24.0" customHeight="1"/>
    <row r="784" ht="24.0" customHeight="1"/>
    <row r="785" ht="24.0" customHeight="1"/>
    <row r="786" ht="24.0" customHeight="1"/>
    <row r="787" ht="24.0" customHeight="1"/>
    <row r="788" ht="24.0" customHeight="1"/>
    <row r="789" ht="24.0" customHeight="1"/>
    <row r="790" ht="24.0" customHeight="1"/>
    <row r="791" ht="24.0" customHeight="1"/>
    <row r="792" ht="24.0" customHeight="1"/>
    <row r="793" ht="24.0" customHeight="1"/>
    <row r="794" ht="24.0" customHeight="1"/>
    <row r="795" ht="24.0" customHeight="1"/>
    <row r="796" ht="24.0" customHeight="1"/>
    <row r="797" ht="24.0" customHeight="1"/>
    <row r="798" ht="24.0" customHeight="1"/>
    <row r="799" ht="24.0" customHeight="1"/>
    <row r="800" ht="24.0" customHeight="1"/>
    <row r="801" ht="24.0" customHeight="1"/>
    <row r="802" ht="24.0" customHeight="1"/>
    <row r="803" ht="24.0" customHeight="1"/>
    <row r="804" ht="24.0" customHeight="1"/>
    <row r="805" ht="24.0" customHeight="1"/>
    <row r="806" ht="24.0" customHeight="1"/>
    <row r="807" ht="24.0" customHeight="1"/>
    <row r="808" ht="24.0" customHeight="1"/>
    <row r="809" ht="24.0" customHeight="1"/>
    <row r="810" ht="24.0" customHeight="1"/>
    <row r="811" ht="24.0" customHeight="1"/>
    <row r="812" ht="24.0" customHeight="1"/>
    <row r="813" ht="24.0" customHeight="1"/>
    <row r="814" ht="24.0" customHeight="1"/>
    <row r="815" ht="24.0" customHeight="1"/>
    <row r="816" ht="24.0" customHeight="1"/>
    <row r="817" ht="24.0" customHeight="1"/>
    <row r="818" ht="24.0" customHeight="1"/>
    <row r="819" ht="24.0" customHeight="1"/>
    <row r="820" ht="24.0" customHeight="1"/>
    <row r="821" ht="24.0" customHeight="1"/>
    <row r="822" ht="24.0" customHeight="1"/>
    <row r="823" ht="24.0" customHeight="1"/>
    <row r="824" ht="24.0" customHeight="1"/>
    <row r="825" ht="24.0" customHeight="1"/>
    <row r="826" ht="24.0" customHeight="1"/>
    <row r="827" ht="24.0" customHeight="1"/>
    <row r="828" ht="24.0" customHeight="1"/>
    <row r="829" ht="24.0" customHeight="1"/>
    <row r="830" ht="24.0" customHeight="1"/>
    <row r="831" ht="24.0" customHeight="1"/>
    <row r="832" ht="24.0" customHeight="1"/>
    <row r="833" ht="24.0" customHeight="1"/>
    <row r="834" ht="24.0" customHeight="1"/>
    <row r="835" ht="24.0" customHeight="1"/>
    <row r="836" ht="24.0" customHeight="1"/>
    <row r="837" ht="24.0" customHeight="1"/>
    <row r="838" ht="24.0" customHeight="1"/>
    <row r="839" ht="24.0" customHeight="1"/>
    <row r="840" ht="24.0" customHeight="1"/>
    <row r="841" ht="24.0" customHeight="1"/>
    <row r="842" ht="24.0" customHeight="1"/>
    <row r="843" ht="24.0" customHeight="1"/>
    <row r="844" ht="24.0" customHeight="1"/>
    <row r="845" ht="24.0" customHeight="1"/>
    <row r="846" ht="24.0" customHeight="1"/>
    <row r="847" ht="24.0" customHeight="1"/>
    <row r="848" ht="24.0" customHeight="1"/>
    <row r="849" ht="24.0" customHeight="1"/>
    <row r="850" ht="24.0" customHeight="1"/>
    <row r="851" ht="24.0" customHeight="1"/>
    <row r="852" ht="24.0" customHeight="1"/>
    <row r="853" ht="24.0" customHeight="1"/>
    <row r="854" ht="24.0" customHeight="1"/>
    <row r="855" ht="24.0" customHeight="1"/>
    <row r="856" ht="24.0" customHeight="1"/>
    <row r="857" ht="24.0" customHeight="1"/>
    <row r="858" ht="24.0" customHeight="1"/>
    <row r="859" ht="24.0" customHeight="1"/>
    <row r="860" ht="24.0" customHeight="1"/>
    <row r="861" ht="24.0" customHeight="1"/>
    <row r="862" ht="24.0" customHeight="1"/>
    <row r="863" ht="24.0" customHeight="1"/>
    <row r="864" ht="24.0" customHeight="1"/>
    <row r="865" ht="24.0" customHeight="1"/>
    <row r="866" ht="24.0" customHeight="1"/>
    <row r="867" ht="24.0" customHeight="1"/>
    <row r="868" ht="24.0" customHeight="1"/>
    <row r="869" ht="24.0" customHeight="1"/>
    <row r="870" ht="24.0" customHeight="1"/>
    <row r="871" ht="24.0" customHeight="1"/>
    <row r="872" ht="24.0" customHeight="1"/>
    <row r="873" ht="24.0" customHeight="1"/>
    <row r="874" ht="24.0" customHeight="1"/>
    <row r="875" ht="24.0" customHeight="1"/>
    <row r="876" ht="24.0" customHeight="1"/>
    <row r="877" ht="24.0" customHeight="1"/>
    <row r="878" ht="24.0" customHeight="1"/>
    <row r="879" ht="24.0" customHeight="1"/>
    <row r="880" ht="24.0" customHeight="1"/>
    <row r="881" ht="24.0" customHeight="1"/>
    <row r="882" ht="24.0" customHeight="1"/>
    <row r="883" ht="24.0" customHeight="1"/>
    <row r="884" ht="24.0" customHeight="1"/>
    <row r="885" ht="24.0" customHeight="1"/>
    <row r="886" ht="24.0" customHeight="1"/>
    <row r="887" ht="24.0" customHeight="1"/>
    <row r="888" ht="24.0" customHeight="1"/>
    <row r="889" ht="24.0" customHeight="1"/>
    <row r="890" ht="24.0" customHeight="1"/>
    <row r="891" ht="24.0" customHeight="1"/>
    <row r="892" ht="24.0" customHeight="1"/>
    <row r="893" ht="24.0" customHeight="1"/>
    <row r="894" ht="24.0" customHeight="1"/>
    <row r="895" ht="24.0" customHeight="1"/>
    <row r="896" ht="24.0" customHeight="1"/>
    <row r="897" ht="24.0" customHeight="1"/>
    <row r="898" ht="24.0" customHeight="1"/>
    <row r="899" ht="24.0" customHeight="1"/>
    <row r="900" ht="24.0" customHeight="1"/>
    <row r="901" ht="24.0" customHeight="1"/>
    <row r="902" ht="24.0" customHeight="1"/>
    <row r="903" ht="24.0" customHeight="1"/>
    <row r="904" ht="24.0" customHeight="1"/>
    <row r="905" ht="24.0" customHeight="1"/>
    <row r="906" ht="24.0" customHeight="1"/>
    <row r="907" ht="24.0" customHeight="1"/>
    <row r="908" ht="24.0" customHeight="1"/>
    <row r="909" ht="24.0" customHeight="1"/>
    <row r="910" ht="24.0" customHeight="1"/>
    <row r="911" ht="24.0" customHeight="1"/>
    <row r="912" ht="24.0" customHeight="1"/>
    <row r="913" ht="24.0" customHeight="1"/>
    <row r="914" ht="24.0" customHeight="1"/>
    <row r="915" ht="24.0" customHeight="1"/>
    <row r="916" ht="24.0" customHeight="1"/>
    <row r="917" ht="24.0" customHeight="1"/>
    <row r="918" ht="24.0" customHeight="1"/>
    <row r="919" ht="24.0" customHeight="1"/>
    <row r="920" ht="24.0" customHeight="1"/>
    <row r="921" ht="24.0" customHeight="1"/>
    <row r="922" ht="24.0" customHeight="1"/>
    <row r="923" ht="24.0" customHeight="1"/>
    <row r="924" ht="24.0" customHeight="1"/>
    <row r="925" ht="24.0" customHeight="1"/>
    <row r="926" ht="24.0" customHeight="1"/>
    <row r="927" ht="24.0" customHeight="1"/>
    <row r="928" ht="24.0" customHeight="1"/>
    <row r="929" ht="24.0" customHeight="1"/>
    <row r="930" ht="24.0" customHeight="1"/>
    <row r="931" ht="24.0" customHeight="1"/>
    <row r="932" ht="24.0" customHeight="1"/>
    <row r="933" ht="24.0" customHeight="1"/>
    <row r="934" ht="24.0" customHeight="1"/>
    <row r="935" ht="24.0" customHeight="1"/>
    <row r="936" ht="24.0" customHeight="1"/>
    <row r="937" ht="24.0" customHeight="1"/>
    <row r="938" ht="24.0" customHeight="1"/>
    <row r="939" ht="24.0" customHeight="1"/>
    <row r="940" ht="24.0" customHeight="1"/>
    <row r="941" ht="24.0" customHeight="1"/>
    <row r="942" ht="24.0" customHeight="1"/>
    <row r="943" ht="24.0" customHeight="1"/>
    <row r="944" ht="24.0" customHeight="1"/>
    <row r="945" ht="24.0" customHeight="1"/>
    <row r="946" ht="24.0" customHeight="1"/>
    <row r="947" ht="24.0" customHeight="1"/>
    <row r="948" ht="24.0" customHeight="1"/>
    <row r="949" ht="24.0" customHeight="1"/>
    <row r="950" ht="24.0" customHeight="1"/>
    <row r="951" ht="24.0" customHeight="1"/>
    <row r="952" ht="24.0" customHeight="1"/>
    <row r="953" ht="24.0" customHeight="1"/>
    <row r="954" ht="24.0" customHeight="1"/>
    <row r="955" ht="24.0" customHeight="1"/>
    <row r="956" ht="24.0" customHeight="1"/>
    <row r="957" ht="24.0" customHeight="1"/>
    <row r="958" ht="24.0" customHeight="1"/>
    <row r="959" ht="24.0" customHeight="1"/>
    <row r="960" ht="24.0" customHeight="1"/>
    <row r="961" ht="24.0" customHeight="1"/>
    <row r="962" ht="24.0" customHeight="1"/>
    <row r="963" ht="24.0" customHeight="1"/>
    <row r="964" ht="24.0" customHeight="1"/>
    <row r="965" ht="24.0" customHeight="1"/>
    <row r="966" ht="24.0" customHeight="1"/>
    <row r="967" ht="24.0" customHeight="1"/>
    <row r="968" ht="24.0" customHeight="1"/>
    <row r="969" ht="24.0" customHeight="1"/>
    <row r="970" ht="24.0" customHeight="1"/>
    <row r="971" ht="24.0" customHeight="1"/>
    <row r="972" ht="24.0" customHeight="1"/>
    <row r="973" ht="24.0" customHeight="1"/>
    <row r="974" ht="24.0" customHeight="1"/>
    <row r="975" ht="24.0" customHeight="1"/>
    <row r="976" ht="24.0" customHeight="1"/>
    <row r="977" ht="24.0" customHeight="1"/>
    <row r="978" ht="24.0" customHeight="1"/>
    <row r="979" ht="24.0" customHeight="1"/>
    <row r="980" ht="24.0" customHeight="1"/>
    <row r="981" ht="24.0" customHeight="1"/>
    <row r="982" ht="24.0" customHeight="1"/>
    <row r="983" ht="24.0" customHeight="1"/>
    <row r="984" ht="24.0" customHeight="1"/>
    <row r="985" ht="24.0" customHeight="1"/>
    <row r="986" ht="24.0" customHeight="1"/>
    <row r="987" ht="24.0" customHeight="1"/>
    <row r="988" ht="24.0" customHeight="1"/>
    <row r="989" ht="24.0" customHeight="1"/>
    <row r="990" ht="24.0" customHeight="1"/>
    <row r="991" ht="24.0" customHeight="1"/>
    <row r="992" ht="24.0" customHeight="1"/>
    <row r="993" ht="24.0" customHeight="1"/>
    <row r="994" ht="24.0" customHeight="1"/>
    <row r="995" ht="24.0" customHeight="1"/>
    <row r="996" ht="24.0" customHeight="1"/>
    <row r="997" ht="24.0" customHeight="1"/>
    <row r="998" ht="24.0" customHeight="1"/>
    <row r="999" ht="24.0" customHeight="1"/>
    <row r="1000" ht="24.0" customHeight="1"/>
  </sheetData>
  <mergeCells count="2">
    <mergeCell ref="B1:F1"/>
    <mergeCell ref="B7:E7"/>
  </mergeCells>
  <conditionalFormatting sqref="E4">
    <cfRule type="expression" dxfId="0" priority="1">
      <formula>AND(ISNUMBER(E4),ROUND(E4,2)=INT(ROUND(E4,2)))</formula>
    </cfRule>
  </conditionalFormatting>
  <conditionalFormatting sqref="E4">
    <cfRule type="expression" dxfId="1" priority="2">
      <formula>AND(ISNUMBER(E4),ROUND(E4,2)&lt;&gt;INT(ROUND(E4,2)))</formula>
    </cfRule>
  </conditionalFormatting>
  <conditionalFormatting sqref="F4">
    <cfRule type="expression" dxfId="0" priority="3">
      <formula>AND(ISNUMBER(F4),ROUND(F4,2)=INT(ROUND(F4,2)))</formula>
    </cfRule>
  </conditionalFormatting>
  <conditionalFormatting sqref="F4">
    <cfRule type="expression" dxfId="1" priority="4">
      <formula>AND(ISNUMBER(F4),ROUND(F4,2)&lt;&gt;INT(ROUND(F4,2)))</formula>
    </cfRule>
  </conditionalFormatting>
  <conditionalFormatting sqref="F7">
    <cfRule type="expression" dxfId="0" priority="5">
      <formula>AND(ISNUMBER(F7),ROUND(F7,2)=INT(ROUND(F7,2)))</formula>
    </cfRule>
  </conditionalFormatting>
  <conditionalFormatting sqref="F7">
    <cfRule type="expression" dxfId="1" priority="6">
      <formula>AND(ISNUMBER(F7),ROUND(F7,2)&lt;&gt;INT(ROUND(F7,2)))</formula>
    </cfRule>
  </conditionalFormatting>
  <dataValidations>
    <dataValidation type="decimal" operator="greaterThanOrEqual" allowBlank="1" showInputMessage="1" showErrorMessage="1" prompt="יש להזין מספר לא שלילי" sqref="D4">
      <formula1>0.0</formula1>
    </dataValidation>
    <dataValidation type="custom" allowBlank="1" showInputMessage="1" showErrorMessage="1" prompt="מספר לא שלילי, כלול או לא רלוונטי בלבד" sqref="E4">
      <formula1>OR(ISBLANK(E4),AND(ISNUMBER(E4),E4&gt;=0),E4="כלול",E4="לא רלוונטי")</formula1>
    </dataValidation>
  </dataValidations>
  <printOptions/>
  <pageMargins bottom="0.75" footer="0.0" header="0.0" left="0.25" right="0.25" top="0.75"/>
  <pageSetup fitToHeight="0" paperSize="9" orientation="portrait"/>
  <headerFooter>
    <oddFooter>&amp;Cעמוד &amp;P</oddFooter>
  </headerFooter>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rightToLeft="1" workbookViewId="0"/>
  </sheetViews>
  <sheetFormatPr customHeight="1" defaultColWidth="14.43" defaultRowHeight="15.0"/>
  <cols>
    <col customWidth="1" min="1" max="1" width="7.29"/>
    <col customWidth="1" min="2" max="2" width="66.29"/>
    <col customWidth="1" min="3" max="6" width="8.14"/>
    <col customWidth="1" hidden="1" min="7" max="7" width="36.0"/>
    <col customWidth="1" hidden="1" min="8" max="8" width="12.0"/>
    <col customWidth="1" min="9" max="26" width="8.71"/>
  </cols>
  <sheetData>
    <row r="1" ht="31.5" customHeight="1">
      <c r="A1" s="10"/>
      <c r="B1" s="3" t="s">
        <v>83</v>
      </c>
      <c r="G1" s="2" t="s">
        <v>82</v>
      </c>
      <c r="H1" s="2" t="s">
        <v>53</v>
      </c>
    </row>
    <row r="2" ht="31.5" customHeight="1">
      <c r="A2" s="16" t="s">
        <v>59</v>
      </c>
      <c r="B2" s="17" t="s">
        <v>67</v>
      </c>
      <c r="C2" s="16" t="s">
        <v>72</v>
      </c>
      <c r="D2" s="16" t="s">
        <v>76</v>
      </c>
      <c r="E2" s="16" t="s">
        <v>79</v>
      </c>
      <c r="F2" s="16" t="s">
        <v>81</v>
      </c>
      <c r="G2" s="2"/>
      <c r="H2" s="2" t="s">
        <v>84</v>
      </c>
    </row>
    <row r="3" ht="63.75" customHeight="1">
      <c r="A3" s="19"/>
      <c r="B3" s="20" t="s">
        <v>343</v>
      </c>
      <c r="C3" s="19"/>
      <c r="D3" s="19"/>
      <c r="E3" s="19"/>
      <c r="F3" s="19"/>
      <c r="G3" s="12" t="s">
        <v>344</v>
      </c>
      <c r="H3" s="12" t="s">
        <v>105</v>
      </c>
    </row>
    <row r="4" ht="63.75" customHeight="1">
      <c r="A4" s="19"/>
      <c r="B4" s="20" t="s">
        <v>345</v>
      </c>
      <c r="C4" s="19" t="s">
        <v>146</v>
      </c>
      <c r="D4" s="19"/>
      <c r="E4" s="22"/>
      <c r="F4" s="22" t="str">
        <f>IF(ISBLANK(D4),"",IF(NOT(ISNUMBER(D4)),"קלט לא תקין",IF(D4&lt;0,"קלט לא תקין",IF(ISBLANK(E4),"",IF(OR(E4="כלול",E4="לא רלוונטי"),0,IF(NOT(ISNUMBER(E4)),"קלט לא תקין",IF(E4&lt;0,"קלט לא תקין",ROUND(D4*E4,2))))))))</f>
        <v/>
      </c>
      <c r="G4" s="12" t="s">
        <v>348</v>
      </c>
      <c r="H4" s="12" t="s">
        <v>113</v>
      </c>
    </row>
    <row r="5" ht="399.75" customHeight="1">
      <c r="A5" s="19"/>
      <c r="B5" s="20"/>
      <c r="C5" s="19"/>
      <c r="D5" s="19"/>
      <c r="E5" s="19"/>
      <c r="F5" s="19"/>
      <c r="G5" s="12"/>
      <c r="H5" s="12" t="s">
        <v>86</v>
      </c>
    </row>
    <row r="6" ht="95.25" customHeight="1">
      <c r="A6" s="19"/>
      <c r="B6" s="20"/>
      <c r="C6" s="19"/>
      <c r="D6" s="19"/>
      <c r="E6" s="19"/>
      <c r="F6" s="19"/>
      <c r="G6" s="12"/>
      <c r="H6" s="12" t="s">
        <v>86</v>
      </c>
    </row>
    <row r="7" ht="31.5" customHeight="1">
      <c r="A7" s="6"/>
      <c r="B7" s="7" t="s">
        <v>130</v>
      </c>
      <c r="C7" s="8"/>
      <c r="D7" s="8"/>
      <c r="E7" s="9"/>
      <c r="F7" s="23">
        <f>SUM(F4)</f>
        <v>0</v>
      </c>
      <c r="G7" s="12"/>
      <c r="H7" s="12" t="s">
        <v>136</v>
      </c>
    </row>
    <row r="8" ht="24.0" customHeight="1"/>
    <row r="9" ht="24.0" customHeight="1"/>
    <row r="10" ht="24.0" customHeight="1"/>
    <row r="11" ht="24.0" customHeight="1"/>
    <row r="12" ht="24.0" customHeight="1"/>
    <row r="13" ht="24.0" customHeight="1"/>
    <row r="14" ht="24.0" customHeight="1"/>
    <row r="15" ht="24.0" customHeight="1"/>
    <row r="16" ht="24.0" customHeight="1"/>
    <row r="17" ht="24.0" customHeight="1"/>
    <row r="18" ht="24.0" customHeight="1"/>
    <row r="19" ht="24.0" customHeight="1"/>
    <row r="20" ht="24.0" customHeight="1"/>
    <row r="21" ht="24.0" customHeight="1"/>
    <row r="22" ht="24.0" customHeight="1"/>
    <row r="23" ht="24.0" customHeight="1"/>
    <row r="24" ht="24.0" customHeight="1"/>
    <row r="25" ht="24.0" customHeight="1"/>
    <row r="26" ht="24.0" customHeight="1"/>
    <row r="27" ht="24.0" customHeight="1"/>
    <row r="28" ht="24.0" customHeight="1"/>
    <row r="29" ht="24.0" customHeight="1"/>
    <row r="30" ht="24.0" customHeight="1"/>
    <row r="31" ht="24.0" customHeight="1"/>
    <row r="32" ht="24.0" customHeight="1"/>
    <row r="33" ht="24.0" customHeight="1"/>
    <row r="34" ht="24.0" customHeight="1"/>
    <row r="35" ht="24.0" customHeight="1"/>
    <row r="36" ht="24.0" customHeight="1"/>
    <row r="37" ht="24.0" customHeight="1"/>
    <row r="38" ht="24.0" customHeight="1"/>
    <row r="39" ht="24.0" customHeight="1"/>
    <row r="40" ht="24.0" customHeight="1"/>
    <row r="41" ht="24.0" customHeight="1"/>
    <row r="42" ht="24.0" customHeight="1"/>
    <row r="43" ht="24.0" customHeight="1"/>
    <row r="44" ht="24.0" customHeight="1"/>
    <row r="45" ht="24.0" customHeight="1"/>
    <row r="46" ht="24.0" customHeight="1"/>
    <row r="47" ht="24.0" customHeight="1"/>
    <row r="48" ht="24.0" customHeight="1"/>
    <row r="49" ht="24.0" customHeight="1"/>
    <row r="50" ht="24.0" customHeight="1"/>
    <row r="51" ht="24.0" customHeight="1"/>
    <row r="52" ht="24.0" customHeight="1"/>
    <row r="53" ht="24.0" customHeight="1"/>
    <row r="54" ht="24.0" customHeight="1"/>
    <row r="55" ht="24.0" customHeight="1"/>
    <row r="56" ht="24.0" customHeight="1"/>
    <row r="57" ht="24.0" customHeight="1"/>
    <row r="58" ht="24.0" customHeight="1"/>
    <row r="59" ht="24.0" customHeight="1"/>
    <row r="60" ht="24.0" customHeight="1"/>
    <row r="61" ht="24.0" customHeight="1"/>
    <row r="62" ht="24.0" customHeight="1"/>
    <row r="63" ht="24.0" customHeight="1"/>
    <row r="64" ht="24.0" customHeight="1"/>
    <row r="65" ht="24.0" customHeight="1"/>
    <row r="66" ht="24.0" customHeight="1"/>
    <row r="67" ht="24.0" customHeight="1"/>
    <row r="68" ht="24.0" customHeight="1"/>
    <row r="69" ht="24.0" customHeight="1"/>
    <row r="70" ht="24.0" customHeight="1"/>
    <row r="71" ht="24.0" customHeight="1"/>
    <row r="72" ht="24.0" customHeight="1"/>
    <row r="73" ht="24.0" customHeight="1"/>
    <row r="74" ht="24.0" customHeight="1"/>
    <row r="75" ht="24.0" customHeight="1"/>
    <row r="76" ht="24.0" customHeight="1"/>
    <row r="77" ht="24.0" customHeight="1"/>
    <row r="78" ht="24.0" customHeight="1"/>
    <row r="79" ht="24.0" customHeight="1"/>
    <row r="80" ht="24.0" customHeight="1"/>
    <row r="81" ht="24.0" customHeight="1"/>
    <row r="82" ht="24.0" customHeight="1"/>
    <row r="83" ht="24.0" customHeight="1"/>
    <row r="84" ht="24.0" customHeight="1"/>
    <row r="85" ht="24.0" customHeight="1"/>
    <row r="86" ht="24.0" customHeight="1"/>
    <row r="87" ht="24.0" customHeight="1"/>
    <row r="88" ht="24.0" customHeight="1"/>
    <row r="89" ht="24.0" customHeight="1"/>
    <row r="90" ht="24.0" customHeight="1"/>
    <row r="91" ht="24.0" customHeight="1"/>
    <row r="92" ht="24.0" customHeight="1"/>
    <row r="93" ht="24.0" customHeight="1"/>
    <row r="94" ht="24.0" customHeight="1"/>
    <row r="95" ht="24.0" customHeight="1"/>
    <row r="96" ht="24.0" customHeight="1"/>
    <row r="97" ht="24.0" customHeight="1"/>
    <row r="98" ht="24.0" customHeight="1"/>
    <row r="99" ht="24.0" customHeight="1"/>
    <row r="100" ht="24.0" customHeight="1"/>
    <row r="101" ht="24.0" customHeight="1"/>
    <row r="102" ht="24.0" customHeight="1"/>
    <row r="103" ht="24.0" customHeight="1"/>
    <row r="104" ht="24.0" customHeight="1"/>
    <row r="105" ht="24.0" customHeight="1"/>
    <row r="106" ht="24.0" customHeight="1"/>
    <row r="107" ht="24.0" customHeight="1"/>
    <row r="108" ht="24.0" customHeight="1"/>
    <row r="109" ht="24.0" customHeight="1"/>
    <row r="110" ht="24.0" customHeight="1"/>
    <row r="111" ht="24.0" customHeight="1"/>
    <row r="112" ht="24.0" customHeight="1"/>
    <row r="113" ht="24.0" customHeight="1"/>
    <row r="114" ht="24.0" customHeight="1"/>
    <row r="115" ht="24.0" customHeight="1"/>
    <row r="116" ht="24.0" customHeight="1"/>
    <row r="117" ht="24.0" customHeight="1"/>
    <row r="118" ht="24.0" customHeight="1"/>
    <row r="119" ht="24.0" customHeight="1"/>
    <row r="120" ht="24.0" customHeight="1"/>
    <row r="121" ht="24.0" customHeight="1"/>
    <row r="122" ht="24.0" customHeight="1"/>
    <row r="123" ht="24.0" customHeight="1"/>
    <row r="124" ht="24.0" customHeight="1"/>
    <row r="125" ht="24.0" customHeight="1"/>
    <row r="126" ht="24.0" customHeight="1"/>
    <row r="127" ht="24.0" customHeight="1"/>
    <row r="128" ht="24.0" customHeight="1"/>
    <row r="129" ht="24.0" customHeight="1"/>
    <row r="130" ht="24.0" customHeight="1"/>
    <row r="131" ht="24.0" customHeight="1"/>
    <row r="132" ht="24.0" customHeight="1"/>
    <row r="133" ht="24.0" customHeight="1"/>
    <row r="134" ht="24.0" customHeight="1"/>
    <row r="135" ht="24.0" customHeight="1"/>
    <row r="136" ht="24.0" customHeight="1"/>
    <row r="137" ht="24.0" customHeight="1"/>
    <row r="138" ht="24.0" customHeight="1"/>
    <row r="139" ht="24.0" customHeight="1"/>
    <row r="140" ht="24.0" customHeight="1"/>
    <row r="141" ht="24.0" customHeight="1"/>
    <row r="142" ht="24.0" customHeight="1"/>
    <row r="143" ht="24.0" customHeight="1"/>
    <row r="144" ht="24.0" customHeight="1"/>
    <row r="145" ht="24.0" customHeight="1"/>
    <row r="146" ht="24.0" customHeight="1"/>
    <row r="147" ht="24.0" customHeight="1"/>
    <row r="148" ht="24.0" customHeight="1"/>
    <row r="149" ht="24.0" customHeight="1"/>
    <row r="150" ht="24.0" customHeight="1"/>
    <row r="151" ht="24.0" customHeight="1"/>
    <row r="152" ht="24.0" customHeight="1"/>
    <row r="153" ht="24.0" customHeight="1"/>
    <row r="154" ht="24.0" customHeight="1"/>
    <row r="155" ht="24.0" customHeight="1"/>
    <row r="156" ht="24.0" customHeight="1"/>
    <row r="157" ht="24.0" customHeight="1"/>
    <row r="158" ht="24.0" customHeight="1"/>
    <row r="159" ht="24.0" customHeight="1"/>
    <row r="160" ht="24.0" customHeight="1"/>
    <row r="161" ht="24.0" customHeight="1"/>
    <row r="162" ht="24.0" customHeight="1"/>
    <row r="163" ht="24.0" customHeight="1"/>
    <row r="164" ht="24.0" customHeight="1"/>
    <row r="165" ht="24.0" customHeight="1"/>
    <row r="166" ht="24.0" customHeight="1"/>
    <row r="167" ht="24.0" customHeight="1"/>
    <row r="168" ht="24.0" customHeight="1"/>
    <row r="169" ht="24.0" customHeight="1"/>
    <row r="170" ht="24.0" customHeight="1"/>
    <row r="171" ht="24.0" customHeight="1"/>
    <row r="172" ht="24.0" customHeight="1"/>
    <row r="173" ht="24.0" customHeight="1"/>
    <row r="174" ht="24.0" customHeight="1"/>
    <row r="175" ht="24.0" customHeight="1"/>
    <row r="176" ht="24.0" customHeight="1"/>
    <row r="177" ht="24.0" customHeight="1"/>
    <row r="178" ht="24.0" customHeight="1"/>
    <row r="179" ht="24.0" customHeight="1"/>
    <row r="180" ht="24.0" customHeight="1"/>
    <row r="181" ht="24.0" customHeight="1"/>
    <row r="182" ht="24.0" customHeight="1"/>
    <row r="183" ht="24.0" customHeight="1"/>
    <row r="184" ht="24.0" customHeight="1"/>
    <row r="185" ht="24.0" customHeight="1"/>
    <row r="186" ht="24.0" customHeight="1"/>
    <row r="187" ht="24.0" customHeight="1"/>
    <row r="188" ht="24.0" customHeight="1"/>
    <row r="189" ht="24.0" customHeight="1"/>
    <row r="190" ht="24.0" customHeight="1"/>
    <row r="191" ht="24.0" customHeight="1"/>
    <row r="192" ht="24.0" customHeight="1"/>
    <row r="193" ht="24.0" customHeight="1"/>
    <row r="194" ht="24.0" customHeight="1"/>
    <row r="195" ht="24.0" customHeight="1"/>
    <row r="196" ht="24.0" customHeight="1"/>
    <row r="197" ht="24.0" customHeight="1"/>
    <row r="198" ht="24.0" customHeight="1"/>
    <row r="199" ht="24.0" customHeight="1"/>
    <row r="200" ht="24.0" customHeight="1"/>
    <row r="201" ht="24.0" customHeight="1"/>
    <row r="202" ht="24.0" customHeight="1"/>
    <row r="203" ht="24.0" customHeight="1"/>
    <row r="204" ht="24.0" customHeight="1"/>
    <row r="205" ht="24.0" customHeight="1"/>
    <row r="206" ht="24.0" customHeight="1"/>
    <row r="207" ht="24.0" customHeight="1"/>
    <row r="208" ht="24.0" customHeight="1"/>
    <row r="209" ht="24.0" customHeight="1"/>
    <row r="210" ht="24.0" customHeight="1"/>
    <row r="211" ht="24.0" customHeight="1"/>
    <row r="212" ht="24.0" customHeight="1"/>
    <row r="213" ht="24.0" customHeight="1"/>
    <row r="214" ht="24.0" customHeight="1"/>
    <row r="215" ht="24.0" customHeight="1"/>
    <row r="216" ht="24.0" customHeight="1"/>
    <row r="217" ht="24.0" customHeight="1"/>
    <row r="218" ht="24.0" customHeight="1"/>
    <row r="219" ht="24.0" customHeight="1"/>
    <row r="220" ht="24.0" customHeight="1"/>
    <row r="221" ht="24.0" customHeight="1"/>
    <row r="222" ht="24.0" customHeight="1"/>
    <row r="223" ht="24.0" customHeight="1"/>
    <row r="224" ht="24.0" customHeight="1"/>
    <row r="225" ht="24.0" customHeight="1"/>
    <row r="226" ht="24.0" customHeight="1"/>
    <row r="227" ht="24.0" customHeight="1"/>
    <row r="228" ht="24.0" customHeight="1"/>
    <row r="229" ht="24.0" customHeight="1"/>
    <row r="230" ht="24.0" customHeight="1"/>
    <row r="231" ht="24.0" customHeight="1"/>
    <row r="232" ht="24.0" customHeight="1"/>
    <row r="233" ht="24.0" customHeight="1"/>
    <row r="234" ht="24.0" customHeight="1"/>
    <row r="235" ht="24.0" customHeight="1"/>
    <row r="236" ht="24.0" customHeight="1"/>
    <row r="237" ht="24.0" customHeight="1"/>
    <row r="238" ht="24.0" customHeight="1"/>
    <row r="239" ht="24.0" customHeight="1"/>
    <row r="240" ht="24.0" customHeight="1"/>
    <row r="241" ht="24.0" customHeight="1"/>
    <row r="242" ht="24.0" customHeight="1"/>
    <row r="243" ht="24.0" customHeight="1"/>
    <row r="244" ht="24.0" customHeight="1"/>
    <row r="245" ht="24.0" customHeight="1"/>
    <row r="246" ht="24.0" customHeight="1"/>
    <row r="247" ht="24.0" customHeight="1"/>
    <row r="248" ht="24.0" customHeight="1"/>
    <row r="249" ht="24.0" customHeight="1"/>
    <row r="250" ht="24.0" customHeight="1"/>
    <row r="251" ht="24.0" customHeight="1"/>
    <row r="252" ht="24.0" customHeight="1"/>
    <row r="253" ht="24.0" customHeight="1"/>
    <row r="254" ht="24.0" customHeight="1"/>
    <row r="255" ht="24.0" customHeight="1"/>
    <row r="256" ht="24.0" customHeight="1"/>
    <row r="257" ht="24.0" customHeight="1"/>
    <row r="258" ht="24.0" customHeight="1"/>
    <row r="259" ht="24.0" customHeight="1"/>
    <row r="260" ht="24.0" customHeight="1"/>
    <row r="261" ht="24.0" customHeight="1"/>
    <row r="262" ht="24.0" customHeight="1"/>
    <row r="263" ht="24.0" customHeight="1"/>
    <row r="264" ht="24.0" customHeight="1"/>
    <row r="265" ht="24.0" customHeight="1"/>
    <row r="266" ht="24.0" customHeight="1"/>
    <row r="267" ht="24.0" customHeight="1"/>
    <row r="268" ht="24.0" customHeight="1"/>
    <row r="269" ht="24.0" customHeight="1"/>
    <row r="270" ht="24.0" customHeight="1"/>
    <row r="271" ht="24.0" customHeight="1"/>
    <row r="272" ht="24.0" customHeight="1"/>
    <row r="273" ht="24.0" customHeight="1"/>
    <row r="274" ht="24.0" customHeight="1"/>
    <row r="275" ht="24.0" customHeight="1"/>
    <row r="276" ht="24.0" customHeight="1"/>
    <row r="277" ht="24.0" customHeight="1"/>
    <row r="278" ht="24.0" customHeight="1"/>
    <row r="279" ht="24.0" customHeight="1"/>
    <row r="280" ht="24.0" customHeight="1"/>
    <row r="281" ht="24.0" customHeight="1"/>
    <row r="282" ht="24.0" customHeight="1"/>
    <row r="283" ht="24.0" customHeight="1"/>
    <row r="284" ht="24.0" customHeight="1"/>
    <row r="285" ht="24.0" customHeight="1"/>
    <row r="286" ht="24.0" customHeight="1"/>
    <row r="287" ht="24.0" customHeight="1"/>
    <row r="288" ht="24.0" customHeight="1"/>
    <row r="289" ht="24.0" customHeight="1"/>
    <row r="290" ht="24.0" customHeight="1"/>
    <row r="291" ht="24.0" customHeight="1"/>
    <row r="292" ht="24.0" customHeight="1"/>
    <row r="293" ht="24.0" customHeight="1"/>
    <row r="294" ht="24.0" customHeight="1"/>
    <row r="295" ht="24.0" customHeight="1"/>
    <row r="296" ht="24.0" customHeight="1"/>
    <row r="297" ht="24.0" customHeight="1"/>
    <row r="298" ht="24.0" customHeight="1"/>
    <row r="299" ht="24.0" customHeight="1"/>
    <row r="300" ht="24.0" customHeight="1"/>
    <row r="301" ht="24.0" customHeight="1"/>
    <row r="302" ht="24.0" customHeight="1"/>
    <row r="303" ht="24.0" customHeight="1"/>
    <row r="304" ht="24.0" customHeight="1"/>
    <row r="305" ht="24.0" customHeight="1"/>
    <row r="306" ht="24.0" customHeight="1"/>
    <row r="307" ht="24.0" customHeight="1"/>
    <row r="308" ht="24.0" customHeight="1"/>
    <row r="309" ht="24.0" customHeight="1"/>
    <row r="310" ht="24.0" customHeight="1"/>
    <row r="311" ht="24.0" customHeight="1"/>
    <row r="312" ht="24.0" customHeight="1"/>
    <row r="313" ht="24.0" customHeight="1"/>
    <row r="314" ht="24.0" customHeight="1"/>
    <row r="315" ht="24.0" customHeight="1"/>
    <row r="316" ht="24.0" customHeight="1"/>
    <row r="317" ht="24.0" customHeight="1"/>
    <row r="318" ht="24.0" customHeight="1"/>
    <row r="319" ht="24.0" customHeight="1"/>
    <row r="320" ht="24.0" customHeight="1"/>
    <row r="321" ht="24.0" customHeight="1"/>
    <row r="322" ht="24.0" customHeight="1"/>
    <row r="323" ht="24.0" customHeight="1"/>
    <row r="324" ht="24.0" customHeight="1"/>
    <row r="325" ht="24.0" customHeight="1"/>
    <row r="326" ht="24.0" customHeight="1"/>
    <row r="327" ht="24.0" customHeight="1"/>
    <row r="328" ht="24.0" customHeight="1"/>
    <row r="329" ht="24.0" customHeight="1"/>
    <row r="330" ht="24.0" customHeight="1"/>
    <row r="331" ht="24.0" customHeight="1"/>
    <row r="332" ht="24.0" customHeight="1"/>
    <row r="333" ht="24.0" customHeight="1"/>
    <row r="334" ht="24.0" customHeight="1"/>
    <row r="335" ht="24.0" customHeight="1"/>
    <row r="336" ht="24.0" customHeight="1"/>
    <row r="337" ht="24.0" customHeight="1"/>
    <row r="338" ht="24.0" customHeight="1"/>
    <row r="339" ht="24.0" customHeight="1"/>
    <row r="340" ht="24.0" customHeight="1"/>
    <row r="341" ht="24.0" customHeight="1"/>
    <row r="342" ht="24.0" customHeight="1"/>
    <row r="343" ht="24.0" customHeight="1"/>
    <row r="344" ht="24.0" customHeight="1"/>
    <row r="345" ht="24.0" customHeight="1"/>
    <row r="346" ht="24.0" customHeight="1"/>
    <row r="347" ht="24.0" customHeight="1"/>
    <row r="348" ht="24.0" customHeight="1"/>
    <row r="349" ht="24.0" customHeight="1"/>
    <row r="350" ht="24.0" customHeight="1"/>
    <row r="351" ht="24.0" customHeight="1"/>
    <row r="352" ht="24.0" customHeight="1"/>
    <row r="353" ht="24.0" customHeight="1"/>
    <row r="354" ht="24.0" customHeight="1"/>
    <row r="355" ht="24.0" customHeight="1"/>
    <row r="356" ht="24.0" customHeight="1"/>
    <row r="357" ht="24.0" customHeight="1"/>
    <row r="358" ht="24.0" customHeight="1"/>
    <row r="359" ht="24.0" customHeight="1"/>
    <row r="360" ht="24.0" customHeight="1"/>
    <row r="361" ht="24.0" customHeight="1"/>
    <row r="362" ht="24.0" customHeight="1"/>
    <row r="363" ht="24.0" customHeight="1"/>
    <row r="364" ht="24.0" customHeight="1"/>
    <row r="365" ht="24.0" customHeight="1"/>
    <row r="366" ht="24.0" customHeight="1"/>
    <row r="367" ht="24.0" customHeight="1"/>
    <row r="368" ht="24.0" customHeight="1"/>
    <row r="369" ht="24.0" customHeight="1"/>
    <row r="370" ht="24.0" customHeight="1"/>
    <row r="371" ht="24.0" customHeight="1"/>
    <row r="372" ht="24.0" customHeight="1"/>
    <row r="373" ht="24.0" customHeight="1"/>
    <row r="374" ht="24.0" customHeight="1"/>
    <row r="375" ht="24.0" customHeight="1"/>
    <row r="376" ht="24.0" customHeight="1"/>
    <row r="377" ht="24.0" customHeight="1"/>
    <row r="378" ht="24.0" customHeight="1"/>
    <row r="379" ht="24.0" customHeight="1"/>
    <row r="380" ht="24.0" customHeight="1"/>
    <row r="381" ht="24.0" customHeight="1"/>
    <row r="382" ht="24.0" customHeight="1"/>
    <row r="383" ht="24.0" customHeight="1"/>
    <row r="384" ht="24.0" customHeight="1"/>
    <row r="385" ht="24.0" customHeight="1"/>
    <row r="386" ht="24.0" customHeight="1"/>
    <row r="387" ht="24.0" customHeight="1"/>
    <row r="388" ht="24.0" customHeight="1"/>
    <row r="389" ht="24.0" customHeight="1"/>
    <row r="390" ht="24.0" customHeight="1"/>
    <row r="391" ht="24.0" customHeight="1"/>
    <row r="392" ht="24.0" customHeight="1"/>
    <row r="393" ht="24.0" customHeight="1"/>
    <row r="394" ht="24.0" customHeight="1"/>
    <row r="395" ht="24.0" customHeight="1"/>
    <row r="396" ht="24.0" customHeight="1"/>
    <row r="397" ht="24.0" customHeight="1"/>
    <row r="398" ht="24.0" customHeight="1"/>
    <row r="399" ht="24.0" customHeight="1"/>
    <row r="400" ht="24.0" customHeight="1"/>
    <row r="401" ht="24.0" customHeight="1"/>
    <row r="402" ht="24.0" customHeight="1"/>
    <row r="403" ht="24.0" customHeight="1"/>
    <row r="404" ht="24.0" customHeight="1"/>
    <row r="405" ht="24.0" customHeight="1"/>
    <row r="406" ht="24.0" customHeight="1"/>
    <row r="407" ht="24.0" customHeight="1"/>
    <row r="408" ht="24.0" customHeight="1"/>
    <row r="409" ht="24.0" customHeight="1"/>
    <row r="410" ht="24.0" customHeight="1"/>
    <row r="411" ht="24.0" customHeight="1"/>
    <row r="412" ht="24.0" customHeight="1"/>
    <row r="413" ht="24.0" customHeight="1"/>
    <row r="414" ht="24.0" customHeight="1"/>
    <row r="415" ht="24.0" customHeight="1"/>
    <row r="416" ht="24.0" customHeight="1"/>
    <row r="417" ht="24.0" customHeight="1"/>
    <row r="418" ht="24.0" customHeight="1"/>
    <row r="419" ht="24.0" customHeight="1"/>
    <row r="420" ht="24.0" customHeight="1"/>
    <row r="421" ht="24.0" customHeight="1"/>
    <row r="422" ht="24.0" customHeight="1"/>
    <row r="423" ht="24.0" customHeight="1"/>
    <row r="424" ht="24.0" customHeight="1"/>
    <row r="425" ht="24.0" customHeight="1"/>
    <row r="426" ht="24.0" customHeight="1"/>
    <row r="427" ht="24.0" customHeight="1"/>
    <row r="428" ht="24.0" customHeight="1"/>
    <row r="429" ht="24.0" customHeight="1"/>
    <row r="430" ht="24.0" customHeight="1"/>
    <row r="431" ht="24.0" customHeight="1"/>
    <row r="432" ht="24.0" customHeight="1"/>
    <row r="433" ht="24.0" customHeight="1"/>
    <row r="434" ht="24.0" customHeight="1"/>
    <row r="435" ht="24.0" customHeight="1"/>
    <row r="436" ht="24.0" customHeight="1"/>
    <row r="437" ht="24.0" customHeight="1"/>
    <row r="438" ht="24.0" customHeight="1"/>
    <row r="439" ht="24.0" customHeight="1"/>
    <row r="440" ht="24.0" customHeight="1"/>
    <row r="441" ht="24.0" customHeight="1"/>
    <row r="442" ht="24.0" customHeight="1"/>
    <row r="443" ht="24.0" customHeight="1"/>
    <row r="444" ht="24.0" customHeight="1"/>
    <row r="445" ht="24.0" customHeight="1"/>
    <row r="446" ht="24.0" customHeight="1"/>
    <row r="447" ht="24.0" customHeight="1"/>
    <row r="448" ht="24.0" customHeight="1"/>
    <row r="449" ht="24.0" customHeight="1"/>
    <row r="450" ht="24.0" customHeight="1"/>
    <row r="451" ht="24.0" customHeight="1"/>
    <row r="452" ht="24.0" customHeight="1"/>
    <row r="453" ht="24.0" customHeight="1"/>
    <row r="454" ht="24.0" customHeight="1"/>
    <row r="455" ht="24.0" customHeight="1"/>
    <row r="456" ht="24.0" customHeight="1"/>
    <row r="457" ht="24.0" customHeight="1"/>
    <row r="458" ht="24.0" customHeight="1"/>
    <row r="459" ht="24.0" customHeight="1"/>
    <row r="460" ht="24.0" customHeight="1"/>
    <row r="461" ht="24.0" customHeight="1"/>
    <row r="462" ht="24.0" customHeight="1"/>
    <row r="463" ht="24.0" customHeight="1"/>
    <row r="464" ht="24.0" customHeight="1"/>
    <row r="465" ht="24.0" customHeight="1"/>
    <row r="466" ht="24.0" customHeight="1"/>
    <row r="467" ht="24.0" customHeight="1"/>
    <row r="468" ht="24.0" customHeight="1"/>
    <row r="469" ht="24.0" customHeight="1"/>
    <row r="470" ht="24.0" customHeight="1"/>
    <row r="471" ht="24.0" customHeight="1"/>
    <row r="472" ht="24.0" customHeight="1"/>
    <row r="473" ht="24.0" customHeight="1"/>
    <row r="474" ht="24.0" customHeight="1"/>
    <row r="475" ht="24.0" customHeight="1"/>
    <row r="476" ht="24.0" customHeight="1"/>
    <row r="477" ht="24.0" customHeight="1"/>
    <row r="478" ht="24.0" customHeight="1"/>
    <row r="479" ht="24.0" customHeight="1"/>
    <row r="480" ht="24.0" customHeight="1"/>
    <row r="481" ht="24.0" customHeight="1"/>
    <row r="482" ht="24.0" customHeight="1"/>
    <row r="483" ht="24.0" customHeight="1"/>
    <row r="484" ht="24.0" customHeight="1"/>
    <row r="485" ht="24.0" customHeight="1"/>
    <row r="486" ht="24.0" customHeight="1"/>
    <row r="487" ht="24.0" customHeight="1"/>
    <row r="488" ht="24.0" customHeight="1"/>
    <row r="489" ht="24.0" customHeight="1"/>
    <row r="490" ht="24.0" customHeight="1"/>
    <row r="491" ht="24.0" customHeight="1"/>
    <row r="492" ht="24.0" customHeight="1"/>
    <row r="493" ht="24.0" customHeight="1"/>
    <row r="494" ht="24.0" customHeight="1"/>
    <row r="495" ht="24.0" customHeight="1"/>
    <row r="496" ht="24.0" customHeight="1"/>
    <row r="497" ht="24.0" customHeight="1"/>
    <row r="498" ht="24.0" customHeight="1"/>
    <row r="499" ht="24.0" customHeight="1"/>
    <row r="500" ht="24.0" customHeight="1"/>
    <row r="501" ht="24.0" customHeight="1"/>
    <row r="502" ht="24.0" customHeight="1"/>
    <row r="503" ht="24.0" customHeight="1"/>
    <row r="504" ht="24.0" customHeight="1"/>
    <row r="505" ht="24.0" customHeight="1"/>
    <row r="506" ht="24.0" customHeight="1"/>
    <row r="507" ht="24.0" customHeight="1"/>
    <row r="508" ht="24.0" customHeight="1"/>
    <row r="509" ht="24.0" customHeight="1"/>
    <row r="510" ht="24.0" customHeight="1"/>
    <row r="511" ht="24.0" customHeight="1"/>
    <row r="512" ht="24.0" customHeight="1"/>
    <row r="513" ht="24.0" customHeight="1"/>
    <row r="514" ht="24.0" customHeight="1"/>
    <row r="515" ht="24.0" customHeight="1"/>
    <row r="516" ht="24.0" customHeight="1"/>
    <row r="517" ht="24.0" customHeight="1"/>
    <row r="518" ht="24.0" customHeight="1"/>
    <row r="519" ht="24.0" customHeight="1"/>
    <row r="520" ht="24.0" customHeight="1"/>
    <row r="521" ht="24.0" customHeight="1"/>
    <row r="522" ht="24.0" customHeight="1"/>
    <row r="523" ht="24.0" customHeight="1"/>
    <row r="524" ht="24.0" customHeight="1"/>
    <row r="525" ht="24.0" customHeight="1"/>
    <row r="526" ht="24.0" customHeight="1"/>
    <row r="527" ht="24.0" customHeight="1"/>
    <row r="528" ht="24.0" customHeight="1"/>
    <row r="529" ht="24.0" customHeight="1"/>
    <row r="530" ht="24.0" customHeight="1"/>
    <row r="531" ht="24.0" customHeight="1"/>
    <row r="532" ht="24.0" customHeight="1"/>
    <row r="533" ht="24.0" customHeight="1"/>
    <row r="534" ht="24.0" customHeight="1"/>
    <row r="535" ht="24.0" customHeight="1"/>
    <row r="536" ht="24.0" customHeight="1"/>
    <row r="537" ht="24.0" customHeight="1"/>
    <row r="538" ht="24.0" customHeight="1"/>
    <row r="539" ht="24.0" customHeight="1"/>
    <row r="540" ht="24.0" customHeight="1"/>
    <row r="541" ht="24.0" customHeight="1"/>
    <row r="542" ht="24.0" customHeight="1"/>
    <row r="543" ht="24.0" customHeight="1"/>
    <row r="544" ht="24.0" customHeight="1"/>
    <row r="545" ht="24.0" customHeight="1"/>
    <row r="546" ht="24.0" customHeight="1"/>
    <row r="547" ht="24.0" customHeight="1"/>
    <row r="548" ht="24.0" customHeight="1"/>
    <row r="549" ht="24.0" customHeight="1"/>
    <row r="550" ht="24.0" customHeight="1"/>
    <row r="551" ht="24.0" customHeight="1"/>
    <row r="552" ht="24.0" customHeight="1"/>
    <row r="553" ht="24.0" customHeight="1"/>
    <row r="554" ht="24.0" customHeight="1"/>
    <row r="555" ht="24.0" customHeight="1"/>
    <row r="556" ht="24.0" customHeight="1"/>
    <row r="557" ht="24.0" customHeight="1"/>
    <row r="558" ht="24.0" customHeight="1"/>
    <row r="559" ht="24.0" customHeight="1"/>
    <row r="560" ht="24.0" customHeight="1"/>
    <row r="561" ht="24.0" customHeight="1"/>
    <row r="562" ht="24.0" customHeight="1"/>
    <row r="563" ht="24.0" customHeight="1"/>
    <row r="564" ht="24.0" customHeight="1"/>
    <row r="565" ht="24.0" customHeight="1"/>
    <row r="566" ht="24.0" customHeight="1"/>
    <row r="567" ht="24.0" customHeight="1"/>
    <row r="568" ht="24.0" customHeight="1"/>
    <row r="569" ht="24.0" customHeight="1"/>
    <row r="570" ht="24.0" customHeight="1"/>
    <row r="571" ht="24.0" customHeight="1"/>
    <row r="572" ht="24.0" customHeight="1"/>
    <row r="573" ht="24.0" customHeight="1"/>
    <row r="574" ht="24.0" customHeight="1"/>
    <row r="575" ht="24.0" customHeight="1"/>
    <row r="576" ht="24.0" customHeight="1"/>
    <row r="577" ht="24.0" customHeight="1"/>
    <row r="578" ht="24.0" customHeight="1"/>
    <row r="579" ht="24.0" customHeight="1"/>
    <row r="580" ht="24.0" customHeight="1"/>
    <row r="581" ht="24.0" customHeight="1"/>
    <row r="582" ht="24.0" customHeight="1"/>
    <row r="583" ht="24.0" customHeight="1"/>
    <row r="584" ht="24.0" customHeight="1"/>
    <row r="585" ht="24.0" customHeight="1"/>
    <row r="586" ht="24.0" customHeight="1"/>
    <row r="587" ht="24.0" customHeight="1"/>
    <row r="588" ht="24.0" customHeight="1"/>
    <row r="589" ht="24.0" customHeight="1"/>
    <row r="590" ht="24.0" customHeight="1"/>
    <row r="591" ht="24.0" customHeight="1"/>
    <row r="592" ht="24.0" customHeight="1"/>
    <row r="593" ht="24.0" customHeight="1"/>
    <row r="594" ht="24.0" customHeight="1"/>
    <row r="595" ht="24.0" customHeight="1"/>
    <row r="596" ht="24.0" customHeight="1"/>
    <row r="597" ht="24.0" customHeight="1"/>
    <row r="598" ht="24.0" customHeight="1"/>
    <row r="599" ht="24.0" customHeight="1"/>
    <row r="600" ht="24.0" customHeight="1"/>
    <row r="601" ht="24.0" customHeight="1"/>
    <row r="602" ht="24.0" customHeight="1"/>
    <row r="603" ht="24.0" customHeight="1"/>
    <row r="604" ht="24.0" customHeight="1"/>
    <row r="605" ht="24.0" customHeight="1"/>
    <row r="606" ht="24.0" customHeight="1"/>
    <row r="607" ht="24.0" customHeight="1"/>
    <row r="608" ht="24.0" customHeight="1"/>
    <row r="609" ht="24.0" customHeight="1"/>
    <row r="610" ht="24.0" customHeight="1"/>
    <row r="611" ht="24.0" customHeight="1"/>
    <row r="612" ht="24.0" customHeight="1"/>
    <row r="613" ht="24.0" customHeight="1"/>
    <row r="614" ht="24.0" customHeight="1"/>
    <row r="615" ht="24.0" customHeight="1"/>
    <row r="616" ht="24.0" customHeight="1"/>
    <row r="617" ht="24.0" customHeight="1"/>
    <row r="618" ht="24.0" customHeight="1"/>
    <row r="619" ht="24.0" customHeight="1"/>
    <row r="620" ht="24.0" customHeight="1"/>
    <row r="621" ht="24.0" customHeight="1"/>
    <row r="622" ht="24.0" customHeight="1"/>
    <row r="623" ht="24.0" customHeight="1"/>
    <row r="624" ht="24.0" customHeight="1"/>
    <row r="625" ht="24.0" customHeight="1"/>
    <row r="626" ht="24.0" customHeight="1"/>
    <row r="627" ht="24.0" customHeight="1"/>
    <row r="628" ht="24.0" customHeight="1"/>
    <row r="629" ht="24.0" customHeight="1"/>
    <row r="630" ht="24.0" customHeight="1"/>
    <row r="631" ht="24.0" customHeight="1"/>
    <row r="632" ht="24.0" customHeight="1"/>
    <row r="633" ht="24.0" customHeight="1"/>
    <row r="634" ht="24.0" customHeight="1"/>
    <row r="635" ht="24.0" customHeight="1"/>
    <row r="636" ht="24.0" customHeight="1"/>
    <row r="637" ht="24.0" customHeight="1"/>
    <row r="638" ht="24.0" customHeight="1"/>
    <row r="639" ht="24.0" customHeight="1"/>
    <row r="640" ht="24.0" customHeight="1"/>
    <row r="641" ht="24.0" customHeight="1"/>
    <row r="642" ht="24.0" customHeight="1"/>
    <row r="643" ht="24.0" customHeight="1"/>
    <row r="644" ht="24.0" customHeight="1"/>
    <row r="645" ht="24.0" customHeight="1"/>
    <row r="646" ht="24.0" customHeight="1"/>
    <row r="647" ht="24.0" customHeight="1"/>
    <row r="648" ht="24.0" customHeight="1"/>
    <row r="649" ht="24.0" customHeight="1"/>
    <row r="650" ht="24.0" customHeight="1"/>
    <row r="651" ht="24.0" customHeight="1"/>
    <row r="652" ht="24.0" customHeight="1"/>
    <row r="653" ht="24.0" customHeight="1"/>
    <row r="654" ht="24.0" customHeight="1"/>
    <row r="655" ht="24.0" customHeight="1"/>
    <row r="656" ht="24.0" customHeight="1"/>
    <row r="657" ht="24.0" customHeight="1"/>
    <row r="658" ht="24.0" customHeight="1"/>
    <row r="659" ht="24.0" customHeight="1"/>
    <row r="660" ht="24.0" customHeight="1"/>
    <row r="661" ht="24.0" customHeight="1"/>
    <row r="662" ht="24.0" customHeight="1"/>
    <row r="663" ht="24.0" customHeight="1"/>
    <row r="664" ht="24.0" customHeight="1"/>
    <row r="665" ht="24.0" customHeight="1"/>
    <row r="666" ht="24.0" customHeight="1"/>
    <row r="667" ht="24.0" customHeight="1"/>
    <row r="668" ht="24.0" customHeight="1"/>
    <row r="669" ht="24.0" customHeight="1"/>
    <row r="670" ht="24.0" customHeight="1"/>
    <row r="671" ht="24.0" customHeight="1"/>
    <row r="672" ht="24.0" customHeight="1"/>
    <row r="673" ht="24.0" customHeight="1"/>
    <row r="674" ht="24.0" customHeight="1"/>
    <row r="675" ht="24.0" customHeight="1"/>
    <row r="676" ht="24.0" customHeight="1"/>
    <row r="677" ht="24.0" customHeight="1"/>
    <row r="678" ht="24.0" customHeight="1"/>
    <row r="679" ht="24.0" customHeight="1"/>
    <row r="680" ht="24.0" customHeight="1"/>
    <row r="681" ht="24.0" customHeight="1"/>
    <row r="682" ht="24.0" customHeight="1"/>
    <row r="683" ht="24.0" customHeight="1"/>
    <row r="684" ht="24.0" customHeight="1"/>
    <row r="685" ht="24.0" customHeight="1"/>
    <row r="686" ht="24.0" customHeight="1"/>
    <row r="687" ht="24.0" customHeight="1"/>
    <row r="688" ht="24.0" customHeight="1"/>
    <row r="689" ht="24.0" customHeight="1"/>
    <row r="690" ht="24.0" customHeight="1"/>
    <row r="691" ht="24.0" customHeight="1"/>
    <row r="692" ht="24.0" customHeight="1"/>
    <row r="693" ht="24.0" customHeight="1"/>
    <row r="694" ht="24.0" customHeight="1"/>
    <row r="695" ht="24.0" customHeight="1"/>
    <row r="696" ht="24.0" customHeight="1"/>
    <row r="697" ht="24.0" customHeight="1"/>
    <row r="698" ht="24.0" customHeight="1"/>
    <row r="699" ht="24.0" customHeight="1"/>
    <row r="700" ht="24.0" customHeight="1"/>
    <row r="701" ht="24.0" customHeight="1"/>
    <row r="702" ht="24.0" customHeight="1"/>
    <row r="703" ht="24.0" customHeight="1"/>
    <row r="704" ht="24.0" customHeight="1"/>
    <row r="705" ht="24.0" customHeight="1"/>
    <row r="706" ht="24.0" customHeight="1"/>
    <row r="707" ht="24.0" customHeight="1"/>
    <row r="708" ht="24.0" customHeight="1"/>
    <row r="709" ht="24.0" customHeight="1"/>
    <row r="710" ht="24.0" customHeight="1"/>
    <row r="711" ht="24.0" customHeight="1"/>
    <row r="712" ht="24.0" customHeight="1"/>
    <row r="713" ht="24.0" customHeight="1"/>
    <row r="714" ht="24.0" customHeight="1"/>
    <row r="715" ht="24.0" customHeight="1"/>
    <row r="716" ht="24.0" customHeight="1"/>
    <row r="717" ht="24.0" customHeight="1"/>
    <row r="718" ht="24.0" customHeight="1"/>
    <row r="719" ht="24.0" customHeight="1"/>
    <row r="720" ht="24.0" customHeight="1"/>
    <row r="721" ht="24.0" customHeight="1"/>
    <row r="722" ht="24.0" customHeight="1"/>
    <row r="723" ht="24.0" customHeight="1"/>
    <row r="724" ht="24.0" customHeight="1"/>
    <row r="725" ht="24.0" customHeight="1"/>
    <row r="726" ht="24.0" customHeight="1"/>
    <row r="727" ht="24.0" customHeight="1"/>
    <row r="728" ht="24.0" customHeight="1"/>
    <row r="729" ht="24.0" customHeight="1"/>
    <row r="730" ht="24.0" customHeight="1"/>
    <row r="731" ht="24.0" customHeight="1"/>
    <row r="732" ht="24.0" customHeight="1"/>
    <row r="733" ht="24.0" customHeight="1"/>
    <row r="734" ht="24.0" customHeight="1"/>
    <row r="735" ht="24.0" customHeight="1"/>
    <row r="736" ht="24.0" customHeight="1"/>
    <row r="737" ht="24.0" customHeight="1"/>
    <row r="738" ht="24.0" customHeight="1"/>
    <row r="739" ht="24.0" customHeight="1"/>
    <row r="740" ht="24.0" customHeight="1"/>
    <row r="741" ht="24.0" customHeight="1"/>
    <row r="742" ht="24.0" customHeight="1"/>
    <row r="743" ht="24.0" customHeight="1"/>
    <row r="744" ht="24.0" customHeight="1"/>
    <row r="745" ht="24.0" customHeight="1"/>
    <row r="746" ht="24.0" customHeight="1"/>
    <row r="747" ht="24.0" customHeight="1"/>
    <row r="748" ht="24.0" customHeight="1"/>
    <row r="749" ht="24.0" customHeight="1"/>
    <row r="750" ht="24.0" customHeight="1"/>
    <row r="751" ht="24.0" customHeight="1"/>
    <row r="752" ht="24.0" customHeight="1"/>
    <row r="753" ht="24.0" customHeight="1"/>
    <row r="754" ht="24.0" customHeight="1"/>
    <row r="755" ht="24.0" customHeight="1"/>
    <row r="756" ht="24.0" customHeight="1"/>
    <row r="757" ht="24.0" customHeight="1"/>
    <row r="758" ht="24.0" customHeight="1"/>
    <row r="759" ht="24.0" customHeight="1"/>
    <row r="760" ht="24.0" customHeight="1"/>
    <row r="761" ht="24.0" customHeight="1"/>
    <row r="762" ht="24.0" customHeight="1"/>
    <row r="763" ht="24.0" customHeight="1"/>
    <row r="764" ht="24.0" customHeight="1"/>
    <row r="765" ht="24.0" customHeight="1"/>
    <row r="766" ht="24.0" customHeight="1"/>
    <row r="767" ht="24.0" customHeight="1"/>
    <row r="768" ht="24.0" customHeight="1"/>
    <row r="769" ht="24.0" customHeight="1"/>
    <row r="770" ht="24.0" customHeight="1"/>
    <row r="771" ht="24.0" customHeight="1"/>
    <row r="772" ht="24.0" customHeight="1"/>
    <row r="773" ht="24.0" customHeight="1"/>
    <row r="774" ht="24.0" customHeight="1"/>
    <row r="775" ht="24.0" customHeight="1"/>
    <row r="776" ht="24.0" customHeight="1"/>
    <row r="777" ht="24.0" customHeight="1"/>
    <row r="778" ht="24.0" customHeight="1"/>
    <row r="779" ht="24.0" customHeight="1"/>
    <row r="780" ht="24.0" customHeight="1"/>
    <row r="781" ht="24.0" customHeight="1"/>
    <row r="782" ht="24.0" customHeight="1"/>
    <row r="783" ht="24.0" customHeight="1"/>
    <row r="784" ht="24.0" customHeight="1"/>
    <row r="785" ht="24.0" customHeight="1"/>
    <row r="786" ht="24.0" customHeight="1"/>
    <row r="787" ht="24.0" customHeight="1"/>
    <row r="788" ht="24.0" customHeight="1"/>
    <row r="789" ht="24.0" customHeight="1"/>
    <row r="790" ht="24.0" customHeight="1"/>
    <row r="791" ht="24.0" customHeight="1"/>
    <row r="792" ht="24.0" customHeight="1"/>
    <row r="793" ht="24.0" customHeight="1"/>
    <row r="794" ht="24.0" customHeight="1"/>
    <row r="795" ht="24.0" customHeight="1"/>
    <row r="796" ht="24.0" customHeight="1"/>
    <row r="797" ht="24.0" customHeight="1"/>
    <row r="798" ht="24.0" customHeight="1"/>
    <row r="799" ht="24.0" customHeight="1"/>
    <row r="800" ht="24.0" customHeight="1"/>
    <row r="801" ht="24.0" customHeight="1"/>
    <row r="802" ht="24.0" customHeight="1"/>
    <row r="803" ht="24.0" customHeight="1"/>
    <row r="804" ht="24.0" customHeight="1"/>
    <row r="805" ht="24.0" customHeight="1"/>
    <row r="806" ht="24.0" customHeight="1"/>
    <row r="807" ht="24.0" customHeight="1"/>
    <row r="808" ht="24.0" customHeight="1"/>
    <row r="809" ht="24.0" customHeight="1"/>
    <row r="810" ht="24.0" customHeight="1"/>
    <row r="811" ht="24.0" customHeight="1"/>
    <row r="812" ht="24.0" customHeight="1"/>
    <row r="813" ht="24.0" customHeight="1"/>
    <row r="814" ht="24.0" customHeight="1"/>
    <row r="815" ht="24.0" customHeight="1"/>
    <row r="816" ht="24.0" customHeight="1"/>
    <row r="817" ht="24.0" customHeight="1"/>
    <row r="818" ht="24.0" customHeight="1"/>
    <row r="819" ht="24.0" customHeight="1"/>
    <row r="820" ht="24.0" customHeight="1"/>
    <row r="821" ht="24.0" customHeight="1"/>
    <row r="822" ht="24.0" customHeight="1"/>
    <row r="823" ht="24.0" customHeight="1"/>
    <row r="824" ht="24.0" customHeight="1"/>
    <row r="825" ht="24.0" customHeight="1"/>
    <row r="826" ht="24.0" customHeight="1"/>
    <row r="827" ht="24.0" customHeight="1"/>
    <row r="828" ht="24.0" customHeight="1"/>
    <row r="829" ht="24.0" customHeight="1"/>
    <row r="830" ht="24.0" customHeight="1"/>
    <row r="831" ht="24.0" customHeight="1"/>
    <row r="832" ht="24.0" customHeight="1"/>
    <row r="833" ht="24.0" customHeight="1"/>
    <row r="834" ht="24.0" customHeight="1"/>
    <row r="835" ht="24.0" customHeight="1"/>
    <row r="836" ht="24.0" customHeight="1"/>
    <row r="837" ht="24.0" customHeight="1"/>
    <row r="838" ht="24.0" customHeight="1"/>
    <row r="839" ht="24.0" customHeight="1"/>
    <row r="840" ht="24.0" customHeight="1"/>
    <row r="841" ht="24.0" customHeight="1"/>
    <row r="842" ht="24.0" customHeight="1"/>
    <row r="843" ht="24.0" customHeight="1"/>
    <row r="844" ht="24.0" customHeight="1"/>
    <row r="845" ht="24.0" customHeight="1"/>
    <row r="846" ht="24.0" customHeight="1"/>
    <row r="847" ht="24.0" customHeight="1"/>
    <row r="848" ht="24.0" customHeight="1"/>
    <row r="849" ht="24.0" customHeight="1"/>
    <row r="850" ht="24.0" customHeight="1"/>
    <row r="851" ht="24.0" customHeight="1"/>
    <row r="852" ht="24.0" customHeight="1"/>
    <row r="853" ht="24.0" customHeight="1"/>
    <row r="854" ht="24.0" customHeight="1"/>
    <row r="855" ht="24.0" customHeight="1"/>
    <row r="856" ht="24.0" customHeight="1"/>
    <row r="857" ht="24.0" customHeight="1"/>
    <row r="858" ht="24.0" customHeight="1"/>
    <row r="859" ht="24.0" customHeight="1"/>
    <row r="860" ht="24.0" customHeight="1"/>
    <row r="861" ht="24.0" customHeight="1"/>
    <row r="862" ht="24.0" customHeight="1"/>
    <row r="863" ht="24.0" customHeight="1"/>
    <row r="864" ht="24.0" customHeight="1"/>
    <row r="865" ht="24.0" customHeight="1"/>
    <row r="866" ht="24.0" customHeight="1"/>
    <row r="867" ht="24.0" customHeight="1"/>
    <row r="868" ht="24.0" customHeight="1"/>
    <row r="869" ht="24.0" customHeight="1"/>
    <row r="870" ht="24.0" customHeight="1"/>
    <row r="871" ht="24.0" customHeight="1"/>
    <row r="872" ht="24.0" customHeight="1"/>
    <row r="873" ht="24.0" customHeight="1"/>
    <row r="874" ht="24.0" customHeight="1"/>
    <row r="875" ht="24.0" customHeight="1"/>
    <row r="876" ht="24.0" customHeight="1"/>
    <row r="877" ht="24.0" customHeight="1"/>
    <row r="878" ht="24.0" customHeight="1"/>
    <row r="879" ht="24.0" customHeight="1"/>
    <row r="880" ht="24.0" customHeight="1"/>
    <row r="881" ht="24.0" customHeight="1"/>
    <row r="882" ht="24.0" customHeight="1"/>
    <row r="883" ht="24.0" customHeight="1"/>
    <row r="884" ht="24.0" customHeight="1"/>
    <row r="885" ht="24.0" customHeight="1"/>
    <row r="886" ht="24.0" customHeight="1"/>
    <row r="887" ht="24.0" customHeight="1"/>
    <row r="888" ht="24.0" customHeight="1"/>
    <row r="889" ht="24.0" customHeight="1"/>
    <row r="890" ht="24.0" customHeight="1"/>
    <row r="891" ht="24.0" customHeight="1"/>
    <row r="892" ht="24.0" customHeight="1"/>
    <row r="893" ht="24.0" customHeight="1"/>
    <row r="894" ht="24.0" customHeight="1"/>
    <row r="895" ht="24.0" customHeight="1"/>
    <row r="896" ht="24.0" customHeight="1"/>
    <row r="897" ht="24.0" customHeight="1"/>
    <row r="898" ht="24.0" customHeight="1"/>
    <row r="899" ht="24.0" customHeight="1"/>
    <row r="900" ht="24.0" customHeight="1"/>
    <row r="901" ht="24.0" customHeight="1"/>
    <row r="902" ht="24.0" customHeight="1"/>
    <row r="903" ht="24.0" customHeight="1"/>
    <row r="904" ht="24.0" customHeight="1"/>
    <row r="905" ht="24.0" customHeight="1"/>
    <row r="906" ht="24.0" customHeight="1"/>
    <row r="907" ht="24.0" customHeight="1"/>
    <row r="908" ht="24.0" customHeight="1"/>
    <row r="909" ht="24.0" customHeight="1"/>
    <row r="910" ht="24.0" customHeight="1"/>
    <row r="911" ht="24.0" customHeight="1"/>
    <row r="912" ht="24.0" customHeight="1"/>
    <row r="913" ht="24.0" customHeight="1"/>
    <row r="914" ht="24.0" customHeight="1"/>
    <row r="915" ht="24.0" customHeight="1"/>
    <row r="916" ht="24.0" customHeight="1"/>
    <row r="917" ht="24.0" customHeight="1"/>
    <row r="918" ht="24.0" customHeight="1"/>
    <row r="919" ht="24.0" customHeight="1"/>
    <row r="920" ht="24.0" customHeight="1"/>
    <row r="921" ht="24.0" customHeight="1"/>
    <row r="922" ht="24.0" customHeight="1"/>
    <row r="923" ht="24.0" customHeight="1"/>
    <row r="924" ht="24.0" customHeight="1"/>
    <row r="925" ht="24.0" customHeight="1"/>
    <row r="926" ht="24.0" customHeight="1"/>
    <row r="927" ht="24.0" customHeight="1"/>
    <row r="928" ht="24.0" customHeight="1"/>
    <row r="929" ht="24.0" customHeight="1"/>
    <row r="930" ht="24.0" customHeight="1"/>
    <row r="931" ht="24.0" customHeight="1"/>
    <row r="932" ht="24.0" customHeight="1"/>
    <row r="933" ht="24.0" customHeight="1"/>
    <row r="934" ht="24.0" customHeight="1"/>
    <row r="935" ht="24.0" customHeight="1"/>
    <row r="936" ht="24.0" customHeight="1"/>
    <row r="937" ht="24.0" customHeight="1"/>
    <row r="938" ht="24.0" customHeight="1"/>
    <row r="939" ht="24.0" customHeight="1"/>
    <row r="940" ht="24.0" customHeight="1"/>
    <row r="941" ht="24.0" customHeight="1"/>
    <row r="942" ht="24.0" customHeight="1"/>
    <row r="943" ht="24.0" customHeight="1"/>
    <row r="944" ht="24.0" customHeight="1"/>
    <row r="945" ht="24.0" customHeight="1"/>
    <row r="946" ht="24.0" customHeight="1"/>
    <row r="947" ht="24.0" customHeight="1"/>
    <row r="948" ht="24.0" customHeight="1"/>
    <row r="949" ht="24.0" customHeight="1"/>
    <row r="950" ht="24.0" customHeight="1"/>
    <row r="951" ht="24.0" customHeight="1"/>
    <row r="952" ht="24.0" customHeight="1"/>
    <row r="953" ht="24.0" customHeight="1"/>
    <row r="954" ht="24.0" customHeight="1"/>
    <row r="955" ht="24.0" customHeight="1"/>
    <row r="956" ht="24.0" customHeight="1"/>
    <row r="957" ht="24.0" customHeight="1"/>
    <row r="958" ht="24.0" customHeight="1"/>
    <row r="959" ht="24.0" customHeight="1"/>
    <row r="960" ht="24.0" customHeight="1"/>
    <row r="961" ht="24.0" customHeight="1"/>
    <row r="962" ht="24.0" customHeight="1"/>
    <row r="963" ht="24.0" customHeight="1"/>
    <row r="964" ht="24.0" customHeight="1"/>
    <row r="965" ht="24.0" customHeight="1"/>
    <row r="966" ht="24.0" customHeight="1"/>
    <row r="967" ht="24.0" customHeight="1"/>
    <row r="968" ht="24.0" customHeight="1"/>
    <row r="969" ht="24.0" customHeight="1"/>
    <row r="970" ht="24.0" customHeight="1"/>
    <row r="971" ht="24.0" customHeight="1"/>
    <row r="972" ht="24.0" customHeight="1"/>
    <row r="973" ht="24.0" customHeight="1"/>
    <row r="974" ht="24.0" customHeight="1"/>
    <row r="975" ht="24.0" customHeight="1"/>
    <row r="976" ht="24.0" customHeight="1"/>
    <row r="977" ht="24.0" customHeight="1"/>
    <row r="978" ht="24.0" customHeight="1"/>
    <row r="979" ht="24.0" customHeight="1"/>
    <row r="980" ht="24.0" customHeight="1"/>
    <row r="981" ht="24.0" customHeight="1"/>
    <row r="982" ht="24.0" customHeight="1"/>
    <row r="983" ht="24.0" customHeight="1"/>
    <row r="984" ht="24.0" customHeight="1"/>
    <row r="985" ht="24.0" customHeight="1"/>
    <row r="986" ht="24.0" customHeight="1"/>
    <row r="987" ht="24.0" customHeight="1"/>
    <row r="988" ht="24.0" customHeight="1"/>
    <row r="989" ht="24.0" customHeight="1"/>
    <row r="990" ht="24.0" customHeight="1"/>
    <row r="991" ht="24.0" customHeight="1"/>
    <row r="992" ht="24.0" customHeight="1"/>
    <row r="993" ht="24.0" customHeight="1"/>
    <row r="994" ht="24.0" customHeight="1"/>
    <row r="995" ht="24.0" customHeight="1"/>
    <row r="996" ht="24.0" customHeight="1"/>
    <row r="997" ht="24.0" customHeight="1"/>
    <row r="998" ht="24.0" customHeight="1"/>
    <row r="999" ht="24.0" customHeight="1"/>
    <row r="1000" ht="24.0" customHeight="1"/>
  </sheetData>
  <mergeCells count="2">
    <mergeCell ref="B1:F1"/>
    <mergeCell ref="B7:E7"/>
  </mergeCells>
  <conditionalFormatting sqref="E4">
    <cfRule type="expression" dxfId="0" priority="1">
      <formula>AND(ISNUMBER(E4),ROUND(E4,2)=INT(ROUND(E4,2)))</formula>
    </cfRule>
  </conditionalFormatting>
  <conditionalFormatting sqref="E4">
    <cfRule type="expression" dxfId="1" priority="2">
      <formula>AND(ISNUMBER(E4),ROUND(E4,2)&lt;&gt;INT(ROUND(E4,2)))</formula>
    </cfRule>
  </conditionalFormatting>
  <conditionalFormatting sqref="F4">
    <cfRule type="expression" dxfId="0" priority="3">
      <formula>AND(ISNUMBER(F4),ROUND(F4,2)=INT(ROUND(F4,2)))</formula>
    </cfRule>
  </conditionalFormatting>
  <conditionalFormatting sqref="F4">
    <cfRule type="expression" dxfId="1" priority="4">
      <formula>AND(ISNUMBER(F4),ROUND(F4,2)&lt;&gt;INT(ROUND(F4,2)))</formula>
    </cfRule>
  </conditionalFormatting>
  <conditionalFormatting sqref="F7">
    <cfRule type="expression" dxfId="0" priority="5">
      <formula>AND(ISNUMBER(F7),ROUND(F7,2)=INT(ROUND(F7,2)))</formula>
    </cfRule>
  </conditionalFormatting>
  <conditionalFormatting sqref="F7">
    <cfRule type="expression" dxfId="1" priority="6">
      <formula>AND(ISNUMBER(F7),ROUND(F7,2)&lt;&gt;INT(ROUND(F7,2)))</formula>
    </cfRule>
  </conditionalFormatting>
  <dataValidations>
    <dataValidation type="decimal" operator="greaterThanOrEqual" allowBlank="1" showInputMessage="1" showErrorMessage="1" prompt="יש להזין מספר לא שלילי" sqref="D4">
      <formula1>0.0</formula1>
    </dataValidation>
    <dataValidation type="custom" allowBlank="1" showInputMessage="1" showErrorMessage="1" prompt="מספר לא שלילי, כלול או לא רלוונטי בלבד" sqref="E4">
      <formula1>OR(ISBLANK(E4),AND(ISNUMBER(E4),E4&gt;=0),E4="כלול",E4="לא רלוונטי")</formula1>
    </dataValidation>
  </dataValidations>
  <printOptions/>
  <pageMargins bottom="0.75" footer="0.0" header="0.0" left="0.25" right="0.25" top="0.75"/>
  <pageSetup fitToHeight="0" paperSize="9" orientation="portrait"/>
  <headerFooter>
    <oddFooter>&amp;Cעמוד &amp;P</oddFooter>
  </headerFooter>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rightToLeft="1" workbookViewId="0"/>
  </sheetViews>
  <sheetFormatPr customHeight="1" defaultColWidth="14.43" defaultRowHeight="15.0"/>
  <cols>
    <col customWidth="1" min="1" max="1" width="7.29"/>
    <col customWidth="1" min="2" max="2" width="66.29"/>
    <col customWidth="1" min="3" max="6" width="8.14"/>
    <col customWidth="1" hidden="1" min="7" max="7" width="36.0"/>
    <col customWidth="1" hidden="1" min="8" max="8" width="12.0"/>
    <col customWidth="1" min="9" max="26" width="8.71"/>
  </cols>
  <sheetData>
    <row r="1" ht="31.5" customHeight="1">
      <c r="A1" s="10"/>
      <c r="B1" s="3" t="s">
        <v>88</v>
      </c>
      <c r="G1" s="2" t="s">
        <v>87</v>
      </c>
      <c r="H1" s="2" t="s">
        <v>53</v>
      </c>
    </row>
    <row r="2" ht="31.5" customHeight="1">
      <c r="A2" s="16" t="s">
        <v>59</v>
      </c>
      <c r="B2" s="17" t="s">
        <v>67</v>
      </c>
      <c r="C2" s="16" t="s">
        <v>72</v>
      </c>
      <c r="D2" s="16" t="s">
        <v>76</v>
      </c>
      <c r="E2" s="16" t="s">
        <v>79</v>
      </c>
      <c r="F2" s="16" t="s">
        <v>81</v>
      </c>
      <c r="G2" s="2"/>
      <c r="H2" s="2" t="s">
        <v>84</v>
      </c>
    </row>
    <row r="3" ht="63.75" customHeight="1">
      <c r="A3" s="19"/>
      <c r="B3" s="20" t="s">
        <v>338</v>
      </c>
      <c r="C3" s="19"/>
      <c r="D3" s="19"/>
      <c r="E3" s="19"/>
      <c r="F3" s="19"/>
      <c r="G3" s="12" t="s">
        <v>357</v>
      </c>
      <c r="H3" s="12" t="s">
        <v>105</v>
      </c>
    </row>
    <row r="4" ht="46.5" customHeight="1">
      <c r="A4" s="19"/>
      <c r="B4" s="20" t="s">
        <v>358</v>
      </c>
      <c r="C4" s="19" t="s">
        <v>119</v>
      </c>
      <c r="D4" s="19"/>
      <c r="E4" s="22"/>
      <c r="F4" s="22" t="str">
        <f t="shared" ref="F4:F5" si="1">IF(ISBLANK(D4),"",IF(NOT(ISNUMBER(D4)),"קלט לא תקין",IF(D4&lt;0,"קלט לא תקין",IF(ISBLANK(E4),"",IF(OR(E4="כלול",E4="לא רלוונטי"),0,IF(NOT(ISNUMBER(E4)),"קלט לא תקין",IF(E4&lt;0,"קלט לא תקין",ROUND(D4*E4,2))))))))</f>
        <v/>
      </c>
      <c r="G4" s="12" t="s">
        <v>359</v>
      </c>
      <c r="H4" s="12" t="s">
        <v>113</v>
      </c>
    </row>
    <row r="5" ht="46.5" customHeight="1">
      <c r="A5" s="19"/>
      <c r="B5" s="20" t="s">
        <v>360</v>
      </c>
      <c r="C5" s="19" t="s">
        <v>119</v>
      </c>
      <c r="D5" s="19"/>
      <c r="E5" s="22"/>
      <c r="F5" s="22" t="str">
        <f t="shared" si="1"/>
        <v/>
      </c>
      <c r="G5" s="12" t="s">
        <v>361</v>
      </c>
      <c r="H5" s="12" t="s">
        <v>113</v>
      </c>
    </row>
    <row r="6" ht="399.75" customHeight="1">
      <c r="A6" s="19"/>
      <c r="B6" s="20"/>
      <c r="C6" s="19"/>
      <c r="D6" s="19"/>
      <c r="E6" s="19"/>
      <c r="F6" s="19"/>
      <c r="G6" s="12"/>
      <c r="H6" s="12" t="s">
        <v>86</v>
      </c>
    </row>
    <row r="7" ht="66.0" customHeight="1">
      <c r="A7" s="19"/>
      <c r="B7" s="20"/>
      <c r="C7" s="19"/>
      <c r="D7" s="19"/>
      <c r="E7" s="19"/>
      <c r="F7" s="19"/>
      <c r="G7" s="12"/>
      <c r="H7" s="12" t="s">
        <v>86</v>
      </c>
    </row>
    <row r="8" ht="31.5" customHeight="1">
      <c r="A8" s="6"/>
      <c r="B8" s="7" t="s">
        <v>130</v>
      </c>
      <c r="C8" s="8"/>
      <c r="D8" s="8"/>
      <c r="E8" s="9"/>
      <c r="F8" s="23">
        <f>SUM(F4,F5)</f>
        <v>0</v>
      </c>
      <c r="G8" s="12"/>
      <c r="H8" s="12" t="s">
        <v>136</v>
      </c>
    </row>
    <row r="9" ht="24.0" customHeight="1"/>
    <row r="10" ht="24.0" customHeight="1"/>
    <row r="11" ht="24.0" customHeight="1"/>
    <row r="12" ht="24.0" customHeight="1"/>
    <row r="13" ht="24.0" customHeight="1"/>
    <row r="14" ht="24.0" customHeight="1"/>
    <row r="15" ht="24.0" customHeight="1"/>
    <row r="16" ht="24.0" customHeight="1"/>
    <row r="17" ht="24.0" customHeight="1"/>
    <row r="18" ht="24.0" customHeight="1"/>
    <row r="19" ht="24.0" customHeight="1"/>
    <row r="20" ht="24.0" customHeight="1"/>
    <row r="21" ht="24.0" customHeight="1"/>
    <row r="22" ht="24.0" customHeight="1"/>
    <row r="23" ht="24.0" customHeight="1"/>
    <row r="24" ht="24.0" customHeight="1"/>
    <row r="25" ht="24.0" customHeight="1"/>
    <row r="26" ht="24.0" customHeight="1"/>
    <row r="27" ht="24.0" customHeight="1"/>
    <row r="28" ht="24.0" customHeight="1"/>
    <row r="29" ht="24.0" customHeight="1"/>
    <row r="30" ht="24.0" customHeight="1"/>
    <row r="31" ht="24.0" customHeight="1"/>
    <row r="32" ht="24.0" customHeight="1"/>
    <row r="33" ht="24.0" customHeight="1"/>
    <row r="34" ht="24.0" customHeight="1"/>
    <row r="35" ht="24.0" customHeight="1"/>
    <row r="36" ht="24.0" customHeight="1"/>
    <row r="37" ht="24.0" customHeight="1"/>
    <row r="38" ht="24.0" customHeight="1"/>
    <row r="39" ht="24.0" customHeight="1"/>
    <row r="40" ht="24.0" customHeight="1"/>
    <row r="41" ht="24.0" customHeight="1"/>
    <row r="42" ht="24.0" customHeight="1"/>
    <row r="43" ht="24.0" customHeight="1"/>
    <row r="44" ht="24.0" customHeight="1"/>
    <row r="45" ht="24.0" customHeight="1"/>
    <row r="46" ht="24.0" customHeight="1"/>
    <row r="47" ht="24.0" customHeight="1"/>
    <row r="48" ht="24.0" customHeight="1"/>
    <row r="49" ht="24.0" customHeight="1"/>
    <row r="50" ht="24.0" customHeight="1"/>
    <row r="51" ht="24.0" customHeight="1"/>
    <row r="52" ht="24.0" customHeight="1"/>
    <row r="53" ht="24.0" customHeight="1"/>
    <row r="54" ht="24.0" customHeight="1"/>
    <row r="55" ht="24.0" customHeight="1"/>
    <row r="56" ht="24.0" customHeight="1"/>
    <row r="57" ht="24.0" customHeight="1"/>
    <row r="58" ht="24.0" customHeight="1"/>
    <row r="59" ht="24.0" customHeight="1"/>
    <row r="60" ht="24.0" customHeight="1"/>
    <row r="61" ht="24.0" customHeight="1"/>
    <row r="62" ht="24.0" customHeight="1"/>
    <row r="63" ht="24.0" customHeight="1"/>
    <row r="64" ht="24.0" customHeight="1"/>
    <row r="65" ht="24.0" customHeight="1"/>
    <row r="66" ht="24.0" customHeight="1"/>
    <row r="67" ht="24.0" customHeight="1"/>
    <row r="68" ht="24.0" customHeight="1"/>
    <row r="69" ht="24.0" customHeight="1"/>
    <row r="70" ht="24.0" customHeight="1"/>
    <row r="71" ht="24.0" customHeight="1"/>
    <row r="72" ht="24.0" customHeight="1"/>
    <row r="73" ht="24.0" customHeight="1"/>
    <row r="74" ht="24.0" customHeight="1"/>
    <row r="75" ht="24.0" customHeight="1"/>
    <row r="76" ht="24.0" customHeight="1"/>
    <row r="77" ht="24.0" customHeight="1"/>
    <row r="78" ht="24.0" customHeight="1"/>
    <row r="79" ht="24.0" customHeight="1"/>
    <row r="80" ht="24.0" customHeight="1"/>
    <row r="81" ht="24.0" customHeight="1"/>
    <row r="82" ht="24.0" customHeight="1"/>
    <row r="83" ht="24.0" customHeight="1"/>
    <row r="84" ht="24.0" customHeight="1"/>
    <row r="85" ht="24.0" customHeight="1"/>
    <row r="86" ht="24.0" customHeight="1"/>
    <row r="87" ht="24.0" customHeight="1"/>
    <row r="88" ht="24.0" customHeight="1"/>
    <row r="89" ht="24.0" customHeight="1"/>
    <row r="90" ht="24.0" customHeight="1"/>
    <row r="91" ht="24.0" customHeight="1"/>
    <row r="92" ht="24.0" customHeight="1"/>
    <row r="93" ht="24.0" customHeight="1"/>
    <row r="94" ht="24.0" customHeight="1"/>
    <row r="95" ht="24.0" customHeight="1"/>
    <row r="96" ht="24.0" customHeight="1"/>
    <row r="97" ht="24.0" customHeight="1"/>
    <row r="98" ht="24.0" customHeight="1"/>
    <row r="99" ht="24.0" customHeight="1"/>
    <row r="100" ht="24.0" customHeight="1"/>
    <row r="101" ht="24.0" customHeight="1"/>
    <row r="102" ht="24.0" customHeight="1"/>
    <row r="103" ht="24.0" customHeight="1"/>
    <row r="104" ht="24.0" customHeight="1"/>
    <row r="105" ht="24.0" customHeight="1"/>
    <row r="106" ht="24.0" customHeight="1"/>
    <row r="107" ht="24.0" customHeight="1"/>
    <row r="108" ht="24.0" customHeight="1"/>
    <row r="109" ht="24.0" customHeight="1"/>
    <row r="110" ht="24.0" customHeight="1"/>
    <row r="111" ht="24.0" customHeight="1"/>
    <row r="112" ht="24.0" customHeight="1"/>
    <row r="113" ht="24.0" customHeight="1"/>
    <row r="114" ht="24.0" customHeight="1"/>
    <row r="115" ht="24.0" customHeight="1"/>
    <row r="116" ht="24.0" customHeight="1"/>
    <row r="117" ht="24.0" customHeight="1"/>
    <row r="118" ht="24.0" customHeight="1"/>
    <row r="119" ht="24.0" customHeight="1"/>
    <row r="120" ht="24.0" customHeight="1"/>
    <row r="121" ht="24.0" customHeight="1"/>
    <row r="122" ht="24.0" customHeight="1"/>
    <row r="123" ht="24.0" customHeight="1"/>
    <row r="124" ht="24.0" customHeight="1"/>
    <row r="125" ht="24.0" customHeight="1"/>
    <row r="126" ht="24.0" customHeight="1"/>
    <row r="127" ht="24.0" customHeight="1"/>
    <row r="128" ht="24.0" customHeight="1"/>
    <row r="129" ht="24.0" customHeight="1"/>
    <row r="130" ht="24.0" customHeight="1"/>
    <row r="131" ht="24.0" customHeight="1"/>
    <row r="132" ht="24.0" customHeight="1"/>
    <row r="133" ht="24.0" customHeight="1"/>
    <row r="134" ht="24.0" customHeight="1"/>
    <row r="135" ht="24.0" customHeight="1"/>
    <row r="136" ht="24.0" customHeight="1"/>
    <row r="137" ht="24.0" customHeight="1"/>
    <row r="138" ht="24.0" customHeight="1"/>
    <row r="139" ht="24.0" customHeight="1"/>
    <row r="140" ht="24.0" customHeight="1"/>
    <row r="141" ht="24.0" customHeight="1"/>
    <row r="142" ht="24.0" customHeight="1"/>
    <row r="143" ht="24.0" customHeight="1"/>
    <row r="144" ht="24.0" customHeight="1"/>
    <row r="145" ht="24.0" customHeight="1"/>
    <row r="146" ht="24.0" customHeight="1"/>
    <row r="147" ht="24.0" customHeight="1"/>
    <row r="148" ht="24.0" customHeight="1"/>
    <row r="149" ht="24.0" customHeight="1"/>
    <row r="150" ht="24.0" customHeight="1"/>
    <row r="151" ht="24.0" customHeight="1"/>
    <row r="152" ht="24.0" customHeight="1"/>
    <row r="153" ht="24.0" customHeight="1"/>
    <row r="154" ht="24.0" customHeight="1"/>
    <row r="155" ht="24.0" customHeight="1"/>
    <row r="156" ht="24.0" customHeight="1"/>
    <row r="157" ht="24.0" customHeight="1"/>
    <row r="158" ht="24.0" customHeight="1"/>
    <row r="159" ht="24.0" customHeight="1"/>
    <row r="160" ht="24.0" customHeight="1"/>
    <row r="161" ht="24.0" customHeight="1"/>
    <row r="162" ht="24.0" customHeight="1"/>
    <row r="163" ht="24.0" customHeight="1"/>
    <row r="164" ht="24.0" customHeight="1"/>
    <row r="165" ht="24.0" customHeight="1"/>
    <row r="166" ht="24.0" customHeight="1"/>
    <row r="167" ht="24.0" customHeight="1"/>
    <row r="168" ht="24.0" customHeight="1"/>
    <row r="169" ht="24.0" customHeight="1"/>
    <row r="170" ht="24.0" customHeight="1"/>
    <row r="171" ht="24.0" customHeight="1"/>
    <row r="172" ht="24.0" customHeight="1"/>
    <row r="173" ht="24.0" customHeight="1"/>
    <row r="174" ht="24.0" customHeight="1"/>
    <row r="175" ht="24.0" customHeight="1"/>
    <row r="176" ht="24.0" customHeight="1"/>
    <row r="177" ht="24.0" customHeight="1"/>
    <row r="178" ht="24.0" customHeight="1"/>
    <row r="179" ht="24.0" customHeight="1"/>
    <row r="180" ht="24.0" customHeight="1"/>
    <row r="181" ht="24.0" customHeight="1"/>
    <row r="182" ht="24.0" customHeight="1"/>
    <row r="183" ht="24.0" customHeight="1"/>
    <row r="184" ht="24.0" customHeight="1"/>
    <row r="185" ht="24.0" customHeight="1"/>
    <row r="186" ht="24.0" customHeight="1"/>
    <row r="187" ht="24.0" customHeight="1"/>
    <row r="188" ht="24.0" customHeight="1"/>
    <row r="189" ht="24.0" customHeight="1"/>
    <row r="190" ht="24.0" customHeight="1"/>
    <row r="191" ht="24.0" customHeight="1"/>
    <row r="192" ht="24.0" customHeight="1"/>
    <row r="193" ht="24.0" customHeight="1"/>
    <row r="194" ht="24.0" customHeight="1"/>
    <row r="195" ht="24.0" customHeight="1"/>
    <row r="196" ht="24.0" customHeight="1"/>
    <row r="197" ht="24.0" customHeight="1"/>
    <row r="198" ht="24.0" customHeight="1"/>
    <row r="199" ht="24.0" customHeight="1"/>
    <row r="200" ht="24.0" customHeight="1"/>
    <row r="201" ht="24.0" customHeight="1"/>
    <row r="202" ht="24.0" customHeight="1"/>
    <row r="203" ht="24.0" customHeight="1"/>
    <row r="204" ht="24.0" customHeight="1"/>
    <row r="205" ht="24.0" customHeight="1"/>
    <row r="206" ht="24.0" customHeight="1"/>
    <row r="207" ht="24.0" customHeight="1"/>
    <row r="208" ht="24.0" customHeight="1"/>
    <row r="209" ht="24.0" customHeight="1"/>
    <row r="210" ht="24.0" customHeight="1"/>
    <row r="211" ht="24.0" customHeight="1"/>
    <row r="212" ht="24.0" customHeight="1"/>
    <row r="213" ht="24.0" customHeight="1"/>
    <row r="214" ht="24.0" customHeight="1"/>
    <row r="215" ht="24.0" customHeight="1"/>
    <row r="216" ht="24.0" customHeight="1"/>
    <row r="217" ht="24.0" customHeight="1"/>
    <row r="218" ht="24.0" customHeight="1"/>
    <row r="219" ht="24.0" customHeight="1"/>
    <row r="220" ht="24.0" customHeight="1"/>
    <row r="221" ht="24.0" customHeight="1"/>
    <row r="222" ht="24.0" customHeight="1"/>
    <row r="223" ht="24.0" customHeight="1"/>
    <row r="224" ht="24.0" customHeight="1"/>
    <row r="225" ht="24.0" customHeight="1"/>
    <row r="226" ht="24.0" customHeight="1"/>
    <row r="227" ht="24.0" customHeight="1"/>
    <row r="228" ht="24.0" customHeight="1"/>
    <row r="229" ht="24.0" customHeight="1"/>
    <row r="230" ht="24.0" customHeight="1"/>
    <row r="231" ht="24.0" customHeight="1"/>
    <row r="232" ht="24.0" customHeight="1"/>
    <row r="233" ht="24.0" customHeight="1"/>
    <row r="234" ht="24.0" customHeight="1"/>
    <row r="235" ht="24.0" customHeight="1"/>
    <row r="236" ht="24.0" customHeight="1"/>
    <row r="237" ht="24.0" customHeight="1"/>
    <row r="238" ht="24.0" customHeight="1"/>
    <row r="239" ht="24.0" customHeight="1"/>
    <row r="240" ht="24.0" customHeight="1"/>
    <row r="241" ht="24.0" customHeight="1"/>
    <row r="242" ht="24.0" customHeight="1"/>
    <row r="243" ht="24.0" customHeight="1"/>
    <row r="244" ht="24.0" customHeight="1"/>
    <row r="245" ht="24.0" customHeight="1"/>
    <row r="246" ht="24.0" customHeight="1"/>
    <row r="247" ht="24.0" customHeight="1"/>
    <row r="248" ht="24.0" customHeight="1"/>
    <row r="249" ht="24.0" customHeight="1"/>
    <row r="250" ht="24.0" customHeight="1"/>
    <row r="251" ht="24.0" customHeight="1"/>
    <row r="252" ht="24.0" customHeight="1"/>
    <row r="253" ht="24.0" customHeight="1"/>
    <row r="254" ht="24.0" customHeight="1"/>
    <row r="255" ht="24.0" customHeight="1"/>
    <row r="256" ht="24.0" customHeight="1"/>
    <row r="257" ht="24.0" customHeight="1"/>
    <row r="258" ht="24.0" customHeight="1"/>
    <row r="259" ht="24.0" customHeight="1"/>
    <row r="260" ht="24.0" customHeight="1"/>
    <row r="261" ht="24.0" customHeight="1"/>
    <row r="262" ht="24.0" customHeight="1"/>
    <row r="263" ht="24.0" customHeight="1"/>
    <row r="264" ht="24.0" customHeight="1"/>
    <row r="265" ht="24.0" customHeight="1"/>
    <row r="266" ht="24.0" customHeight="1"/>
    <row r="267" ht="24.0" customHeight="1"/>
    <row r="268" ht="24.0" customHeight="1"/>
    <row r="269" ht="24.0" customHeight="1"/>
    <row r="270" ht="24.0" customHeight="1"/>
    <row r="271" ht="24.0" customHeight="1"/>
    <row r="272" ht="24.0" customHeight="1"/>
    <row r="273" ht="24.0" customHeight="1"/>
    <row r="274" ht="24.0" customHeight="1"/>
    <row r="275" ht="24.0" customHeight="1"/>
    <row r="276" ht="24.0" customHeight="1"/>
    <row r="277" ht="24.0" customHeight="1"/>
    <row r="278" ht="24.0" customHeight="1"/>
    <row r="279" ht="24.0" customHeight="1"/>
    <row r="280" ht="24.0" customHeight="1"/>
    <row r="281" ht="24.0" customHeight="1"/>
    <row r="282" ht="24.0" customHeight="1"/>
    <row r="283" ht="24.0" customHeight="1"/>
    <row r="284" ht="24.0" customHeight="1"/>
    <row r="285" ht="24.0" customHeight="1"/>
    <row r="286" ht="24.0" customHeight="1"/>
    <row r="287" ht="24.0" customHeight="1"/>
    <row r="288" ht="24.0" customHeight="1"/>
    <row r="289" ht="24.0" customHeight="1"/>
    <row r="290" ht="24.0" customHeight="1"/>
    <row r="291" ht="24.0" customHeight="1"/>
    <row r="292" ht="24.0" customHeight="1"/>
    <row r="293" ht="24.0" customHeight="1"/>
    <row r="294" ht="24.0" customHeight="1"/>
    <row r="295" ht="24.0" customHeight="1"/>
    <row r="296" ht="24.0" customHeight="1"/>
    <row r="297" ht="24.0" customHeight="1"/>
    <row r="298" ht="24.0" customHeight="1"/>
    <row r="299" ht="24.0" customHeight="1"/>
    <row r="300" ht="24.0" customHeight="1"/>
    <row r="301" ht="24.0" customHeight="1"/>
    <row r="302" ht="24.0" customHeight="1"/>
    <row r="303" ht="24.0" customHeight="1"/>
    <row r="304" ht="24.0" customHeight="1"/>
    <row r="305" ht="24.0" customHeight="1"/>
    <row r="306" ht="24.0" customHeight="1"/>
    <row r="307" ht="24.0" customHeight="1"/>
    <row r="308" ht="24.0" customHeight="1"/>
    <row r="309" ht="24.0" customHeight="1"/>
    <row r="310" ht="24.0" customHeight="1"/>
    <row r="311" ht="24.0" customHeight="1"/>
    <row r="312" ht="24.0" customHeight="1"/>
    <row r="313" ht="24.0" customHeight="1"/>
    <row r="314" ht="24.0" customHeight="1"/>
    <row r="315" ht="24.0" customHeight="1"/>
    <row r="316" ht="24.0" customHeight="1"/>
    <row r="317" ht="24.0" customHeight="1"/>
    <row r="318" ht="24.0" customHeight="1"/>
    <row r="319" ht="24.0" customHeight="1"/>
    <row r="320" ht="24.0" customHeight="1"/>
    <row r="321" ht="24.0" customHeight="1"/>
    <row r="322" ht="24.0" customHeight="1"/>
    <row r="323" ht="24.0" customHeight="1"/>
    <row r="324" ht="24.0" customHeight="1"/>
    <row r="325" ht="24.0" customHeight="1"/>
    <row r="326" ht="24.0" customHeight="1"/>
    <row r="327" ht="24.0" customHeight="1"/>
    <row r="328" ht="24.0" customHeight="1"/>
    <row r="329" ht="24.0" customHeight="1"/>
    <row r="330" ht="24.0" customHeight="1"/>
    <row r="331" ht="24.0" customHeight="1"/>
    <row r="332" ht="24.0" customHeight="1"/>
    <row r="333" ht="24.0" customHeight="1"/>
    <row r="334" ht="24.0" customHeight="1"/>
    <row r="335" ht="24.0" customHeight="1"/>
    <row r="336" ht="24.0" customHeight="1"/>
    <row r="337" ht="24.0" customHeight="1"/>
    <row r="338" ht="24.0" customHeight="1"/>
    <row r="339" ht="24.0" customHeight="1"/>
    <row r="340" ht="24.0" customHeight="1"/>
    <row r="341" ht="24.0" customHeight="1"/>
    <row r="342" ht="24.0" customHeight="1"/>
    <row r="343" ht="24.0" customHeight="1"/>
    <row r="344" ht="24.0" customHeight="1"/>
    <row r="345" ht="24.0" customHeight="1"/>
    <row r="346" ht="24.0" customHeight="1"/>
    <row r="347" ht="24.0" customHeight="1"/>
    <row r="348" ht="24.0" customHeight="1"/>
    <row r="349" ht="24.0" customHeight="1"/>
    <row r="350" ht="24.0" customHeight="1"/>
    <row r="351" ht="24.0" customHeight="1"/>
    <row r="352" ht="24.0" customHeight="1"/>
    <row r="353" ht="24.0" customHeight="1"/>
    <row r="354" ht="24.0" customHeight="1"/>
    <row r="355" ht="24.0" customHeight="1"/>
    <row r="356" ht="24.0" customHeight="1"/>
    <row r="357" ht="24.0" customHeight="1"/>
    <row r="358" ht="24.0" customHeight="1"/>
    <row r="359" ht="24.0" customHeight="1"/>
    <row r="360" ht="24.0" customHeight="1"/>
    <row r="361" ht="24.0" customHeight="1"/>
    <row r="362" ht="24.0" customHeight="1"/>
    <row r="363" ht="24.0" customHeight="1"/>
    <row r="364" ht="24.0" customHeight="1"/>
    <row r="365" ht="24.0" customHeight="1"/>
    <row r="366" ht="24.0" customHeight="1"/>
    <row r="367" ht="24.0" customHeight="1"/>
    <row r="368" ht="24.0" customHeight="1"/>
    <row r="369" ht="24.0" customHeight="1"/>
    <row r="370" ht="24.0" customHeight="1"/>
    <row r="371" ht="24.0" customHeight="1"/>
    <row r="372" ht="24.0" customHeight="1"/>
    <row r="373" ht="24.0" customHeight="1"/>
    <row r="374" ht="24.0" customHeight="1"/>
    <row r="375" ht="24.0" customHeight="1"/>
    <row r="376" ht="24.0" customHeight="1"/>
    <row r="377" ht="24.0" customHeight="1"/>
    <row r="378" ht="24.0" customHeight="1"/>
    <row r="379" ht="24.0" customHeight="1"/>
    <row r="380" ht="24.0" customHeight="1"/>
    <row r="381" ht="24.0" customHeight="1"/>
    <row r="382" ht="24.0" customHeight="1"/>
    <row r="383" ht="24.0" customHeight="1"/>
    <row r="384" ht="24.0" customHeight="1"/>
    <row r="385" ht="24.0" customHeight="1"/>
    <row r="386" ht="24.0" customHeight="1"/>
    <row r="387" ht="24.0" customHeight="1"/>
    <row r="388" ht="24.0" customHeight="1"/>
    <row r="389" ht="24.0" customHeight="1"/>
    <row r="390" ht="24.0" customHeight="1"/>
    <row r="391" ht="24.0" customHeight="1"/>
    <row r="392" ht="24.0" customHeight="1"/>
    <row r="393" ht="24.0" customHeight="1"/>
    <row r="394" ht="24.0" customHeight="1"/>
    <row r="395" ht="24.0" customHeight="1"/>
    <row r="396" ht="24.0" customHeight="1"/>
    <row r="397" ht="24.0" customHeight="1"/>
    <row r="398" ht="24.0" customHeight="1"/>
    <row r="399" ht="24.0" customHeight="1"/>
    <row r="400" ht="24.0" customHeight="1"/>
    <row r="401" ht="24.0" customHeight="1"/>
    <row r="402" ht="24.0" customHeight="1"/>
    <row r="403" ht="24.0" customHeight="1"/>
    <row r="404" ht="24.0" customHeight="1"/>
    <row r="405" ht="24.0" customHeight="1"/>
    <row r="406" ht="24.0" customHeight="1"/>
    <row r="407" ht="24.0" customHeight="1"/>
    <row r="408" ht="24.0" customHeight="1"/>
    <row r="409" ht="24.0" customHeight="1"/>
    <row r="410" ht="24.0" customHeight="1"/>
    <row r="411" ht="24.0" customHeight="1"/>
    <row r="412" ht="24.0" customHeight="1"/>
    <row r="413" ht="24.0" customHeight="1"/>
    <row r="414" ht="24.0" customHeight="1"/>
    <row r="415" ht="24.0" customHeight="1"/>
    <row r="416" ht="24.0" customHeight="1"/>
    <row r="417" ht="24.0" customHeight="1"/>
    <row r="418" ht="24.0" customHeight="1"/>
    <row r="419" ht="24.0" customHeight="1"/>
    <row r="420" ht="24.0" customHeight="1"/>
    <row r="421" ht="24.0" customHeight="1"/>
    <row r="422" ht="24.0" customHeight="1"/>
    <row r="423" ht="24.0" customHeight="1"/>
    <row r="424" ht="24.0" customHeight="1"/>
    <row r="425" ht="24.0" customHeight="1"/>
    <row r="426" ht="24.0" customHeight="1"/>
    <row r="427" ht="24.0" customHeight="1"/>
    <row r="428" ht="24.0" customHeight="1"/>
    <row r="429" ht="24.0" customHeight="1"/>
    <row r="430" ht="24.0" customHeight="1"/>
    <row r="431" ht="24.0" customHeight="1"/>
    <row r="432" ht="24.0" customHeight="1"/>
    <row r="433" ht="24.0" customHeight="1"/>
    <row r="434" ht="24.0" customHeight="1"/>
    <row r="435" ht="24.0" customHeight="1"/>
    <row r="436" ht="24.0" customHeight="1"/>
    <row r="437" ht="24.0" customHeight="1"/>
    <row r="438" ht="24.0" customHeight="1"/>
    <row r="439" ht="24.0" customHeight="1"/>
    <row r="440" ht="24.0" customHeight="1"/>
    <row r="441" ht="24.0" customHeight="1"/>
    <row r="442" ht="24.0" customHeight="1"/>
    <row r="443" ht="24.0" customHeight="1"/>
    <row r="444" ht="24.0" customHeight="1"/>
    <row r="445" ht="24.0" customHeight="1"/>
    <row r="446" ht="24.0" customHeight="1"/>
    <row r="447" ht="24.0" customHeight="1"/>
    <row r="448" ht="24.0" customHeight="1"/>
    <row r="449" ht="24.0" customHeight="1"/>
    <row r="450" ht="24.0" customHeight="1"/>
    <row r="451" ht="24.0" customHeight="1"/>
    <row r="452" ht="24.0" customHeight="1"/>
    <row r="453" ht="24.0" customHeight="1"/>
    <row r="454" ht="24.0" customHeight="1"/>
    <row r="455" ht="24.0" customHeight="1"/>
    <row r="456" ht="24.0" customHeight="1"/>
    <row r="457" ht="24.0" customHeight="1"/>
    <row r="458" ht="24.0" customHeight="1"/>
    <row r="459" ht="24.0" customHeight="1"/>
    <row r="460" ht="24.0" customHeight="1"/>
    <row r="461" ht="24.0" customHeight="1"/>
    <row r="462" ht="24.0" customHeight="1"/>
    <row r="463" ht="24.0" customHeight="1"/>
    <row r="464" ht="24.0" customHeight="1"/>
    <row r="465" ht="24.0" customHeight="1"/>
    <row r="466" ht="24.0" customHeight="1"/>
    <row r="467" ht="24.0" customHeight="1"/>
    <row r="468" ht="24.0" customHeight="1"/>
    <row r="469" ht="24.0" customHeight="1"/>
    <row r="470" ht="24.0" customHeight="1"/>
    <row r="471" ht="24.0" customHeight="1"/>
    <row r="472" ht="24.0" customHeight="1"/>
    <row r="473" ht="24.0" customHeight="1"/>
    <row r="474" ht="24.0" customHeight="1"/>
    <row r="475" ht="24.0" customHeight="1"/>
    <row r="476" ht="24.0" customHeight="1"/>
    <row r="477" ht="24.0" customHeight="1"/>
    <row r="478" ht="24.0" customHeight="1"/>
    <row r="479" ht="24.0" customHeight="1"/>
    <row r="480" ht="24.0" customHeight="1"/>
    <row r="481" ht="24.0" customHeight="1"/>
    <row r="482" ht="24.0" customHeight="1"/>
    <row r="483" ht="24.0" customHeight="1"/>
    <row r="484" ht="24.0" customHeight="1"/>
    <row r="485" ht="24.0" customHeight="1"/>
    <row r="486" ht="24.0" customHeight="1"/>
    <row r="487" ht="24.0" customHeight="1"/>
    <row r="488" ht="24.0" customHeight="1"/>
    <row r="489" ht="24.0" customHeight="1"/>
    <row r="490" ht="24.0" customHeight="1"/>
    <row r="491" ht="24.0" customHeight="1"/>
    <row r="492" ht="24.0" customHeight="1"/>
    <row r="493" ht="24.0" customHeight="1"/>
    <row r="494" ht="24.0" customHeight="1"/>
    <row r="495" ht="24.0" customHeight="1"/>
    <row r="496" ht="24.0" customHeight="1"/>
    <row r="497" ht="24.0" customHeight="1"/>
    <row r="498" ht="24.0" customHeight="1"/>
    <row r="499" ht="24.0" customHeight="1"/>
    <row r="500" ht="24.0" customHeight="1"/>
    <row r="501" ht="24.0" customHeight="1"/>
    <row r="502" ht="24.0" customHeight="1"/>
    <row r="503" ht="24.0" customHeight="1"/>
    <row r="504" ht="24.0" customHeight="1"/>
    <row r="505" ht="24.0" customHeight="1"/>
    <row r="506" ht="24.0" customHeight="1"/>
    <row r="507" ht="24.0" customHeight="1"/>
    <row r="508" ht="24.0" customHeight="1"/>
    <row r="509" ht="24.0" customHeight="1"/>
    <row r="510" ht="24.0" customHeight="1"/>
    <row r="511" ht="24.0" customHeight="1"/>
    <row r="512" ht="24.0" customHeight="1"/>
    <row r="513" ht="24.0" customHeight="1"/>
    <row r="514" ht="24.0" customHeight="1"/>
    <row r="515" ht="24.0" customHeight="1"/>
    <row r="516" ht="24.0" customHeight="1"/>
    <row r="517" ht="24.0" customHeight="1"/>
    <row r="518" ht="24.0" customHeight="1"/>
    <row r="519" ht="24.0" customHeight="1"/>
    <row r="520" ht="24.0" customHeight="1"/>
    <row r="521" ht="24.0" customHeight="1"/>
    <row r="522" ht="24.0" customHeight="1"/>
    <row r="523" ht="24.0" customHeight="1"/>
    <row r="524" ht="24.0" customHeight="1"/>
    <row r="525" ht="24.0" customHeight="1"/>
    <row r="526" ht="24.0" customHeight="1"/>
    <row r="527" ht="24.0" customHeight="1"/>
    <row r="528" ht="24.0" customHeight="1"/>
    <row r="529" ht="24.0" customHeight="1"/>
    <row r="530" ht="24.0" customHeight="1"/>
    <row r="531" ht="24.0" customHeight="1"/>
    <row r="532" ht="24.0" customHeight="1"/>
    <row r="533" ht="24.0" customHeight="1"/>
    <row r="534" ht="24.0" customHeight="1"/>
    <row r="535" ht="24.0" customHeight="1"/>
    <row r="536" ht="24.0" customHeight="1"/>
    <row r="537" ht="24.0" customHeight="1"/>
    <row r="538" ht="24.0" customHeight="1"/>
    <row r="539" ht="24.0" customHeight="1"/>
    <row r="540" ht="24.0" customHeight="1"/>
    <row r="541" ht="24.0" customHeight="1"/>
    <row r="542" ht="24.0" customHeight="1"/>
    <row r="543" ht="24.0" customHeight="1"/>
    <row r="544" ht="24.0" customHeight="1"/>
    <row r="545" ht="24.0" customHeight="1"/>
    <row r="546" ht="24.0" customHeight="1"/>
    <row r="547" ht="24.0" customHeight="1"/>
    <row r="548" ht="24.0" customHeight="1"/>
    <row r="549" ht="24.0" customHeight="1"/>
    <row r="550" ht="24.0" customHeight="1"/>
    <row r="551" ht="24.0" customHeight="1"/>
    <row r="552" ht="24.0" customHeight="1"/>
    <row r="553" ht="24.0" customHeight="1"/>
    <row r="554" ht="24.0" customHeight="1"/>
    <row r="555" ht="24.0" customHeight="1"/>
    <row r="556" ht="24.0" customHeight="1"/>
    <row r="557" ht="24.0" customHeight="1"/>
    <row r="558" ht="24.0" customHeight="1"/>
    <row r="559" ht="24.0" customHeight="1"/>
    <row r="560" ht="24.0" customHeight="1"/>
    <row r="561" ht="24.0" customHeight="1"/>
    <row r="562" ht="24.0" customHeight="1"/>
    <row r="563" ht="24.0" customHeight="1"/>
    <row r="564" ht="24.0" customHeight="1"/>
    <row r="565" ht="24.0" customHeight="1"/>
    <row r="566" ht="24.0" customHeight="1"/>
    <row r="567" ht="24.0" customHeight="1"/>
    <row r="568" ht="24.0" customHeight="1"/>
    <row r="569" ht="24.0" customHeight="1"/>
    <row r="570" ht="24.0" customHeight="1"/>
    <row r="571" ht="24.0" customHeight="1"/>
    <row r="572" ht="24.0" customHeight="1"/>
    <row r="573" ht="24.0" customHeight="1"/>
    <row r="574" ht="24.0" customHeight="1"/>
    <row r="575" ht="24.0" customHeight="1"/>
    <row r="576" ht="24.0" customHeight="1"/>
    <row r="577" ht="24.0" customHeight="1"/>
    <row r="578" ht="24.0" customHeight="1"/>
    <row r="579" ht="24.0" customHeight="1"/>
    <row r="580" ht="24.0" customHeight="1"/>
    <row r="581" ht="24.0" customHeight="1"/>
    <row r="582" ht="24.0" customHeight="1"/>
    <row r="583" ht="24.0" customHeight="1"/>
    <row r="584" ht="24.0" customHeight="1"/>
    <row r="585" ht="24.0" customHeight="1"/>
    <row r="586" ht="24.0" customHeight="1"/>
    <row r="587" ht="24.0" customHeight="1"/>
    <row r="588" ht="24.0" customHeight="1"/>
    <row r="589" ht="24.0" customHeight="1"/>
    <row r="590" ht="24.0" customHeight="1"/>
    <row r="591" ht="24.0" customHeight="1"/>
    <row r="592" ht="24.0" customHeight="1"/>
    <row r="593" ht="24.0" customHeight="1"/>
    <row r="594" ht="24.0" customHeight="1"/>
    <row r="595" ht="24.0" customHeight="1"/>
    <row r="596" ht="24.0" customHeight="1"/>
    <row r="597" ht="24.0" customHeight="1"/>
    <row r="598" ht="24.0" customHeight="1"/>
    <row r="599" ht="24.0" customHeight="1"/>
    <row r="600" ht="24.0" customHeight="1"/>
    <row r="601" ht="24.0" customHeight="1"/>
    <row r="602" ht="24.0" customHeight="1"/>
    <row r="603" ht="24.0" customHeight="1"/>
    <row r="604" ht="24.0" customHeight="1"/>
    <row r="605" ht="24.0" customHeight="1"/>
    <row r="606" ht="24.0" customHeight="1"/>
    <row r="607" ht="24.0" customHeight="1"/>
    <row r="608" ht="24.0" customHeight="1"/>
    <row r="609" ht="24.0" customHeight="1"/>
    <row r="610" ht="24.0" customHeight="1"/>
    <row r="611" ht="24.0" customHeight="1"/>
    <row r="612" ht="24.0" customHeight="1"/>
    <row r="613" ht="24.0" customHeight="1"/>
    <row r="614" ht="24.0" customHeight="1"/>
    <row r="615" ht="24.0" customHeight="1"/>
    <row r="616" ht="24.0" customHeight="1"/>
    <row r="617" ht="24.0" customHeight="1"/>
    <row r="618" ht="24.0" customHeight="1"/>
    <row r="619" ht="24.0" customHeight="1"/>
    <row r="620" ht="24.0" customHeight="1"/>
    <row r="621" ht="24.0" customHeight="1"/>
    <row r="622" ht="24.0" customHeight="1"/>
    <row r="623" ht="24.0" customHeight="1"/>
    <row r="624" ht="24.0" customHeight="1"/>
    <row r="625" ht="24.0" customHeight="1"/>
    <row r="626" ht="24.0" customHeight="1"/>
    <row r="627" ht="24.0" customHeight="1"/>
    <row r="628" ht="24.0" customHeight="1"/>
    <row r="629" ht="24.0" customHeight="1"/>
    <row r="630" ht="24.0" customHeight="1"/>
    <row r="631" ht="24.0" customHeight="1"/>
    <row r="632" ht="24.0" customHeight="1"/>
    <row r="633" ht="24.0" customHeight="1"/>
    <row r="634" ht="24.0" customHeight="1"/>
    <row r="635" ht="24.0" customHeight="1"/>
    <row r="636" ht="24.0" customHeight="1"/>
    <row r="637" ht="24.0" customHeight="1"/>
    <row r="638" ht="24.0" customHeight="1"/>
    <row r="639" ht="24.0" customHeight="1"/>
    <row r="640" ht="24.0" customHeight="1"/>
    <row r="641" ht="24.0" customHeight="1"/>
    <row r="642" ht="24.0" customHeight="1"/>
    <row r="643" ht="24.0" customHeight="1"/>
    <row r="644" ht="24.0" customHeight="1"/>
    <row r="645" ht="24.0" customHeight="1"/>
    <row r="646" ht="24.0" customHeight="1"/>
    <row r="647" ht="24.0" customHeight="1"/>
    <row r="648" ht="24.0" customHeight="1"/>
    <row r="649" ht="24.0" customHeight="1"/>
    <row r="650" ht="24.0" customHeight="1"/>
    <row r="651" ht="24.0" customHeight="1"/>
    <row r="652" ht="24.0" customHeight="1"/>
    <row r="653" ht="24.0" customHeight="1"/>
    <row r="654" ht="24.0" customHeight="1"/>
    <row r="655" ht="24.0" customHeight="1"/>
    <row r="656" ht="24.0" customHeight="1"/>
    <row r="657" ht="24.0" customHeight="1"/>
    <row r="658" ht="24.0" customHeight="1"/>
    <row r="659" ht="24.0" customHeight="1"/>
    <row r="660" ht="24.0" customHeight="1"/>
    <row r="661" ht="24.0" customHeight="1"/>
    <row r="662" ht="24.0" customHeight="1"/>
    <row r="663" ht="24.0" customHeight="1"/>
    <row r="664" ht="24.0" customHeight="1"/>
    <row r="665" ht="24.0" customHeight="1"/>
    <row r="666" ht="24.0" customHeight="1"/>
    <row r="667" ht="24.0" customHeight="1"/>
    <row r="668" ht="24.0" customHeight="1"/>
    <row r="669" ht="24.0" customHeight="1"/>
    <row r="670" ht="24.0" customHeight="1"/>
    <row r="671" ht="24.0" customHeight="1"/>
    <row r="672" ht="24.0" customHeight="1"/>
    <row r="673" ht="24.0" customHeight="1"/>
    <row r="674" ht="24.0" customHeight="1"/>
    <row r="675" ht="24.0" customHeight="1"/>
    <row r="676" ht="24.0" customHeight="1"/>
    <row r="677" ht="24.0" customHeight="1"/>
    <row r="678" ht="24.0" customHeight="1"/>
    <row r="679" ht="24.0" customHeight="1"/>
    <row r="680" ht="24.0" customHeight="1"/>
    <row r="681" ht="24.0" customHeight="1"/>
    <row r="682" ht="24.0" customHeight="1"/>
    <row r="683" ht="24.0" customHeight="1"/>
    <row r="684" ht="24.0" customHeight="1"/>
    <row r="685" ht="24.0" customHeight="1"/>
    <row r="686" ht="24.0" customHeight="1"/>
    <row r="687" ht="24.0" customHeight="1"/>
    <row r="688" ht="24.0" customHeight="1"/>
    <row r="689" ht="24.0" customHeight="1"/>
    <row r="690" ht="24.0" customHeight="1"/>
    <row r="691" ht="24.0" customHeight="1"/>
    <row r="692" ht="24.0" customHeight="1"/>
    <row r="693" ht="24.0" customHeight="1"/>
    <row r="694" ht="24.0" customHeight="1"/>
    <row r="695" ht="24.0" customHeight="1"/>
    <row r="696" ht="24.0" customHeight="1"/>
    <row r="697" ht="24.0" customHeight="1"/>
    <row r="698" ht="24.0" customHeight="1"/>
    <row r="699" ht="24.0" customHeight="1"/>
    <row r="700" ht="24.0" customHeight="1"/>
    <row r="701" ht="24.0" customHeight="1"/>
    <row r="702" ht="24.0" customHeight="1"/>
    <row r="703" ht="24.0" customHeight="1"/>
    <row r="704" ht="24.0" customHeight="1"/>
    <row r="705" ht="24.0" customHeight="1"/>
    <row r="706" ht="24.0" customHeight="1"/>
    <row r="707" ht="24.0" customHeight="1"/>
    <row r="708" ht="24.0" customHeight="1"/>
    <row r="709" ht="24.0" customHeight="1"/>
    <row r="710" ht="24.0" customHeight="1"/>
    <row r="711" ht="24.0" customHeight="1"/>
    <row r="712" ht="24.0" customHeight="1"/>
    <row r="713" ht="24.0" customHeight="1"/>
    <row r="714" ht="24.0" customHeight="1"/>
    <row r="715" ht="24.0" customHeight="1"/>
    <row r="716" ht="24.0" customHeight="1"/>
    <row r="717" ht="24.0" customHeight="1"/>
    <row r="718" ht="24.0" customHeight="1"/>
    <row r="719" ht="24.0" customHeight="1"/>
    <row r="720" ht="24.0" customHeight="1"/>
    <row r="721" ht="24.0" customHeight="1"/>
    <row r="722" ht="24.0" customHeight="1"/>
    <row r="723" ht="24.0" customHeight="1"/>
    <row r="724" ht="24.0" customHeight="1"/>
    <row r="725" ht="24.0" customHeight="1"/>
    <row r="726" ht="24.0" customHeight="1"/>
    <row r="727" ht="24.0" customHeight="1"/>
    <row r="728" ht="24.0" customHeight="1"/>
    <row r="729" ht="24.0" customHeight="1"/>
    <row r="730" ht="24.0" customHeight="1"/>
    <row r="731" ht="24.0" customHeight="1"/>
    <row r="732" ht="24.0" customHeight="1"/>
    <row r="733" ht="24.0" customHeight="1"/>
    <row r="734" ht="24.0" customHeight="1"/>
    <row r="735" ht="24.0" customHeight="1"/>
    <row r="736" ht="24.0" customHeight="1"/>
    <row r="737" ht="24.0" customHeight="1"/>
    <row r="738" ht="24.0" customHeight="1"/>
    <row r="739" ht="24.0" customHeight="1"/>
    <row r="740" ht="24.0" customHeight="1"/>
    <row r="741" ht="24.0" customHeight="1"/>
    <row r="742" ht="24.0" customHeight="1"/>
    <row r="743" ht="24.0" customHeight="1"/>
    <row r="744" ht="24.0" customHeight="1"/>
    <row r="745" ht="24.0" customHeight="1"/>
    <row r="746" ht="24.0" customHeight="1"/>
    <row r="747" ht="24.0" customHeight="1"/>
    <row r="748" ht="24.0" customHeight="1"/>
    <row r="749" ht="24.0" customHeight="1"/>
    <row r="750" ht="24.0" customHeight="1"/>
    <row r="751" ht="24.0" customHeight="1"/>
    <row r="752" ht="24.0" customHeight="1"/>
    <row r="753" ht="24.0" customHeight="1"/>
    <row r="754" ht="24.0" customHeight="1"/>
    <row r="755" ht="24.0" customHeight="1"/>
    <row r="756" ht="24.0" customHeight="1"/>
    <row r="757" ht="24.0" customHeight="1"/>
    <row r="758" ht="24.0" customHeight="1"/>
    <row r="759" ht="24.0" customHeight="1"/>
    <row r="760" ht="24.0" customHeight="1"/>
    <row r="761" ht="24.0" customHeight="1"/>
    <row r="762" ht="24.0" customHeight="1"/>
    <row r="763" ht="24.0" customHeight="1"/>
    <row r="764" ht="24.0" customHeight="1"/>
    <row r="765" ht="24.0" customHeight="1"/>
    <row r="766" ht="24.0" customHeight="1"/>
    <row r="767" ht="24.0" customHeight="1"/>
    <row r="768" ht="24.0" customHeight="1"/>
    <row r="769" ht="24.0" customHeight="1"/>
    <row r="770" ht="24.0" customHeight="1"/>
    <row r="771" ht="24.0" customHeight="1"/>
    <row r="772" ht="24.0" customHeight="1"/>
    <row r="773" ht="24.0" customHeight="1"/>
    <row r="774" ht="24.0" customHeight="1"/>
    <row r="775" ht="24.0" customHeight="1"/>
    <row r="776" ht="24.0" customHeight="1"/>
    <row r="777" ht="24.0" customHeight="1"/>
    <row r="778" ht="24.0" customHeight="1"/>
    <row r="779" ht="24.0" customHeight="1"/>
    <row r="780" ht="24.0" customHeight="1"/>
    <row r="781" ht="24.0" customHeight="1"/>
    <row r="782" ht="24.0" customHeight="1"/>
    <row r="783" ht="24.0" customHeight="1"/>
    <row r="784" ht="24.0" customHeight="1"/>
    <row r="785" ht="24.0" customHeight="1"/>
    <row r="786" ht="24.0" customHeight="1"/>
    <row r="787" ht="24.0" customHeight="1"/>
    <row r="788" ht="24.0" customHeight="1"/>
    <row r="789" ht="24.0" customHeight="1"/>
    <row r="790" ht="24.0" customHeight="1"/>
    <row r="791" ht="24.0" customHeight="1"/>
    <row r="792" ht="24.0" customHeight="1"/>
    <row r="793" ht="24.0" customHeight="1"/>
    <row r="794" ht="24.0" customHeight="1"/>
    <row r="795" ht="24.0" customHeight="1"/>
    <row r="796" ht="24.0" customHeight="1"/>
    <row r="797" ht="24.0" customHeight="1"/>
    <row r="798" ht="24.0" customHeight="1"/>
    <row r="799" ht="24.0" customHeight="1"/>
    <row r="800" ht="24.0" customHeight="1"/>
    <row r="801" ht="24.0" customHeight="1"/>
    <row r="802" ht="24.0" customHeight="1"/>
    <row r="803" ht="24.0" customHeight="1"/>
    <row r="804" ht="24.0" customHeight="1"/>
    <row r="805" ht="24.0" customHeight="1"/>
    <row r="806" ht="24.0" customHeight="1"/>
    <row r="807" ht="24.0" customHeight="1"/>
    <row r="808" ht="24.0" customHeight="1"/>
    <row r="809" ht="24.0" customHeight="1"/>
    <row r="810" ht="24.0" customHeight="1"/>
    <row r="811" ht="24.0" customHeight="1"/>
    <row r="812" ht="24.0" customHeight="1"/>
    <row r="813" ht="24.0" customHeight="1"/>
    <row r="814" ht="24.0" customHeight="1"/>
    <row r="815" ht="24.0" customHeight="1"/>
    <row r="816" ht="24.0" customHeight="1"/>
    <row r="817" ht="24.0" customHeight="1"/>
    <row r="818" ht="24.0" customHeight="1"/>
    <row r="819" ht="24.0" customHeight="1"/>
    <row r="820" ht="24.0" customHeight="1"/>
    <row r="821" ht="24.0" customHeight="1"/>
    <row r="822" ht="24.0" customHeight="1"/>
    <row r="823" ht="24.0" customHeight="1"/>
    <row r="824" ht="24.0" customHeight="1"/>
    <row r="825" ht="24.0" customHeight="1"/>
    <row r="826" ht="24.0" customHeight="1"/>
    <row r="827" ht="24.0" customHeight="1"/>
    <row r="828" ht="24.0" customHeight="1"/>
    <row r="829" ht="24.0" customHeight="1"/>
    <row r="830" ht="24.0" customHeight="1"/>
    <row r="831" ht="24.0" customHeight="1"/>
    <row r="832" ht="24.0" customHeight="1"/>
    <row r="833" ht="24.0" customHeight="1"/>
    <row r="834" ht="24.0" customHeight="1"/>
    <row r="835" ht="24.0" customHeight="1"/>
    <row r="836" ht="24.0" customHeight="1"/>
    <row r="837" ht="24.0" customHeight="1"/>
    <row r="838" ht="24.0" customHeight="1"/>
    <row r="839" ht="24.0" customHeight="1"/>
    <row r="840" ht="24.0" customHeight="1"/>
    <row r="841" ht="24.0" customHeight="1"/>
    <row r="842" ht="24.0" customHeight="1"/>
    <row r="843" ht="24.0" customHeight="1"/>
    <row r="844" ht="24.0" customHeight="1"/>
    <row r="845" ht="24.0" customHeight="1"/>
    <row r="846" ht="24.0" customHeight="1"/>
    <row r="847" ht="24.0" customHeight="1"/>
    <row r="848" ht="24.0" customHeight="1"/>
    <row r="849" ht="24.0" customHeight="1"/>
    <row r="850" ht="24.0" customHeight="1"/>
    <row r="851" ht="24.0" customHeight="1"/>
    <row r="852" ht="24.0" customHeight="1"/>
    <row r="853" ht="24.0" customHeight="1"/>
    <row r="854" ht="24.0" customHeight="1"/>
    <row r="855" ht="24.0" customHeight="1"/>
    <row r="856" ht="24.0" customHeight="1"/>
    <row r="857" ht="24.0" customHeight="1"/>
    <row r="858" ht="24.0" customHeight="1"/>
    <row r="859" ht="24.0" customHeight="1"/>
    <row r="860" ht="24.0" customHeight="1"/>
    <row r="861" ht="24.0" customHeight="1"/>
    <row r="862" ht="24.0" customHeight="1"/>
    <row r="863" ht="24.0" customHeight="1"/>
    <row r="864" ht="24.0" customHeight="1"/>
    <row r="865" ht="24.0" customHeight="1"/>
    <row r="866" ht="24.0" customHeight="1"/>
    <row r="867" ht="24.0" customHeight="1"/>
    <row r="868" ht="24.0" customHeight="1"/>
    <row r="869" ht="24.0" customHeight="1"/>
    <row r="870" ht="24.0" customHeight="1"/>
    <row r="871" ht="24.0" customHeight="1"/>
    <row r="872" ht="24.0" customHeight="1"/>
    <row r="873" ht="24.0" customHeight="1"/>
    <row r="874" ht="24.0" customHeight="1"/>
    <row r="875" ht="24.0" customHeight="1"/>
    <row r="876" ht="24.0" customHeight="1"/>
    <row r="877" ht="24.0" customHeight="1"/>
    <row r="878" ht="24.0" customHeight="1"/>
    <row r="879" ht="24.0" customHeight="1"/>
    <row r="880" ht="24.0" customHeight="1"/>
    <row r="881" ht="24.0" customHeight="1"/>
    <row r="882" ht="24.0" customHeight="1"/>
    <row r="883" ht="24.0" customHeight="1"/>
    <row r="884" ht="24.0" customHeight="1"/>
    <row r="885" ht="24.0" customHeight="1"/>
    <row r="886" ht="24.0" customHeight="1"/>
    <row r="887" ht="24.0" customHeight="1"/>
    <row r="888" ht="24.0" customHeight="1"/>
    <row r="889" ht="24.0" customHeight="1"/>
    <row r="890" ht="24.0" customHeight="1"/>
    <row r="891" ht="24.0" customHeight="1"/>
    <row r="892" ht="24.0" customHeight="1"/>
    <row r="893" ht="24.0" customHeight="1"/>
    <row r="894" ht="24.0" customHeight="1"/>
    <row r="895" ht="24.0" customHeight="1"/>
    <row r="896" ht="24.0" customHeight="1"/>
    <row r="897" ht="24.0" customHeight="1"/>
    <row r="898" ht="24.0" customHeight="1"/>
    <row r="899" ht="24.0" customHeight="1"/>
    <row r="900" ht="24.0" customHeight="1"/>
    <row r="901" ht="24.0" customHeight="1"/>
    <row r="902" ht="24.0" customHeight="1"/>
    <row r="903" ht="24.0" customHeight="1"/>
    <row r="904" ht="24.0" customHeight="1"/>
    <row r="905" ht="24.0" customHeight="1"/>
    <row r="906" ht="24.0" customHeight="1"/>
    <row r="907" ht="24.0" customHeight="1"/>
    <row r="908" ht="24.0" customHeight="1"/>
    <row r="909" ht="24.0" customHeight="1"/>
    <row r="910" ht="24.0" customHeight="1"/>
    <row r="911" ht="24.0" customHeight="1"/>
    <row r="912" ht="24.0" customHeight="1"/>
    <row r="913" ht="24.0" customHeight="1"/>
    <row r="914" ht="24.0" customHeight="1"/>
    <row r="915" ht="24.0" customHeight="1"/>
    <row r="916" ht="24.0" customHeight="1"/>
    <row r="917" ht="24.0" customHeight="1"/>
    <row r="918" ht="24.0" customHeight="1"/>
    <row r="919" ht="24.0" customHeight="1"/>
    <row r="920" ht="24.0" customHeight="1"/>
    <row r="921" ht="24.0" customHeight="1"/>
    <row r="922" ht="24.0" customHeight="1"/>
    <row r="923" ht="24.0" customHeight="1"/>
    <row r="924" ht="24.0" customHeight="1"/>
    <row r="925" ht="24.0" customHeight="1"/>
    <row r="926" ht="24.0" customHeight="1"/>
    <row r="927" ht="24.0" customHeight="1"/>
    <row r="928" ht="24.0" customHeight="1"/>
    <row r="929" ht="24.0" customHeight="1"/>
    <row r="930" ht="24.0" customHeight="1"/>
    <row r="931" ht="24.0" customHeight="1"/>
    <row r="932" ht="24.0" customHeight="1"/>
    <row r="933" ht="24.0" customHeight="1"/>
    <row r="934" ht="24.0" customHeight="1"/>
    <row r="935" ht="24.0" customHeight="1"/>
    <row r="936" ht="24.0" customHeight="1"/>
    <row r="937" ht="24.0" customHeight="1"/>
    <row r="938" ht="24.0" customHeight="1"/>
    <row r="939" ht="24.0" customHeight="1"/>
    <row r="940" ht="24.0" customHeight="1"/>
    <row r="941" ht="24.0" customHeight="1"/>
    <row r="942" ht="24.0" customHeight="1"/>
    <row r="943" ht="24.0" customHeight="1"/>
    <row r="944" ht="24.0" customHeight="1"/>
    <row r="945" ht="24.0" customHeight="1"/>
    <row r="946" ht="24.0" customHeight="1"/>
    <row r="947" ht="24.0" customHeight="1"/>
    <row r="948" ht="24.0" customHeight="1"/>
    <row r="949" ht="24.0" customHeight="1"/>
    <row r="950" ht="24.0" customHeight="1"/>
    <row r="951" ht="24.0" customHeight="1"/>
    <row r="952" ht="24.0" customHeight="1"/>
    <row r="953" ht="24.0" customHeight="1"/>
    <row r="954" ht="24.0" customHeight="1"/>
    <row r="955" ht="24.0" customHeight="1"/>
    <row r="956" ht="24.0" customHeight="1"/>
    <row r="957" ht="24.0" customHeight="1"/>
    <row r="958" ht="24.0" customHeight="1"/>
    <row r="959" ht="24.0" customHeight="1"/>
    <row r="960" ht="24.0" customHeight="1"/>
    <row r="961" ht="24.0" customHeight="1"/>
    <row r="962" ht="24.0" customHeight="1"/>
    <row r="963" ht="24.0" customHeight="1"/>
    <row r="964" ht="24.0" customHeight="1"/>
    <row r="965" ht="24.0" customHeight="1"/>
    <row r="966" ht="24.0" customHeight="1"/>
    <row r="967" ht="24.0" customHeight="1"/>
    <row r="968" ht="24.0" customHeight="1"/>
    <row r="969" ht="24.0" customHeight="1"/>
    <row r="970" ht="24.0" customHeight="1"/>
    <row r="971" ht="24.0" customHeight="1"/>
    <row r="972" ht="24.0" customHeight="1"/>
    <row r="973" ht="24.0" customHeight="1"/>
    <row r="974" ht="24.0" customHeight="1"/>
    <row r="975" ht="24.0" customHeight="1"/>
    <row r="976" ht="24.0" customHeight="1"/>
    <row r="977" ht="24.0" customHeight="1"/>
    <row r="978" ht="24.0" customHeight="1"/>
    <row r="979" ht="24.0" customHeight="1"/>
    <row r="980" ht="24.0" customHeight="1"/>
    <row r="981" ht="24.0" customHeight="1"/>
    <row r="982" ht="24.0" customHeight="1"/>
    <row r="983" ht="24.0" customHeight="1"/>
    <row r="984" ht="24.0" customHeight="1"/>
    <row r="985" ht="24.0" customHeight="1"/>
    <row r="986" ht="24.0" customHeight="1"/>
    <row r="987" ht="24.0" customHeight="1"/>
    <row r="988" ht="24.0" customHeight="1"/>
    <row r="989" ht="24.0" customHeight="1"/>
    <row r="990" ht="24.0" customHeight="1"/>
    <row r="991" ht="24.0" customHeight="1"/>
    <row r="992" ht="24.0" customHeight="1"/>
    <row r="993" ht="24.0" customHeight="1"/>
    <row r="994" ht="24.0" customHeight="1"/>
    <row r="995" ht="24.0" customHeight="1"/>
    <row r="996" ht="24.0" customHeight="1"/>
    <row r="997" ht="24.0" customHeight="1"/>
    <row r="998" ht="24.0" customHeight="1"/>
    <row r="999" ht="24.0" customHeight="1"/>
    <row r="1000" ht="24.0" customHeight="1"/>
  </sheetData>
  <mergeCells count="2">
    <mergeCell ref="B1:F1"/>
    <mergeCell ref="B8:E8"/>
  </mergeCells>
  <conditionalFormatting sqref="E4">
    <cfRule type="expression" dxfId="0" priority="1">
      <formula>AND(ISNUMBER(E4),ROUND(E4,2)=INT(ROUND(E4,2)))</formula>
    </cfRule>
  </conditionalFormatting>
  <conditionalFormatting sqref="E4">
    <cfRule type="expression" dxfId="1" priority="2">
      <formula>AND(ISNUMBER(E4),ROUND(E4,2)&lt;&gt;INT(ROUND(E4,2)))</formula>
    </cfRule>
  </conditionalFormatting>
  <conditionalFormatting sqref="F4">
    <cfRule type="expression" dxfId="0" priority="3">
      <formula>AND(ISNUMBER(F4),ROUND(F4,2)=INT(ROUND(F4,2)))</formula>
    </cfRule>
  </conditionalFormatting>
  <conditionalFormatting sqref="F4">
    <cfRule type="expression" dxfId="1" priority="4">
      <formula>AND(ISNUMBER(F4),ROUND(F4,2)&lt;&gt;INT(ROUND(F4,2)))</formula>
    </cfRule>
  </conditionalFormatting>
  <conditionalFormatting sqref="E5">
    <cfRule type="expression" dxfId="0" priority="5">
      <formula>AND(ISNUMBER(E5),ROUND(E5,2)=INT(ROUND(E5,2)))</formula>
    </cfRule>
  </conditionalFormatting>
  <conditionalFormatting sqref="E5">
    <cfRule type="expression" dxfId="1" priority="6">
      <formula>AND(ISNUMBER(E5),ROUND(E5,2)&lt;&gt;INT(ROUND(E5,2)))</formula>
    </cfRule>
  </conditionalFormatting>
  <conditionalFormatting sqref="F5">
    <cfRule type="expression" dxfId="0" priority="7">
      <formula>AND(ISNUMBER(F5),ROUND(F5,2)=INT(ROUND(F5,2)))</formula>
    </cfRule>
  </conditionalFormatting>
  <conditionalFormatting sqref="F5">
    <cfRule type="expression" dxfId="1" priority="8">
      <formula>AND(ISNUMBER(F5),ROUND(F5,2)&lt;&gt;INT(ROUND(F5,2)))</formula>
    </cfRule>
  </conditionalFormatting>
  <conditionalFormatting sqref="F8">
    <cfRule type="expression" dxfId="0" priority="9">
      <formula>AND(ISNUMBER(F8),ROUND(F8,2)=INT(ROUND(F8,2)))</formula>
    </cfRule>
  </conditionalFormatting>
  <conditionalFormatting sqref="F8">
    <cfRule type="expression" dxfId="1" priority="10">
      <formula>AND(ISNUMBER(F8),ROUND(F8,2)&lt;&gt;INT(ROUND(F8,2)))</formula>
    </cfRule>
  </conditionalFormatting>
  <dataValidations>
    <dataValidation type="decimal" operator="greaterThanOrEqual" allowBlank="1" showInputMessage="1" showErrorMessage="1" prompt="יש להזין מספר לא שלילי" sqref="D4:D5">
      <formula1>0.0</formula1>
    </dataValidation>
    <dataValidation type="custom" allowBlank="1" showInputMessage="1" showErrorMessage="1" prompt="מספר לא שלילי, כלול או לא רלוונטי בלבד" sqref="E4:E5">
      <formula1>OR(ISBLANK(E4),AND(ISNUMBER(E4),E4&gt;=0),E4="כלול",E4="לא רלוונטי")</formula1>
    </dataValidation>
  </dataValidations>
  <printOptions/>
  <pageMargins bottom="0.75" footer="0.0" header="0.0" left="0.25" right="0.25" top="0.75"/>
  <pageSetup fitToHeight="0" paperSize="9" orientation="portrait"/>
  <headerFooter>
    <oddFooter>&amp;Cעמוד &amp;P</oddFooter>
  </headerFooter>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rightToLeft="1" workbookViewId="0"/>
  </sheetViews>
  <sheetFormatPr customHeight="1" defaultColWidth="14.43" defaultRowHeight="15.0"/>
  <cols>
    <col customWidth="1" min="1" max="1" width="7.29"/>
    <col customWidth="1" min="2" max="2" width="66.29"/>
    <col customWidth="1" min="3" max="6" width="8.14"/>
    <col customWidth="1" hidden="1" min="7" max="7" width="36.0"/>
    <col customWidth="1" hidden="1" min="8" max="8" width="12.0"/>
    <col customWidth="1" min="9" max="26" width="8.71"/>
  </cols>
  <sheetData>
    <row r="1" ht="31.5" customHeight="1">
      <c r="A1" s="10"/>
      <c r="B1" s="3" t="s">
        <v>93</v>
      </c>
      <c r="G1" s="2" t="s">
        <v>92</v>
      </c>
      <c r="H1" s="2" t="s">
        <v>53</v>
      </c>
    </row>
    <row r="2" ht="31.5" customHeight="1">
      <c r="A2" s="16" t="s">
        <v>59</v>
      </c>
      <c r="B2" s="17" t="s">
        <v>67</v>
      </c>
      <c r="C2" s="16" t="s">
        <v>72</v>
      </c>
      <c r="D2" s="16" t="s">
        <v>76</v>
      </c>
      <c r="E2" s="16" t="s">
        <v>79</v>
      </c>
      <c r="F2" s="16" t="s">
        <v>81</v>
      </c>
      <c r="G2" s="2"/>
      <c r="H2" s="2" t="s">
        <v>84</v>
      </c>
    </row>
    <row r="3" ht="63.75" customHeight="1">
      <c r="A3" s="19"/>
      <c r="B3" s="20" t="s">
        <v>362</v>
      </c>
      <c r="C3" s="19"/>
      <c r="D3" s="19"/>
      <c r="E3" s="19"/>
      <c r="F3" s="19"/>
      <c r="G3" s="12" t="s">
        <v>363</v>
      </c>
      <c r="H3" s="12" t="s">
        <v>105</v>
      </c>
    </row>
    <row r="4" ht="63.75" customHeight="1">
      <c r="A4" s="19"/>
      <c r="B4" s="20" t="s">
        <v>364</v>
      </c>
      <c r="C4" s="19" t="s">
        <v>126</v>
      </c>
      <c r="D4" s="19"/>
      <c r="E4" s="22"/>
      <c r="F4" s="22" t="str">
        <f>IF(ISBLANK(D4),"",IF(NOT(ISNUMBER(D4)),"קלט לא תקין",IF(D4&lt;0,"קלט לא תקין",IF(ISBLANK(E4),"",IF(OR(E4="כלול",E4="לא רלוונטי"),0,IF(NOT(ISNUMBER(E4)),"קלט לא תקין",IF(E4&lt;0,"קלט לא תקין",ROUND(D4*E4,2))))))))</f>
        <v/>
      </c>
      <c r="G4" s="12" t="s">
        <v>367</v>
      </c>
      <c r="H4" s="12" t="s">
        <v>113</v>
      </c>
    </row>
    <row r="5" ht="399.75" customHeight="1">
      <c r="A5" s="19"/>
      <c r="B5" s="20"/>
      <c r="C5" s="19"/>
      <c r="D5" s="19"/>
      <c r="E5" s="19"/>
      <c r="F5" s="19"/>
      <c r="G5" s="12"/>
      <c r="H5" s="12" t="s">
        <v>86</v>
      </c>
    </row>
    <row r="6" ht="95.25" customHeight="1">
      <c r="A6" s="19"/>
      <c r="B6" s="20"/>
      <c r="C6" s="19"/>
      <c r="D6" s="19"/>
      <c r="E6" s="19"/>
      <c r="F6" s="19"/>
      <c r="G6" s="12"/>
      <c r="H6" s="12" t="s">
        <v>86</v>
      </c>
    </row>
    <row r="7" ht="31.5" customHeight="1">
      <c r="A7" s="6"/>
      <c r="B7" s="7" t="s">
        <v>130</v>
      </c>
      <c r="C7" s="8"/>
      <c r="D7" s="8"/>
      <c r="E7" s="9"/>
      <c r="F7" s="23">
        <f>SUM(F4)</f>
        <v>0</v>
      </c>
      <c r="G7" s="12"/>
      <c r="H7" s="12" t="s">
        <v>136</v>
      </c>
    </row>
    <row r="8" ht="24.0" customHeight="1"/>
    <row r="9" ht="24.0" customHeight="1"/>
    <row r="10" ht="24.0" customHeight="1"/>
    <row r="11" ht="24.0" customHeight="1"/>
    <row r="12" ht="24.0" customHeight="1"/>
    <row r="13" ht="24.0" customHeight="1"/>
    <row r="14" ht="24.0" customHeight="1"/>
    <row r="15" ht="24.0" customHeight="1"/>
    <row r="16" ht="24.0" customHeight="1"/>
    <row r="17" ht="24.0" customHeight="1"/>
    <row r="18" ht="24.0" customHeight="1"/>
    <row r="19" ht="24.0" customHeight="1"/>
    <row r="20" ht="24.0" customHeight="1"/>
    <row r="21" ht="24.0" customHeight="1"/>
    <row r="22" ht="24.0" customHeight="1"/>
    <row r="23" ht="24.0" customHeight="1"/>
    <row r="24" ht="24.0" customHeight="1"/>
    <row r="25" ht="24.0" customHeight="1"/>
    <row r="26" ht="24.0" customHeight="1"/>
    <row r="27" ht="24.0" customHeight="1"/>
    <row r="28" ht="24.0" customHeight="1"/>
    <row r="29" ht="24.0" customHeight="1"/>
    <row r="30" ht="24.0" customHeight="1"/>
    <row r="31" ht="24.0" customHeight="1"/>
    <row r="32" ht="24.0" customHeight="1"/>
    <row r="33" ht="24.0" customHeight="1"/>
    <row r="34" ht="24.0" customHeight="1"/>
    <row r="35" ht="24.0" customHeight="1"/>
    <row r="36" ht="24.0" customHeight="1"/>
    <row r="37" ht="24.0" customHeight="1"/>
    <row r="38" ht="24.0" customHeight="1"/>
    <row r="39" ht="24.0" customHeight="1"/>
    <row r="40" ht="24.0" customHeight="1"/>
    <row r="41" ht="24.0" customHeight="1"/>
    <row r="42" ht="24.0" customHeight="1"/>
    <row r="43" ht="24.0" customHeight="1"/>
    <row r="44" ht="24.0" customHeight="1"/>
    <row r="45" ht="24.0" customHeight="1"/>
    <row r="46" ht="24.0" customHeight="1"/>
    <row r="47" ht="24.0" customHeight="1"/>
    <row r="48" ht="24.0" customHeight="1"/>
    <row r="49" ht="24.0" customHeight="1"/>
    <row r="50" ht="24.0" customHeight="1"/>
    <row r="51" ht="24.0" customHeight="1"/>
    <row r="52" ht="24.0" customHeight="1"/>
    <row r="53" ht="24.0" customHeight="1"/>
    <row r="54" ht="24.0" customHeight="1"/>
    <row r="55" ht="24.0" customHeight="1"/>
    <row r="56" ht="24.0" customHeight="1"/>
    <row r="57" ht="24.0" customHeight="1"/>
    <row r="58" ht="24.0" customHeight="1"/>
    <row r="59" ht="24.0" customHeight="1"/>
    <row r="60" ht="24.0" customHeight="1"/>
    <row r="61" ht="24.0" customHeight="1"/>
    <row r="62" ht="24.0" customHeight="1"/>
    <row r="63" ht="24.0" customHeight="1"/>
    <row r="64" ht="24.0" customHeight="1"/>
    <row r="65" ht="24.0" customHeight="1"/>
    <row r="66" ht="24.0" customHeight="1"/>
    <row r="67" ht="24.0" customHeight="1"/>
    <row r="68" ht="24.0" customHeight="1"/>
    <row r="69" ht="24.0" customHeight="1"/>
    <row r="70" ht="24.0" customHeight="1"/>
    <row r="71" ht="24.0" customHeight="1"/>
    <row r="72" ht="24.0" customHeight="1"/>
    <row r="73" ht="24.0" customHeight="1"/>
    <row r="74" ht="24.0" customHeight="1"/>
    <row r="75" ht="24.0" customHeight="1"/>
    <row r="76" ht="24.0" customHeight="1"/>
    <row r="77" ht="24.0" customHeight="1"/>
    <row r="78" ht="24.0" customHeight="1"/>
    <row r="79" ht="24.0" customHeight="1"/>
    <row r="80" ht="24.0" customHeight="1"/>
    <row r="81" ht="24.0" customHeight="1"/>
    <row r="82" ht="24.0" customHeight="1"/>
    <row r="83" ht="24.0" customHeight="1"/>
    <row r="84" ht="24.0" customHeight="1"/>
    <row r="85" ht="24.0" customHeight="1"/>
    <row r="86" ht="24.0" customHeight="1"/>
    <row r="87" ht="24.0" customHeight="1"/>
    <row r="88" ht="24.0" customHeight="1"/>
    <row r="89" ht="24.0" customHeight="1"/>
    <row r="90" ht="24.0" customHeight="1"/>
    <row r="91" ht="24.0" customHeight="1"/>
    <row r="92" ht="24.0" customHeight="1"/>
    <row r="93" ht="24.0" customHeight="1"/>
    <row r="94" ht="24.0" customHeight="1"/>
    <row r="95" ht="24.0" customHeight="1"/>
    <row r="96" ht="24.0" customHeight="1"/>
    <row r="97" ht="24.0" customHeight="1"/>
    <row r="98" ht="24.0" customHeight="1"/>
    <row r="99" ht="24.0" customHeight="1"/>
    <row r="100" ht="24.0" customHeight="1"/>
    <row r="101" ht="24.0" customHeight="1"/>
    <row r="102" ht="24.0" customHeight="1"/>
    <row r="103" ht="24.0" customHeight="1"/>
    <row r="104" ht="24.0" customHeight="1"/>
    <row r="105" ht="24.0" customHeight="1"/>
    <row r="106" ht="24.0" customHeight="1"/>
    <row r="107" ht="24.0" customHeight="1"/>
    <row r="108" ht="24.0" customHeight="1"/>
    <row r="109" ht="24.0" customHeight="1"/>
    <row r="110" ht="24.0" customHeight="1"/>
    <row r="111" ht="24.0" customHeight="1"/>
    <row r="112" ht="24.0" customHeight="1"/>
    <row r="113" ht="24.0" customHeight="1"/>
    <row r="114" ht="24.0" customHeight="1"/>
    <row r="115" ht="24.0" customHeight="1"/>
    <row r="116" ht="24.0" customHeight="1"/>
    <row r="117" ht="24.0" customHeight="1"/>
    <row r="118" ht="24.0" customHeight="1"/>
    <row r="119" ht="24.0" customHeight="1"/>
    <row r="120" ht="24.0" customHeight="1"/>
    <row r="121" ht="24.0" customHeight="1"/>
    <row r="122" ht="24.0" customHeight="1"/>
    <row r="123" ht="24.0" customHeight="1"/>
    <row r="124" ht="24.0" customHeight="1"/>
    <row r="125" ht="24.0" customHeight="1"/>
    <row r="126" ht="24.0" customHeight="1"/>
    <row r="127" ht="24.0" customHeight="1"/>
    <row r="128" ht="24.0" customHeight="1"/>
    <row r="129" ht="24.0" customHeight="1"/>
    <row r="130" ht="24.0" customHeight="1"/>
    <row r="131" ht="24.0" customHeight="1"/>
    <row r="132" ht="24.0" customHeight="1"/>
    <row r="133" ht="24.0" customHeight="1"/>
    <row r="134" ht="24.0" customHeight="1"/>
    <row r="135" ht="24.0" customHeight="1"/>
    <row r="136" ht="24.0" customHeight="1"/>
    <row r="137" ht="24.0" customHeight="1"/>
    <row r="138" ht="24.0" customHeight="1"/>
    <row r="139" ht="24.0" customHeight="1"/>
    <row r="140" ht="24.0" customHeight="1"/>
    <row r="141" ht="24.0" customHeight="1"/>
    <row r="142" ht="24.0" customHeight="1"/>
    <row r="143" ht="24.0" customHeight="1"/>
    <row r="144" ht="24.0" customHeight="1"/>
    <row r="145" ht="24.0" customHeight="1"/>
    <row r="146" ht="24.0" customHeight="1"/>
    <row r="147" ht="24.0" customHeight="1"/>
    <row r="148" ht="24.0" customHeight="1"/>
    <row r="149" ht="24.0" customHeight="1"/>
    <row r="150" ht="24.0" customHeight="1"/>
    <row r="151" ht="24.0" customHeight="1"/>
    <row r="152" ht="24.0" customHeight="1"/>
    <row r="153" ht="24.0" customHeight="1"/>
    <row r="154" ht="24.0" customHeight="1"/>
    <row r="155" ht="24.0" customHeight="1"/>
    <row r="156" ht="24.0" customHeight="1"/>
    <row r="157" ht="24.0" customHeight="1"/>
    <row r="158" ht="24.0" customHeight="1"/>
    <row r="159" ht="24.0" customHeight="1"/>
    <row r="160" ht="24.0" customHeight="1"/>
    <row r="161" ht="24.0" customHeight="1"/>
    <row r="162" ht="24.0" customHeight="1"/>
    <row r="163" ht="24.0" customHeight="1"/>
    <row r="164" ht="24.0" customHeight="1"/>
    <row r="165" ht="24.0" customHeight="1"/>
    <row r="166" ht="24.0" customHeight="1"/>
    <row r="167" ht="24.0" customHeight="1"/>
    <row r="168" ht="24.0" customHeight="1"/>
    <row r="169" ht="24.0" customHeight="1"/>
    <row r="170" ht="24.0" customHeight="1"/>
    <row r="171" ht="24.0" customHeight="1"/>
    <row r="172" ht="24.0" customHeight="1"/>
    <row r="173" ht="24.0" customHeight="1"/>
    <row r="174" ht="24.0" customHeight="1"/>
    <row r="175" ht="24.0" customHeight="1"/>
    <row r="176" ht="24.0" customHeight="1"/>
    <row r="177" ht="24.0" customHeight="1"/>
    <row r="178" ht="24.0" customHeight="1"/>
    <row r="179" ht="24.0" customHeight="1"/>
    <row r="180" ht="24.0" customHeight="1"/>
    <row r="181" ht="24.0" customHeight="1"/>
    <row r="182" ht="24.0" customHeight="1"/>
    <row r="183" ht="24.0" customHeight="1"/>
    <row r="184" ht="24.0" customHeight="1"/>
    <row r="185" ht="24.0" customHeight="1"/>
    <row r="186" ht="24.0" customHeight="1"/>
    <row r="187" ht="24.0" customHeight="1"/>
    <row r="188" ht="24.0" customHeight="1"/>
    <row r="189" ht="24.0" customHeight="1"/>
    <row r="190" ht="24.0" customHeight="1"/>
    <row r="191" ht="24.0" customHeight="1"/>
    <row r="192" ht="24.0" customHeight="1"/>
    <row r="193" ht="24.0" customHeight="1"/>
    <row r="194" ht="24.0" customHeight="1"/>
    <row r="195" ht="24.0" customHeight="1"/>
    <row r="196" ht="24.0" customHeight="1"/>
    <row r="197" ht="24.0" customHeight="1"/>
    <row r="198" ht="24.0" customHeight="1"/>
    <row r="199" ht="24.0" customHeight="1"/>
    <row r="200" ht="24.0" customHeight="1"/>
    <row r="201" ht="24.0" customHeight="1"/>
    <row r="202" ht="24.0" customHeight="1"/>
    <row r="203" ht="24.0" customHeight="1"/>
    <row r="204" ht="24.0" customHeight="1"/>
    <row r="205" ht="24.0" customHeight="1"/>
    <row r="206" ht="24.0" customHeight="1"/>
    <row r="207" ht="24.0" customHeight="1"/>
    <row r="208" ht="24.0" customHeight="1"/>
    <row r="209" ht="24.0" customHeight="1"/>
    <row r="210" ht="24.0" customHeight="1"/>
    <row r="211" ht="24.0" customHeight="1"/>
    <row r="212" ht="24.0" customHeight="1"/>
    <row r="213" ht="24.0" customHeight="1"/>
    <row r="214" ht="24.0" customHeight="1"/>
    <row r="215" ht="24.0" customHeight="1"/>
    <row r="216" ht="24.0" customHeight="1"/>
    <row r="217" ht="24.0" customHeight="1"/>
    <row r="218" ht="24.0" customHeight="1"/>
    <row r="219" ht="24.0" customHeight="1"/>
    <row r="220" ht="24.0" customHeight="1"/>
    <row r="221" ht="24.0" customHeight="1"/>
    <row r="222" ht="24.0" customHeight="1"/>
    <row r="223" ht="24.0" customHeight="1"/>
    <row r="224" ht="24.0" customHeight="1"/>
    <row r="225" ht="24.0" customHeight="1"/>
    <row r="226" ht="24.0" customHeight="1"/>
    <row r="227" ht="24.0" customHeight="1"/>
    <row r="228" ht="24.0" customHeight="1"/>
    <row r="229" ht="24.0" customHeight="1"/>
    <row r="230" ht="24.0" customHeight="1"/>
    <row r="231" ht="24.0" customHeight="1"/>
    <row r="232" ht="24.0" customHeight="1"/>
    <row r="233" ht="24.0" customHeight="1"/>
    <row r="234" ht="24.0" customHeight="1"/>
    <row r="235" ht="24.0" customHeight="1"/>
    <row r="236" ht="24.0" customHeight="1"/>
    <row r="237" ht="24.0" customHeight="1"/>
    <row r="238" ht="24.0" customHeight="1"/>
    <row r="239" ht="24.0" customHeight="1"/>
    <row r="240" ht="24.0" customHeight="1"/>
    <row r="241" ht="24.0" customHeight="1"/>
    <row r="242" ht="24.0" customHeight="1"/>
    <row r="243" ht="24.0" customHeight="1"/>
    <row r="244" ht="24.0" customHeight="1"/>
    <row r="245" ht="24.0" customHeight="1"/>
    <row r="246" ht="24.0" customHeight="1"/>
    <row r="247" ht="24.0" customHeight="1"/>
    <row r="248" ht="24.0" customHeight="1"/>
    <row r="249" ht="24.0" customHeight="1"/>
    <row r="250" ht="24.0" customHeight="1"/>
    <row r="251" ht="24.0" customHeight="1"/>
    <row r="252" ht="24.0" customHeight="1"/>
    <row r="253" ht="24.0" customHeight="1"/>
    <row r="254" ht="24.0" customHeight="1"/>
    <row r="255" ht="24.0" customHeight="1"/>
    <row r="256" ht="24.0" customHeight="1"/>
    <row r="257" ht="24.0" customHeight="1"/>
    <row r="258" ht="24.0" customHeight="1"/>
    <row r="259" ht="24.0" customHeight="1"/>
    <row r="260" ht="24.0" customHeight="1"/>
    <row r="261" ht="24.0" customHeight="1"/>
    <row r="262" ht="24.0" customHeight="1"/>
    <row r="263" ht="24.0" customHeight="1"/>
    <row r="264" ht="24.0" customHeight="1"/>
    <row r="265" ht="24.0" customHeight="1"/>
    <row r="266" ht="24.0" customHeight="1"/>
    <row r="267" ht="24.0" customHeight="1"/>
    <row r="268" ht="24.0" customHeight="1"/>
    <row r="269" ht="24.0" customHeight="1"/>
    <row r="270" ht="24.0" customHeight="1"/>
    <row r="271" ht="24.0" customHeight="1"/>
    <row r="272" ht="24.0" customHeight="1"/>
    <row r="273" ht="24.0" customHeight="1"/>
    <row r="274" ht="24.0" customHeight="1"/>
    <row r="275" ht="24.0" customHeight="1"/>
    <row r="276" ht="24.0" customHeight="1"/>
    <row r="277" ht="24.0" customHeight="1"/>
    <row r="278" ht="24.0" customHeight="1"/>
    <row r="279" ht="24.0" customHeight="1"/>
    <row r="280" ht="24.0" customHeight="1"/>
    <row r="281" ht="24.0" customHeight="1"/>
    <row r="282" ht="24.0" customHeight="1"/>
    <row r="283" ht="24.0" customHeight="1"/>
    <row r="284" ht="24.0" customHeight="1"/>
    <row r="285" ht="24.0" customHeight="1"/>
    <row r="286" ht="24.0" customHeight="1"/>
    <row r="287" ht="24.0" customHeight="1"/>
    <row r="288" ht="24.0" customHeight="1"/>
    <row r="289" ht="24.0" customHeight="1"/>
    <row r="290" ht="24.0" customHeight="1"/>
    <row r="291" ht="24.0" customHeight="1"/>
    <row r="292" ht="24.0" customHeight="1"/>
    <row r="293" ht="24.0" customHeight="1"/>
    <row r="294" ht="24.0" customHeight="1"/>
    <row r="295" ht="24.0" customHeight="1"/>
    <row r="296" ht="24.0" customHeight="1"/>
    <row r="297" ht="24.0" customHeight="1"/>
    <row r="298" ht="24.0" customHeight="1"/>
    <row r="299" ht="24.0" customHeight="1"/>
    <row r="300" ht="24.0" customHeight="1"/>
    <row r="301" ht="24.0" customHeight="1"/>
    <row r="302" ht="24.0" customHeight="1"/>
    <row r="303" ht="24.0" customHeight="1"/>
    <row r="304" ht="24.0" customHeight="1"/>
    <row r="305" ht="24.0" customHeight="1"/>
    <row r="306" ht="24.0" customHeight="1"/>
    <row r="307" ht="24.0" customHeight="1"/>
    <row r="308" ht="24.0" customHeight="1"/>
    <row r="309" ht="24.0" customHeight="1"/>
    <row r="310" ht="24.0" customHeight="1"/>
    <row r="311" ht="24.0" customHeight="1"/>
    <row r="312" ht="24.0" customHeight="1"/>
    <row r="313" ht="24.0" customHeight="1"/>
    <row r="314" ht="24.0" customHeight="1"/>
    <row r="315" ht="24.0" customHeight="1"/>
    <row r="316" ht="24.0" customHeight="1"/>
    <row r="317" ht="24.0" customHeight="1"/>
    <row r="318" ht="24.0" customHeight="1"/>
    <row r="319" ht="24.0" customHeight="1"/>
    <row r="320" ht="24.0" customHeight="1"/>
    <row r="321" ht="24.0" customHeight="1"/>
    <row r="322" ht="24.0" customHeight="1"/>
    <row r="323" ht="24.0" customHeight="1"/>
    <row r="324" ht="24.0" customHeight="1"/>
    <row r="325" ht="24.0" customHeight="1"/>
    <row r="326" ht="24.0" customHeight="1"/>
    <row r="327" ht="24.0" customHeight="1"/>
    <row r="328" ht="24.0" customHeight="1"/>
    <row r="329" ht="24.0" customHeight="1"/>
    <row r="330" ht="24.0" customHeight="1"/>
    <row r="331" ht="24.0" customHeight="1"/>
    <row r="332" ht="24.0" customHeight="1"/>
    <row r="333" ht="24.0" customHeight="1"/>
    <row r="334" ht="24.0" customHeight="1"/>
    <row r="335" ht="24.0" customHeight="1"/>
    <row r="336" ht="24.0" customHeight="1"/>
    <row r="337" ht="24.0" customHeight="1"/>
    <row r="338" ht="24.0" customHeight="1"/>
    <row r="339" ht="24.0" customHeight="1"/>
    <row r="340" ht="24.0" customHeight="1"/>
    <row r="341" ht="24.0" customHeight="1"/>
    <row r="342" ht="24.0" customHeight="1"/>
    <row r="343" ht="24.0" customHeight="1"/>
    <row r="344" ht="24.0" customHeight="1"/>
    <row r="345" ht="24.0" customHeight="1"/>
    <row r="346" ht="24.0" customHeight="1"/>
    <row r="347" ht="24.0" customHeight="1"/>
    <row r="348" ht="24.0" customHeight="1"/>
    <row r="349" ht="24.0" customHeight="1"/>
    <row r="350" ht="24.0" customHeight="1"/>
    <row r="351" ht="24.0" customHeight="1"/>
    <row r="352" ht="24.0" customHeight="1"/>
    <row r="353" ht="24.0" customHeight="1"/>
    <row r="354" ht="24.0" customHeight="1"/>
    <row r="355" ht="24.0" customHeight="1"/>
    <row r="356" ht="24.0" customHeight="1"/>
    <row r="357" ht="24.0" customHeight="1"/>
    <row r="358" ht="24.0" customHeight="1"/>
    <row r="359" ht="24.0" customHeight="1"/>
    <row r="360" ht="24.0" customHeight="1"/>
    <row r="361" ht="24.0" customHeight="1"/>
    <row r="362" ht="24.0" customHeight="1"/>
    <row r="363" ht="24.0" customHeight="1"/>
    <row r="364" ht="24.0" customHeight="1"/>
    <row r="365" ht="24.0" customHeight="1"/>
    <row r="366" ht="24.0" customHeight="1"/>
    <row r="367" ht="24.0" customHeight="1"/>
    <row r="368" ht="24.0" customHeight="1"/>
    <row r="369" ht="24.0" customHeight="1"/>
    <row r="370" ht="24.0" customHeight="1"/>
    <row r="371" ht="24.0" customHeight="1"/>
    <row r="372" ht="24.0" customHeight="1"/>
    <row r="373" ht="24.0" customHeight="1"/>
    <row r="374" ht="24.0" customHeight="1"/>
    <row r="375" ht="24.0" customHeight="1"/>
    <row r="376" ht="24.0" customHeight="1"/>
    <row r="377" ht="24.0" customHeight="1"/>
    <row r="378" ht="24.0" customHeight="1"/>
    <row r="379" ht="24.0" customHeight="1"/>
    <row r="380" ht="24.0" customHeight="1"/>
    <row r="381" ht="24.0" customHeight="1"/>
    <row r="382" ht="24.0" customHeight="1"/>
    <row r="383" ht="24.0" customHeight="1"/>
    <row r="384" ht="24.0" customHeight="1"/>
    <row r="385" ht="24.0" customHeight="1"/>
    <row r="386" ht="24.0" customHeight="1"/>
    <row r="387" ht="24.0" customHeight="1"/>
    <row r="388" ht="24.0" customHeight="1"/>
    <row r="389" ht="24.0" customHeight="1"/>
    <row r="390" ht="24.0" customHeight="1"/>
    <row r="391" ht="24.0" customHeight="1"/>
    <row r="392" ht="24.0" customHeight="1"/>
    <row r="393" ht="24.0" customHeight="1"/>
    <row r="394" ht="24.0" customHeight="1"/>
    <row r="395" ht="24.0" customHeight="1"/>
    <row r="396" ht="24.0" customHeight="1"/>
    <row r="397" ht="24.0" customHeight="1"/>
    <row r="398" ht="24.0" customHeight="1"/>
    <row r="399" ht="24.0" customHeight="1"/>
    <row r="400" ht="24.0" customHeight="1"/>
    <row r="401" ht="24.0" customHeight="1"/>
    <row r="402" ht="24.0" customHeight="1"/>
    <row r="403" ht="24.0" customHeight="1"/>
    <row r="404" ht="24.0" customHeight="1"/>
    <row r="405" ht="24.0" customHeight="1"/>
    <row r="406" ht="24.0" customHeight="1"/>
    <row r="407" ht="24.0" customHeight="1"/>
    <row r="408" ht="24.0" customHeight="1"/>
    <row r="409" ht="24.0" customHeight="1"/>
    <row r="410" ht="24.0" customHeight="1"/>
    <row r="411" ht="24.0" customHeight="1"/>
    <row r="412" ht="24.0" customHeight="1"/>
    <row r="413" ht="24.0" customHeight="1"/>
    <row r="414" ht="24.0" customHeight="1"/>
    <row r="415" ht="24.0" customHeight="1"/>
    <row r="416" ht="24.0" customHeight="1"/>
    <row r="417" ht="24.0" customHeight="1"/>
    <row r="418" ht="24.0" customHeight="1"/>
    <row r="419" ht="24.0" customHeight="1"/>
    <row r="420" ht="24.0" customHeight="1"/>
    <row r="421" ht="24.0" customHeight="1"/>
    <row r="422" ht="24.0" customHeight="1"/>
    <row r="423" ht="24.0" customHeight="1"/>
    <row r="424" ht="24.0" customHeight="1"/>
    <row r="425" ht="24.0" customHeight="1"/>
    <row r="426" ht="24.0" customHeight="1"/>
    <row r="427" ht="24.0" customHeight="1"/>
    <row r="428" ht="24.0" customHeight="1"/>
    <row r="429" ht="24.0" customHeight="1"/>
    <row r="430" ht="24.0" customHeight="1"/>
    <row r="431" ht="24.0" customHeight="1"/>
    <row r="432" ht="24.0" customHeight="1"/>
    <row r="433" ht="24.0" customHeight="1"/>
    <row r="434" ht="24.0" customHeight="1"/>
    <row r="435" ht="24.0" customHeight="1"/>
    <row r="436" ht="24.0" customHeight="1"/>
    <row r="437" ht="24.0" customHeight="1"/>
    <row r="438" ht="24.0" customHeight="1"/>
    <row r="439" ht="24.0" customHeight="1"/>
    <row r="440" ht="24.0" customHeight="1"/>
    <row r="441" ht="24.0" customHeight="1"/>
    <row r="442" ht="24.0" customHeight="1"/>
    <row r="443" ht="24.0" customHeight="1"/>
    <row r="444" ht="24.0" customHeight="1"/>
    <row r="445" ht="24.0" customHeight="1"/>
    <row r="446" ht="24.0" customHeight="1"/>
    <row r="447" ht="24.0" customHeight="1"/>
    <row r="448" ht="24.0" customHeight="1"/>
    <row r="449" ht="24.0" customHeight="1"/>
    <row r="450" ht="24.0" customHeight="1"/>
    <row r="451" ht="24.0" customHeight="1"/>
    <row r="452" ht="24.0" customHeight="1"/>
    <row r="453" ht="24.0" customHeight="1"/>
    <row r="454" ht="24.0" customHeight="1"/>
    <row r="455" ht="24.0" customHeight="1"/>
    <row r="456" ht="24.0" customHeight="1"/>
    <row r="457" ht="24.0" customHeight="1"/>
    <row r="458" ht="24.0" customHeight="1"/>
    <row r="459" ht="24.0" customHeight="1"/>
    <row r="460" ht="24.0" customHeight="1"/>
    <row r="461" ht="24.0" customHeight="1"/>
    <row r="462" ht="24.0" customHeight="1"/>
    <row r="463" ht="24.0" customHeight="1"/>
    <row r="464" ht="24.0" customHeight="1"/>
    <row r="465" ht="24.0" customHeight="1"/>
    <row r="466" ht="24.0" customHeight="1"/>
    <row r="467" ht="24.0" customHeight="1"/>
    <row r="468" ht="24.0" customHeight="1"/>
    <row r="469" ht="24.0" customHeight="1"/>
    <row r="470" ht="24.0" customHeight="1"/>
    <row r="471" ht="24.0" customHeight="1"/>
    <row r="472" ht="24.0" customHeight="1"/>
    <row r="473" ht="24.0" customHeight="1"/>
    <row r="474" ht="24.0" customHeight="1"/>
    <row r="475" ht="24.0" customHeight="1"/>
    <row r="476" ht="24.0" customHeight="1"/>
    <row r="477" ht="24.0" customHeight="1"/>
    <row r="478" ht="24.0" customHeight="1"/>
    <row r="479" ht="24.0" customHeight="1"/>
    <row r="480" ht="24.0" customHeight="1"/>
    <row r="481" ht="24.0" customHeight="1"/>
    <row r="482" ht="24.0" customHeight="1"/>
    <row r="483" ht="24.0" customHeight="1"/>
    <row r="484" ht="24.0" customHeight="1"/>
    <row r="485" ht="24.0" customHeight="1"/>
    <row r="486" ht="24.0" customHeight="1"/>
    <row r="487" ht="24.0" customHeight="1"/>
    <row r="488" ht="24.0" customHeight="1"/>
    <row r="489" ht="24.0" customHeight="1"/>
    <row r="490" ht="24.0" customHeight="1"/>
    <row r="491" ht="24.0" customHeight="1"/>
    <row r="492" ht="24.0" customHeight="1"/>
    <row r="493" ht="24.0" customHeight="1"/>
    <row r="494" ht="24.0" customHeight="1"/>
    <row r="495" ht="24.0" customHeight="1"/>
    <row r="496" ht="24.0" customHeight="1"/>
    <row r="497" ht="24.0" customHeight="1"/>
    <row r="498" ht="24.0" customHeight="1"/>
    <row r="499" ht="24.0" customHeight="1"/>
    <row r="500" ht="24.0" customHeight="1"/>
    <row r="501" ht="24.0" customHeight="1"/>
    <row r="502" ht="24.0" customHeight="1"/>
    <row r="503" ht="24.0" customHeight="1"/>
    <row r="504" ht="24.0" customHeight="1"/>
    <row r="505" ht="24.0" customHeight="1"/>
    <row r="506" ht="24.0" customHeight="1"/>
    <row r="507" ht="24.0" customHeight="1"/>
    <row r="508" ht="24.0" customHeight="1"/>
    <row r="509" ht="24.0" customHeight="1"/>
    <row r="510" ht="24.0" customHeight="1"/>
    <row r="511" ht="24.0" customHeight="1"/>
    <row r="512" ht="24.0" customHeight="1"/>
    <row r="513" ht="24.0" customHeight="1"/>
    <row r="514" ht="24.0" customHeight="1"/>
    <row r="515" ht="24.0" customHeight="1"/>
    <row r="516" ht="24.0" customHeight="1"/>
    <row r="517" ht="24.0" customHeight="1"/>
    <row r="518" ht="24.0" customHeight="1"/>
    <row r="519" ht="24.0" customHeight="1"/>
    <row r="520" ht="24.0" customHeight="1"/>
    <row r="521" ht="24.0" customHeight="1"/>
    <row r="522" ht="24.0" customHeight="1"/>
    <row r="523" ht="24.0" customHeight="1"/>
    <row r="524" ht="24.0" customHeight="1"/>
    <row r="525" ht="24.0" customHeight="1"/>
    <row r="526" ht="24.0" customHeight="1"/>
    <row r="527" ht="24.0" customHeight="1"/>
    <row r="528" ht="24.0" customHeight="1"/>
    <row r="529" ht="24.0" customHeight="1"/>
    <row r="530" ht="24.0" customHeight="1"/>
    <row r="531" ht="24.0" customHeight="1"/>
    <row r="532" ht="24.0" customHeight="1"/>
    <row r="533" ht="24.0" customHeight="1"/>
    <row r="534" ht="24.0" customHeight="1"/>
    <row r="535" ht="24.0" customHeight="1"/>
    <row r="536" ht="24.0" customHeight="1"/>
    <row r="537" ht="24.0" customHeight="1"/>
    <row r="538" ht="24.0" customHeight="1"/>
    <row r="539" ht="24.0" customHeight="1"/>
    <row r="540" ht="24.0" customHeight="1"/>
    <row r="541" ht="24.0" customHeight="1"/>
    <row r="542" ht="24.0" customHeight="1"/>
    <row r="543" ht="24.0" customHeight="1"/>
    <row r="544" ht="24.0" customHeight="1"/>
    <row r="545" ht="24.0" customHeight="1"/>
    <row r="546" ht="24.0" customHeight="1"/>
    <row r="547" ht="24.0" customHeight="1"/>
    <row r="548" ht="24.0" customHeight="1"/>
    <row r="549" ht="24.0" customHeight="1"/>
    <row r="550" ht="24.0" customHeight="1"/>
    <row r="551" ht="24.0" customHeight="1"/>
    <row r="552" ht="24.0" customHeight="1"/>
    <row r="553" ht="24.0" customHeight="1"/>
    <row r="554" ht="24.0" customHeight="1"/>
    <row r="555" ht="24.0" customHeight="1"/>
    <row r="556" ht="24.0" customHeight="1"/>
    <row r="557" ht="24.0" customHeight="1"/>
    <row r="558" ht="24.0" customHeight="1"/>
    <row r="559" ht="24.0" customHeight="1"/>
    <row r="560" ht="24.0" customHeight="1"/>
    <row r="561" ht="24.0" customHeight="1"/>
    <row r="562" ht="24.0" customHeight="1"/>
    <row r="563" ht="24.0" customHeight="1"/>
    <row r="564" ht="24.0" customHeight="1"/>
    <row r="565" ht="24.0" customHeight="1"/>
    <row r="566" ht="24.0" customHeight="1"/>
    <row r="567" ht="24.0" customHeight="1"/>
    <row r="568" ht="24.0" customHeight="1"/>
    <row r="569" ht="24.0" customHeight="1"/>
    <row r="570" ht="24.0" customHeight="1"/>
    <row r="571" ht="24.0" customHeight="1"/>
    <row r="572" ht="24.0" customHeight="1"/>
    <row r="573" ht="24.0" customHeight="1"/>
    <row r="574" ht="24.0" customHeight="1"/>
    <row r="575" ht="24.0" customHeight="1"/>
    <row r="576" ht="24.0" customHeight="1"/>
    <row r="577" ht="24.0" customHeight="1"/>
    <row r="578" ht="24.0" customHeight="1"/>
    <row r="579" ht="24.0" customHeight="1"/>
    <row r="580" ht="24.0" customHeight="1"/>
    <row r="581" ht="24.0" customHeight="1"/>
    <row r="582" ht="24.0" customHeight="1"/>
    <row r="583" ht="24.0" customHeight="1"/>
    <row r="584" ht="24.0" customHeight="1"/>
    <row r="585" ht="24.0" customHeight="1"/>
    <row r="586" ht="24.0" customHeight="1"/>
    <row r="587" ht="24.0" customHeight="1"/>
    <row r="588" ht="24.0" customHeight="1"/>
    <row r="589" ht="24.0" customHeight="1"/>
    <row r="590" ht="24.0" customHeight="1"/>
    <row r="591" ht="24.0" customHeight="1"/>
    <row r="592" ht="24.0" customHeight="1"/>
    <row r="593" ht="24.0" customHeight="1"/>
    <row r="594" ht="24.0" customHeight="1"/>
    <row r="595" ht="24.0" customHeight="1"/>
    <row r="596" ht="24.0" customHeight="1"/>
    <row r="597" ht="24.0" customHeight="1"/>
    <row r="598" ht="24.0" customHeight="1"/>
    <row r="599" ht="24.0" customHeight="1"/>
    <row r="600" ht="24.0" customHeight="1"/>
    <row r="601" ht="24.0" customHeight="1"/>
    <row r="602" ht="24.0" customHeight="1"/>
    <row r="603" ht="24.0" customHeight="1"/>
    <row r="604" ht="24.0" customHeight="1"/>
    <row r="605" ht="24.0" customHeight="1"/>
    <row r="606" ht="24.0" customHeight="1"/>
    <row r="607" ht="24.0" customHeight="1"/>
    <row r="608" ht="24.0" customHeight="1"/>
    <row r="609" ht="24.0" customHeight="1"/>
    <row r="610" ht="24.0" customHeight="1"/>
    <row r="611" ht="24.0" customHeight="1"/>
    <row r="612" ht="24.0" customHeight="1"/>
    <row r="613" ht="24.0" customHeight="1"/>
    <row r="614" ht="24.0" customHeight="1"/>
    <row r="615" ht="24.0" customHeight="1"/>
    <row r="616" ht="24.0" customHeight="1"/>
    <row r="617" ht="24.0" customHeight="1"/>
    <row r="618" ht="24.0" customHeight="1"/>
    <row r="619" ht="24.0" customHeight="1"/>
    <row r="620" ht="24.0" customHeight="1"/>
    <row r="621" ht="24.0" customHeight="1"/>
    <row r="622" ht="24.0" customHeight="1"/>
    <row r="623" ht="24.0" customHeight="1"/>
    <row r="624" ht="24.0" customHeight="1"/>
    <row r="625" ht="24.0" customHeight="1"/>
    <row r="626" ht="24.0" customHeight="1"/>
    <row r="627" ht="24.0" customHeight="1"/>
    <row r="628" ht="24.0" customHeight="1"/>
    <row r="629" ht="24.0" customHeight="1"/>
    <row r="630" ht="24.0" customHeight="1"/>
    <row r="631" ht="24.0" customHeight="1"/>
    <row r="632" ht="24.0" customHeight="1"/>
    <row r="633" ht="24.0" customHeight="1"/>
    <row r="634" ht="24.0" customHeight="1"/>
    <row r="635" ht="24.0" customHeight="1"/>
    <row r="636" ht="24.0" customHeight="1"/>
    <row r="637" ht="24.0" customHeight="1"/>
    <row r="638" ht="24.0" customHeight="1"/>
    <row r="639" ht="24.0" customHeight="1"/>
    <row r="640" ht="24.0" customHeight="1"/>
    <row r="641" ht="24.0" customHeight="1"/>
    <row r="642" ht="24.0" customHeight="1"/>
    <row r="643" ht="24.0" customHeight="1"/>
    <row r="644" ht="24.0" customHeight="1"/>
    <row r="645" ht="24.0" customHeight="1"/>
    <row r="646" ht="24.0" customHeight="1"/>
    <row r="647" ht="24.0" customHeight="1"/>
    <row r="648" ht="24.0" customHeight="1"/>
    <row r="649" ht="24.0" customHeight="1"/>
    <row r="650" ht="24.0" customHeight="1"/>
    <row r="651" ht="24.0" customHeight="1"/>
    <row r="652" ht="24.0" customHeight="1"/>
    <row r="653" ht="24.0" customHeight="1"/>
    <row r="654" ht="24.0" customHeight="1"/>
    <row r="655" ht="24.0" customHeight="1"/>
    <row r="656" ht="24.0" customHeight="1"/>
    <row r="657" ht="24.0" customHeight="1"/>
    <row r="658" ht="24.0" customHeight="1"/>
    <row r="659" ht="24.0" customHeight="1"/>
    <row r="660" ht="24.0" customHeight="1"/>
    <row r="661" ht="24.0" customHeight="1"/>
    <row r="662" ht="24.0" customHeight="1"/>
    <row r="663" ht="24.0" customHeight="1"/>
    <row r="664" ht="24.0" customHeight="1"/>
    <row r="665" ht="24.0" customHeight="1"/>
    <row r="666" ht="24.0" customHeight="1"/>
    <row r="667" ht="24.0" customHeight="1"/>
    <row r="668" ht="24.0" customHeight="1"/>
    <row r="669" ht="24.0" customHeight="1"/>
    <row r="670" ht="24.0" customHeight="1"/>
    <row r="671" ht="24.0" customHeight="1"/>
    <row r="672" ht="24.0" customHeight="1"/>
    <row r="673" ht="24.0" customHeight="1"/>
    <row r="674" ht="24.0" customHeight="1"/>
    <row r="675" ht="24.0" customHeight="1"/>
    <row r="676" ht="24.0" customHeight="1"/>
    <row r="677" ht="24.0" customHeight="1"/>
    <row r="678" ht="24.0" customHeight="1"/>
    <row r="679" ht="24.0" customHeight="1"/>
    <row r="680" ht="24.0" customHeight="1"/>
    <row r="681" ht="24.0" customHeight="1"/>
    <row r="682" ht="24.0" customHeight="1"/>
    <row r="683" ht="24.0" customHeight="1"/>
    <row r="684" ht="24.0" customHeight="1"/>
    <row r="685" ht="24.0" customHeight="1"/>
    <row r="686" ht="24.0" customHeight="1"/>
    <row r="687" ht="24.0" customHeight="1"/>
    <row r="688" ht="24.0" customHeight="1"/>
    <row r="689" ht="24.0" customHeight="1"/>
    <row r="690" ht="24.0" customHeight="1"/>
    <row r="691" ht="24.0" customHeight="1"/>
    <row r="692" ht="24.0" customHeight="1"/>
    <row r="693" ht="24.0" customHeight="1"/>
    <row r="694" ht="24.0" customHeight="1"/>
    <row r="695" ht="24.0" customHeight="1"/>
    <row r="696" ht="24.0" customHeight="1"/>
    <row r="697" ht="24.0" customHeight="1"/>
    <row r="698" ht="24.0" customHeight="1"/>
    <row r="699" ht="24.0" customHeight="1"/>
    <row r="700" ht="24.0" customHeight="1"/>
    <row r="701" ht="24.0" customHeight="1"/>
    <row r="702" ht="24.0" customHeight="1"/>
    <row r="703" ht="24.0" customHeight="1"/>
    <row r="704" ht="24.0" customHeight="1"/>
    <row r="705" ht="24.0" customHeight="1"/>
    <row r="706" ht="24.0" customHeight="1"/>
    <row r="707" ht="24.0" customHeight="1"/>
    <row r="708" ht="24.0" customHeight="1"/>
    <row r="709" ht="24.0" customHeight="1"/>
    <row r="710" ht="24.0" customHeight="1"/>
    <row r="711" ht="24.0" customHeight="1"/>
    <row r="712" ht="24.0" customHeight="1"/>
    <row r="713" ht="24.0" customHeight="1"/>
    <row r="714" ht="24.0" customHeight="1"/>
    <row r="715" ht="24.0" customHeight="1"/>
    <row r="716" ht="24.0" customHeight="1"/>
    <row r="717" ht="24.0" customHeight="1"/>
    <row r="718" ht="24.0" customHeight="1"/>
    <row r="719" ht="24.0" customHeight="1"/>
    <row r="720" ht="24.0" customHeight="1"/>
    <row r="721" ht="24.0" customHeight="1"/>
    <row r="722" ht="24.0" customHeight="1"/>
    <row r="723" ht="24.0" customHeight="1"/>
    <row r="724" ht="24.0" customHeight="1"/>
    <row r="725" ht="24.0" customHeight="1"/>
    <row r="726" ht="24.0" customHeight="1"/>
    <row r="727" ht="24.0" customHeight="1"/>
    <row r="728" ht="24.0" customHeight="1"/>
    <row r="729" ht="24.0" customHeight="1"/>
    <row r="730" ht="24.0" customHeight="1"/>
    <row r="731" ht="24.0" customHeight="1"/>
    <row r="732" ht="24.0" customHeight="1"/>
    <row r="733" ht="24.0" customHeight="1"/>
    <row r="734" ht="24.0" customHeight="1"/>
    <row r="735" ht="24.0" customHeight="1"/>
    <row r="736" ht="24.0" customHeight="1"/>
    <row r="737" ht="24.0" customHeight="1"/>
    <row r="738" ht="24.0" customHeight="1"/>
    <row r="739" ht="24.0" customHeight="1"/>
    <row r="740" ht="24.0" customHeight="1"/>
    <row r="741" ht="24.0" customHeight="1"/>
    <row r="742" ht="24.0" customHeight="1"/>
    <row r="743" ht="24.0" customHeight="1"/>
    <row r="744" ht="24.0" customHeight="1"/>
    <row r="745" ht="24.0" customHeight="1"/>
    <row r="746" ht="24.0" customHeight="1"/>
    <row r="747" ht="24.0" customHeight="1"/>
    <row r="748" ht="24.0" customHeight="1"/>
    <row r="749" ht="24.0" customHeight="1"/>
    <row r="750" ht="24.0" customHeight="1"/>
    <row r="751" ht="24.0" customHeight="1"/>
    <row r="752" ht="24.0" customHeight="1"/>
    <row r="753" ht="24.0" customHeight="1"/>
    <row r="754" ht="24.0" customHeight="1"/>
    <row r="755" ht="24.0" customHeight="1"/>
    <row r="756" ht="24.0" customHeight="1"/>
    <row r="757" ht="24.0" customHeight="1"/>
    <row r="758" ht="24.0" customHeight="1"/>
    <row r="759" ht="24.0" customHeight="1"/>
    <row r="760" ht="24.0" customHeight="1"/>
    <row r="761" ht="24.0" customHeight="1"/>
    <row r="762" ht="24.0" customHeight="1"/>
    <row r="763" ht="24.0" customHeight="1"/>
    <row r="764" ht="24.0" customHeight="1"/>
    <row r="765" ht="24.0" customHeight="1"/>
    <row r="766" ht="24.0" customHeight="1"/>
    <row r="767" ht="24.0" customHeight="1"/>
    <row r="768" ht="24.0" customHeight="1"/>
    <row r="769" ht="24.0" customHeight="1"/>
    <row r="770" ht="24.0" customHeight="1"/>
    <row r="771" ht="24.0" customHeight="1"/>
    <row r="772" ht="24.0" customHeight="1"/>
    <row r="773" ht="24.0" customHeight="1"/>
    <row r="774" ht="24.0" customHeight="1"/>
    <row r="775" ht="24.0" customHeight="1"/>
    <row r="776" ht="24.0" customHeight="1"/>
    <row r="777" ht="24.0" customHeight="1"/>
    <row r="778" ht="24.0" customHeight="1"/>
    <row r="779" ht="24.0" customHeight="1"/>
    <row r="780" ht="24.0" customHeight="1"/>
    <row r="781" ht="24.0" customHeight="1"/>
    <row r="782" ht="24.0" customHeight="1"/>
    <row r="783" ht="24.0" customHeight="1"/>
    <row r="784" ht="24.0" customHeight="1"/>
    <row r="785" ht="24.0" customHeight="1"/>
    <row r="786" ht="24.0" customHeight="1"/>
    <row r="787" ht="24.0" customHeight="1"/>
    <row r="788" ht="24.0" customHeight="1"/>
    <row r="789" ht="24.0" customHeight="1"/>
    <row r="790" ht="24.0" customHeight="1"/>
    <row r="791" ht="24.0" customHeight="1"/>
    <row r="792" ht="24.0" customHeight="1"/>
    <row r="793" ht="24.0" customHeight="1"/>
    <row r="794" ht="24.0" customHeight="1"/>
    <row r="795" ht="24.0" customHeight="1"/>
    <row r="796" ht="24.0" customHeight="1"/>
    <row r="797" ht="24.0" customHeight="1"/>
    <row r="798" ht="24.0" customHeight="1"/>
    <row r="799" ht="24.0" customHeight="1"/>
    <row r="800" ht="24.0" customHeight="1"/>
    <row r="801" ht="24.0" customHeight="1"/>
    <row r="802" ht="24.0" customHeight="1"/>
    <row r="803" ht="24.0" customHeight="1"/>
    <row r="804" ht="24.0" customHeight="1"/>
    <row r="805" ht="24.0" customHeight="1"/>
    <row r="806" ht="24.0" customHeight="1"/>
    <row r="807" ht="24.0" customHeight="1"/>
    <row r="808" ht="24.0" customHeight="1"/>
    <row r="809" ht="24.0" customHeight="1"/>
    <row r="810" ht="24.0" customHeight="1"/>
    <row r="811" ht="24.0" customHeight="1"/>
    <row r="812" ht="24.0" customHeight="1"/>
    <row r="813" ht="24.0" customHeight="1"/>
    <row r="814" ht="24.0" customHeight="1"/>
    <row r="815" ht="24.0" customHeight="1"/>
    <row r="816" ht="24.0" customHeight="1"/>
    <row r="817" ht="24.0" customHeight="1"/>
    <row r="818" ht="24.0" customHeight="1"/>
    <row r="819" ht="24.0" customHeight="1"/>
    <row r="820" ht="24.0" customHeight="1"/>
    <row r="821" ht="24.0" customHeight="1"/>
    <row r="822" ht="24.0" customHeight="1"/>
    <row r="823" ht="24.0" customHeight="1"/>
    <row r="824" ht="24.0" customHeight="1"/>
    <row r="825" ht="24.0" customHeight="1"/>
    <row r="826" ht="24.0" customHeight="1"/>
    <row r="827" ht="24.0" customHeight="1"/>
    <row r="828" ht="24.0" customHeight="1"/>
    <row r="829" ht="24.0" customHeight="1"/>
    <row r="830" ht="24.0" customHeight="1"/>
    <row r="831" ht="24.0" customHeight="1"/>
    <row r="832" ht="24.0" customHeight="1"/>
    <row r="833" ht="24.0" customHeight="1"/>
    <row r="834" ht="24.0" customHeight="1"/>
    <row r="835" ht="24.0" customHeight="1"/>
    <row r="836" ht="24.0" customHeight="1"/>
    <row r="837" ht="24.0" customHeight="1"/>
    <row r="838" ht="24.0" customHeight="1"/>
    <row r="839" ht="24.0" customHeight="1"/>
    <row r="840" ht="24.0" customHeight="1"/>
    <row r="841" ht="24.0" customHeight="1"/>
    <row r="842" ht="24.0" customHeight="1"/>
    <row r="843" ht="24.0" customHeight="1"/>
    <row r="844" ht="24.0" customHeight="1"/>
    <row r="845" ht="24.0" customHeight="1"/>
    <row r="846" ht="24.0" customHeight="1"/>
    <row r="847" ht="24.0" customHeight="1"/>
    <row r="848" ht="24.0" customHeight="1"/>
    <row r="849" ht="24.0" customHeight="1"/>
    <row r="850" ht="24.0" customHeight="1"/>
    <row r="851" ht="24.0" customHeight="1"/>
    <row r="852" ht="24.0" customHeight="1"/>
    <row r="853" ht="24.0" customHeight="1"/>
    <row r="854" ht="24.0" customHeight="1"/>
    <row r="855" ht="24.0" customHeight="1"/>
    <row r="856" ht="24.0" customHeight="1"/>
    <row r="857" ht="24.0" customHeight="1"/>
    <row r="858" ht="24.0" customHeight="1"/>
    <row r="859" ht="24.0" customHeight="1"/>
    <row r="860" ht="24.0" customHeight="1"/>
    <row r="861" ht="24.0" customHeight="1"/>
    <row r="862" ht="24.0" customHeight="1"/>
    <row r="863" ht="24.0" customHeight="1"/>
    <row r="864" ht="24.0" customHeight="1"/>
    <row r="865" ht="24.0" customHeight="1"/>
    <row r="866" ht="24.0" customHeight="1"/>
    <row r="867" ht="24.0" customHeight="1"/>
    <row r="868" ht="24.0" customHeight="1"/>
    <row r="869" ht="24.0" customHeight="1"/>
    <row r="870" ht="24.0" customHeight="1"/>
    <row r="871" ht="24.0" customHeight="1"/>
    <row r="872" ht="24.0" customHeight="1"/>
    <row r="873" ht="24.0" customHeight="1"/>
    <row r="874" ht="24.0" customHeight="1"/>
    <row r="875" ht="24.0" customHeight="1"/>
    <row r="876" ht="24.0" customHeight="1"/>
    <row r="877" ht="24.0" customHeight="1"/>
    <row r="878" ht="24.0" customHeight="1"/>
    <row r="879" ht="24.0" customHeight="1"/>
    <row r="880" ht="24.0" customHeight="1"/>
    <row r="881" ht="24.0" customHeight="1"/>
    <row r="882" ht="24.0" customHeight="1"/>
    <row r="883" ht="24.0" customHeight="1"/>
    <row r="884" ht="24.0" customHeight="1"/>
    <row r="885" ht="24.0" customHeight="1"/>
    <row r="886" ht="24.0" customHeight="1"/>
    <row r="887" ht="24.0" customHeight="1"/>
    <row r="888" ht="24.0" customHeight="1"/>
    <row r="889" ht="24.0" customHeight="1"/>
    <row r="890" ht="24.0" customHeight="1"/>
    <row r="891" ht="24.0" customHeight="1"/>
    <row r="892" ht="24.0" customHeight="1"/>
    <row r="893" ht="24.0" customHeight="1"/>
    <row r="894" ht="24.0" customHeight="1"/>
    <row r="895" ht="24.0" customHeight="1"/>
    <row r="896" ht="24.0" customHeight="1"/>
    <row r="897" ht="24.0" customHeight="1"/>
    <row r="898" ht="24.0" customHeight="1"/>
    <row r="899" ht="24.0" customHeight="1"/>
    <row r="900" ht="24.0" customHeight="1"/>
    <row r="901" ht="24.0" customHeight="1"/>
    <row r="902" ht="24.0" customHeight="1"/>
    <row r="903" ht="24.0" customHeight="1"/>
    <row r="904" ht="24.0" customHeight="1"/>
    <row r="905" ht="24.0" customHeight="1"/>
    <row r="906" ht="24.0" customHeight="1"/>
    <row r="907" ht="24.0" customHeight="1"/>
    <row r="908" ht="24.0" customHeight="1"/>
    <row r="909" ht="24.0" customHeight="1"/>
    <row r="910" ht="24.0" customHeight="1"/>
    <row r="911" ht="24.0" customHeight="1"/>
    <row r="912" ht="24.0" customHeight="1"/>
    <row r="913" ht="24.0" customHeight="1"/>
    <row r="914" ht="24.0" customHeight="1"/>
    <row r="915" ht="24.0" customHeight="1"/>
    <row r="916" ht="24.0" customHeight="1"/>
    <row r="917" ht="24.0" customHeight="1"/>
    <row r="918" ht="24.0" customHeight="1"/>
    <row r="919" ht="24.0" customHeight="1"/>
    <row r="920" ht="24.0" customHeight="1"/>
    <row r="921" ht="24.0" customHeight="1"/>
    <row r="922" ht="24.0" customHeight="1"/>
    <row r="923" ht="24.0" customHeight="1"/>
    <row r="924" ht="24.0" customHeight="1"/>
    <row r="925" ht="24.0" customHeight="1"/>
    <row r="926" ht="24.0" customHeight="1"/>
    <row r="927" ht="24.0" customHeight="1"/>
    <row r="928" ht="24.0" customHeight="1"/>
    <row r="929" ht="24.0" customHeight="1"/>
    <row r="930" ht="24.0" customHeight="1"/>
    <row r="931" ht="24.0" customHeight="1"/>
    <row r="932" ht="24.0" customHeight="1"/>
    <row r="933" ht="24.0" customHeight="1"/>
    <row r="934" ht="24.0" customHeight="1"/>
    <row r="935" ht="24.0" customHeight="1"/>
    <row r="936" ht="24.0" customHeight="1"/>
    <row r="937" ht="24.0" customHeight="1"/>
    <row r="938" ht="24.0" customHeight="1"/>
    <row r="939" ht="24.0" customHeight="1"/>
    <row r="940" ht="24.0" customHeight="1"/>
    <row r="941" ht="24.0" customHeight="1"/>
    <row r="942" ht="24.0" customHeight="1"/>
    <row r="943" ht="24.0" customHeight="1"/>
    <row r="944" ht="24.0" customHeight="1"/>
    <row r="945" ht="24.0" customHeight="1"/>
    <row r="946" ht="24.0" customHeight="1"/>
    <row r="947" ht="24.0" customHeight="1"/>
    <row r="948" ht="24.0" customHeight="1"/>
    <row r="949" ht="24.0" customHeight="1"/>
    <row r="950" ht="24.0" customHeight="1"/>
    <row r="951" ht="24.0" customHeight="1"/>
    <row r="952" ht="24.0" customHeight="1"/>
    <row r="953" ht="24.0" customHeight="1"/>
    <row r="954" ht="24.0" customHeight="1"/>
    <row r="955" ht="24.0" customHeight="1"/>
    <row r="956" ht="24.0" customHeight="1"/>
    <row r="957" ht="24.0" customHeight="1"/>
    <row r="958" ht="24.0" customHeight="1"/>
    <row r="959" ht="24.0" customHeight="1"/>
    <row r="960" ht="24.0" customHeight="1"/>
    <row r="961" ht="24.0" customHeight="1"/>
    <row r="962" ht="24.0" customHeight="1"/>
    <row r="963" ht="24.0" customHeight="1"/>
    <row r="964" ht="24.0" customHeight="1"/>
    <row r="965" ht="24.0" customHeight="1"/>
    <row r="966" ht="24.0" customHeight="1"/>
    <row r="967" ht="24.0" customHeight="1"/>
    <row r="968" ht="24.0" customHeight="1"/>
    <row r="969" ht="24.0" customHeight="1"/>
    <row r="970" ht="24.0" customHeight="1"/>
    <row r="971" ht="24.0" customHeight="1"/>
    <row r="972" ht="24.0" customHeight="1"/>
    <row r="973" ht="24.0" customHeight="1"/>
    <row r="974" ht="24.0" customHeight="1"/>
    <row r="975" ht="24.0" customHeight="1"/>
    <row r="976" ht="24.0" customHeight="1"/>
    <row r="977" ht="24.0" customHeight="1"/>
    <row r="978" ht="24.0" customHeight="1"/>
    <row r="979" ht="24.0" customHeight="1"/>
    <row r="980" ht="24.0" customHeight="1"/>
    <row r="981" ht="24.0" customHeight="1"/>
    <row r="982" ht="24.0" customHeight="1"/>
    <row r="983" ht="24.0" customHeight="1"/>
    <row r="984" ht="24.0" customHeight="1"/>
    <row r="985" ht="24.0" customHeight="1"/>
    <row r="986" ht="24.0" customHeight="1"/>
    <row r="987" ht="24.0" customHeight="1"/>
    <row r="988" ht="24.0" customHeight="1"/>
    <row r="989" ht="24.0" customHeight="1"/>
    <row r="990" ht="24.0" customHeight="1"/>
    <row r="991" ht="24.0" customHeight="1"/>
    <row r="992" ht="24.0" customHeight="1"/>
    <row r="993" ht="24.0" customHeight="1"/>
    <row r="994" ht="24.0" customHeight="1"/>
    <row r="995" ht="24.0" customHeight="1"/>
    <row r="996" ht="24.0" customHeight="1"/>
    <row r="997" ht="24.0" customHeight="1"/>
    <row r="998" ht="24.0" customHeight="1"/>
    <row r="999" ht="24.0" customHeight="1"/>
    <row r="1000" ht="24.0" customHeight="1"/>
  </sheetData>
  <mergeCells count="2">
    <mergeCell ref="B1:F1"/>
    <mergeCell ref="B7:E7"/>
  </mergeCells>
  <conditionalFormatting sqref="E4">
    <cfRule type="expression" dxfId="0" priority="1">
      <formula>AND(ISNUMBER(E4),ROUND(E4,2)=INT(ROUND(E4,2)))</formula>
    </cfRule>
  </conditionalFormatting>
  <conditionalFormatting sqref="E4">
    <cfRule type="expression" dxfId="1" priority="2">
      <formula>AND(ISNUMBER(E4),ROUND(E4,2)&lt;&gt;INT(ROUND(E4,2)))</formula>
    </cfRule>
  </conditionalFormatting>
  <conditionalFormatting sqref="F4">
    <cfRule type="expression" dxfId="0" priority="3">
      <formula>AND(ISNUMBER(F4),ROUND(F4,2)=INT(ROUND(F4,2)))</formula>
    </cfRule>
  </conditionalFormatting>
  <conditionalFormatting sqref="F4">
    <cfRule type="expression" dxfId="1" priority="4">
      <formula>AND(ISNUMBER(F4),ROUND(F4,2)&lt;&gt;INT(ROUND(F4,2)))</formula>
    </cfRule>
  </conditionalFormatting>
  <conditionalFormatting sqref="F7">
    <cfRule type="expression" dxfId="0" priority="5">
      <formula>AND(ISNUMBER(F7),ROUND(F7,2)=INT(ROUND(F7,2)))</formula>
    </cfRule>
  </conditionalFormatting>
  <conditionalFormatting sqref="F7">
    <cfRule type="expression" dxfId="1" priority="6">
      <formula>AND(ISNUMBER(F7),ROUND(F7,2)&lt;&gt;INT(ROUND(F7,2)))</formula>
    </cfRule>
  </conditionalFormatting>
  <dataValidations>
    <dataValidation type="decimal" operator="greaterThanOrEqual" allowBlank="1" showInputMessage="1" showErrorMessage="1" prompt="יש להזין מספר לא שלילי" sqref="D4">
      <formula1>0.0</formula1>
    </dataValidation>
    <dataValidation type="custom" allowBlank="1" showInputMessage="1" showErrorMessage="1" prompt="מספר לא שלילי, כלול או לא רלוונטי בלבד" sqref="E4">
      <formula1>OR(ISBLANK(E4),AND(ISNUMBER(E4),E4&gt;=0),E4="כלול",E4="לא רלוונטי")</formula1>
    </dataValidation>
  </dataValidations>
  <printOptions/>
  <pageMargins bottom="0.75" footer="0.0" header="0.0" left="0.25" right="0.25" top="0.75"/>
  <pageSetup fitToHeight="0" paperSize="9" orientation="portrait"/>
  <headerFooter>
    <oddFooter>&amp;Cעמוד &amp;P</oddFooter>
  </headerFooter>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rightToLeft="1" workbookViewId="0"/>
  </sheetViews>
  <sheetFormatPr customHeight="1" defaultColWidth="14.43" defaultRowHeight="15.0"/>
  <cols>
    <col customWidth="1" min="1" max="1" width="7.29"/>
    <col customWidth="1" min="2" max="2" width="66.29"/>
    <col customWidth="1" min="3" max="6" width="8.14"/>
    <col customWidth="1" hidden="1" min="7" max="7" width="36.0"/>
    <col customWidth="1" hidden="1" min="8" max="8" width="12.0"/>
    <col customWidth="1" min="9" max="26" width="8.71"/>
  </cols>
  <sheetData>
    <row r="1" ht="31.5" customHeight="1">
      <c r="A1" s="10"/>
      <c r="B1" s="3" t="s">
        <v>98</v>
      </c>
      <c r="G1" s="2" t="s">
        <v>96</v>
      </c>
      <c r="H1" s="2" t="s">
        <v>53</v>
      </c>
    </row>
    <row r="2" ht="31.5" customHeight="1">
      <c r="A2" s="16" t="s">
        <v>59</v>
      </c>
      <c r="B2" s="17" t="s">
        <v>67</v>
      </c>
      <c r="C2" s="16" t="s">
        <v>72</v>
      </c>
      <c r="D2" s="16" t="s">
        <v>76</v>
      </c>
      <c r="E2" s="16" t="s">
        <v>79</v>
      </c>
      <c r="F2" s="16" t="s">
        <v>81</v>
      </c>
      <c r="G2" s="2"/>
      <c r="H2" s="2" t="s">
        <v>84</v>
      </c>
    </row>
    <row r="3" ht="63.75" customHeight="1">
      <c r="A3" s="19"/>
      <c r="B3" s="20" t="s">
        <v>338</v>
      </c>
      <c r="C3" s="19"/>
      <c r="D3" s="19"/>
      <c r="E3" s="19"/>
      <c r="F3" s="19"/>
      <c r="G3" s="12" t="s">
        <v>365</v>
      </c>
      <c r="H3" s="12" t="s">
        <v>105</v>
      </c>
    </row>
    <row r="4" ht="63.75" customHeight="1">
      <c r="A4" s="19"/>
      <c r="B4" s="20" t="s">
        <v>366</v>
      </c>
      <c r="C4" s="19" t="s">
        <v>126</v>
      </c>
      <c r="D4" s="19"/>
      <c r="E4" s="22"/>
      <c r="F4" s="22" t="str">
        <f>IF(ISBLANK(D4),"",IF(NOT(ISNUMBER(D4)),"קלט לא תקין",IF(D4&lt;0,"קלט לא תקין",IF(ISBLANK(E4),"",IF(OR(E4="כלול",E4="לא רלוונטי"),0,IF(NOT(ISNUMBER(E4)),"קלט לא תקין",IF(E4&lt;0,"קלט לא תקין",ROUND(D4*E4,2))))))))</f>
        <v/>
      </c>
      <c r="G4" s="12" t="s">
        <v>368</v>
      </c>
      <c r="H4" s="12" t="s">
        <v>113</v>
      </c>
    </row>
    <row r="5" ht="399.75" customHeight="1">
      <c r="A5" s="19"/>
      <c r="B5" s="20"/>
      <c r="C5" s="19"/>
      <c r="D5" s="19"/>
      <c r="E5" s="19"/>
      <c r="F5" s="19"/>
      <c r="G5" s="12"/>
      <c r="H5" s="12" t="s">
        <v>86</v>
      </c>
    </row>
    <row r="6" ht="95.25" customHeight="1">
      <c r="A6" s="19"/>
      <c r="B6" s="20"/>
      <c r="C6" s="19"/>
      <c r="D6" s="19"/>
      <c r="E6" s="19"/>
      <c r="F6" s="19"/>
      <c r="G6" s="12"/>
      <c r="H6" s="12" t="s">
        <v>86</v>
      </c>
    </row>
    <row r="7" ht="31.5" customHeight="1">
      <c r="A7" s="6"/>
      <c r="B7" s="7" t="s">
        <v>130</v>
      </c>
      <c r="C7" s="8"/>
      <c r="D7" s="8"/>
      <c r="E7" s="9"/>
      <c r="F7" s="23">
        <f>SUM(F4)</f>
        <v>0</v>
      </c>
      <c r="G7" s="12"/>
      <c r="H7" s="12" t="s">
        <v>136</v>
      </c>
    </row>
    <row r="8" ht="24.0" customHeight="1"/>
    <row r="9" ht="24.0" customHeight="1"/>
    <row r="10" ht="24.0" customHeight="1"/>
    <row r="11" ht="24.0" customHeight="1"/>
    <row r="12" ht="24.0" customHeight="1"/>
    <row r="13" ht="24.0" customHeight="1"/>
    <row r="14" ht="24.0" customHeight="1"/>
    <row r="15" ht="24.0" customHeight="1"/>
    <row r="16" ht="24.0" customHeight="1"/>
    <row r="17" ht="24.0" customHeight="1"/>
    <row r="18" ht="24.0" customHeight="1"/>
    <row r="19" ht="24.0" customHeight="1"/>
    <row r="20" ht="24.0" customHeight="1"/>
    <row r="21" ht="24.0" customHeight="1"/>
    <row r="22" ht="24.0" customHeight="1"/>
    <row r="23" ht="24.0" customHeight="1"/>
    <row r="24" ht="24.0" customHeight="1"/>
    <row r="25" ht="24.0" customHeight="1"/>
    <row r="26" ht="24.0" customHeight="1"/>
    <row r="27" ht="24.0" customHeight="1"/>
    <row r="28" ht="24.0" customHeight="1"/>
    <row r="29" ht="24.0" customHeight="1"/>
    <row r="30" ht="24.0" customHeight="1"/>
    <row r="31" ht="24.0" customHeight="1"/>
    <row r="32" ht="24.0" customHeight="1"/>
    <row r="33" ht="24.0" customHeight="1"/>
    <row r="34" ht="24.0" customHeight="1"/>
    <row r="35" ht="24.0" customHeight="1"/>
    <row r="36" ht="24.0" customHeight="1"/>
    <row r="37" ht="24.0" customHeight="1"/>
    <row r="38" ht="24.0" customHeight="1"/>
    <row r="39" ht="24.0" customHeight="1"/>
    <row r="40" ht="24.0" customHeight="1"/>
    <row r="41" ht="24.0" customHeight="1"/>
    <row r="42" ht="24.0" customHeight="1"/>
    <row r="43" ht="24.0" customHeight="1"/>
    <row r="44" ht="24.0" customHeight="1"/>
    <row r="45" ht="24.0" customHeight="1"/>
    <row r="46" ht="24.0" customHeight="1"/>
    <row r="47" ht="24.0" customHeight="1"/>
    <row r="48" ht="24.0" customHeight="1"/>
    <row r="49" ht="24.0" customHeight="1"/>
    <row r="50" ht="24.0" customHeight="1"/>
    <row r="51" ht="24.0" customHeight="1"/>
    <row r="52" ht="24.0" customHeight="1"/>
    <row r="53" ht="24.0" customHeight="1"/>
    <row r="54" ht="24.0" customHeight="1"/>
    <row r="55" ht="24.0" customHeight="1"/>
    <row r="56" ht="24.0" customHeight="1"/>
    <row r="57" ht="24.0" customHeight="1"/>
    <row r="58" ht="24.0" customHeight="1"/>
    <row r="59" ht="24.0" customHeight="1"/>
    <row r="60" ht="24.0" customHeight="1"/>
    <row r="61" ht="24.0" customHeight="1"/>
    <row r="62" ht="24.0" customHeight="1"/>
    <row r="63" ht="24.0" customHeight="1"/>
    <row r="64" ht="24.0" customHeight="1"/>
    <row r="65" ht="24.0" customHeight="1"/>
    <row r="66" ht="24.0" customHeight="1"/>
    <row r="67" ht="24.0" customHeight="1"/>
    <row r="68" ht="24.0" customHeight="1"/>
    <row r="69" ht="24.0" customHeight="1"/>
    <row r="70" ht="24.0" customHeight="1"/>
    <row r="71" ht="24.0" customHeight="1"/>
    <row r="72" ht="24.0" customHeight="1"/>
    <row r="73" ht="24.0" customHeight="1"/>
    <row r="74" ht="24.0" customHeight="1"/>
    <row r="75" ht="24.0" customHeight="1"/>
    <row r="76" ht="24.0" customHeight="1"/>
    <row r="77" ht="24.0" customHeight="1"/>
    <row r="78" ht="24.0" customHeight="1"/>
    <row r="79" ht="24.0" customHeight="1"/>
    <row r="80" ht="24.0" customHeight="1"/>
    <row r="81" ht="24.0" customHeight="1"/>
    <row r="82" ht="24.0" customHeight="1"/>
    <row r="83" ht="24.0" customHeight="1"/>
    <row r="84" ht="24.0" customHeight="1"/>
    <row r="85" ht="24.0" customHeight="1"/>
    <row r="86" ht="24.0" customHeight="1"/>
    <row r="87" ht="24.0" customHeight="1"/>
    <row r="88" ht="24.0" customHeight="1"/>
    <row r="89" ht="24.0" customHeight="1"/>
    <row r="90" ht="24.0" customHeight="1"/>
    <row r="91" ht="24.0" customHeight="1"/>
    <row r="92" ht="24.0" customHeight="1"/>
    <row r="93" ht="24.0" customHeight="1"/>
    <row r="94" ht="24.0" customHeight="1"/>
    <row r="95" ht="24.0" customHeight="1"/>
    <row r="96" ht="24.0" customHeight="1"/>
    <row r="97" ht="24.0" customHeight="1"/>
    <row r="98" ht="24.0" customHeight="1"/>
    <row r="99" ht="24.0" customHeight="1"/>
    <row r="100" ht="24.0" customHeight="1"/>
    <row r="101" ht="24.0" customHeight="1"/>
    <row r="102" ht="24.0" customHeight="1"/>
    <row r="103" ht="24.0" customHeight="1"/>
    <row r="104" ht="24.0" customHeight="1"/>
    <row r="105" ht="24.0" customHeight="1"/>
    <row r="106" ht="24.0" customHeight="1"/>
    <row r="107" ht="24.0" customHeight="1"/>
    <row r="108" ht="24.0" customHeight="1"/>
    <row r="109" ht="24.0" customHeight="1"/>
    <row r="110" ht="24.0" customHeight="1"/>
    <row r="111" ht="24.0" customHeight="1"/>
    <row r="112" ht="24.0" customHeight="1"/>
    <row r="113" ht="24.0" customHeight="1"/>
    <row r="114" ht="24.0" customHeight="1"/>
    <row r="115" ht="24.0" customHeight="1"/>
    <row r="116" ht="24.0" customHeight="1"/>
    <row r="117" ht="24.0" customHeight="1"/>
    <row r="118" ht="24.0" customHeight="1"/>
    <row r="119" ht="24.0" customHeight="1"/>
    <row r="120" ht="24.0" customHeight="1"/>
    <row r="121" ht="24.0" customHeight="1"/>
    <row r="122" ht="24.0" customHeight="1"/>
    <row r="123" ht="24.0" customHeight="1"/>
    <row r="124" ht="24.0" customHeight="1"/>
    <row r="125" ht="24.0" customHeight="1"/>
    <row r="126" ht="24.0" customHeight="1"/>
    <row r="127" ht="24.0" customHeight="1"/>
    <row r="128" ht="24.0" customHeight="1"/>
    <row r="129" ht="24.0" customHeight="1"/>
    <row r="130" ht="24.0" customHeight="1"/>
    <row r="131" ht="24.0" customHeight="1"/>
    <row r="132" ht="24.0" customHeight="1"/>
    <row r="133" ht="24.0" customHeight="1"/>
    <row r="134" ht="24.0" customHeight="1"/>
    <row r="135" ht="24.0" customHeight="1"/>
    <row r="136" ht="24.0" customHeight="1"/>
    <row r="137" ht="24.0" customHeight="1"/>
    <row r="138" ht="24.0" customHeight="1"/>
    <row r="139" ht="24.0" customHeight="1"/>
    <row r="140" ht="24.0" customHeight="1"/>
    <row r="141" ht="24.0" customHeight="1"/>
    <row r="142" ht="24.0" customHeight="1"/>
    <row r="143" ht="24.0" customHeight="1"/>
    <row r="144" ht="24.0" customHeight="1"/>
    <row r="145" ht="24.0" customHeight="1"/>
    <row r="146" ht="24.0" customHeight="1"/>
    <row r="147" ht="24.0" customHeight="1"/>
    <row r="148" ht="24.0" customHeight="1"/>
    <row r="149" ht="24.0" customHeight="1"/>
    <row r="150" ht="24.0" customHeight="1"/>
    <row r="151" ht="24.0" customHeight="1"/>
    <row r="152" ht="24.0" customHeight="1"/>
    <row r="153" ht="24.0" customHeight="1"/>
    <row r="154" ht="24.0" customHeight="1"/>
    <row r="155" ht="24.0" customHeight="1"/>
    <row r="156" ht="24.0" customHeight="1"/>
    <row r="157" ht="24.0" customHeight="1"/>
    <row r="158" ht="24.0" customHeight="1"/>
    <row r="159" ht="24.0" customHeight="1"/>
    <row r="160" ht="24.0" customHeight="1"/>
    <row r="161" ht="24.0" customHeight="1"/>
    <row r="162" ht="24.0" customHeight="1"/>
    <row r="163" ht="24.0" customHeight="1"/>
    <row r="164" ht="24.0" customHeight="1"/>
    <row r="165" ht="24.0" customHeight="1"/>
    <row r="166" ht="24.0" customHeight="1"/>
    <row r="167" ht="24.0" customHeight="1"/>
    <row r="168" ht="24.0" customHeight="1"/>
    <row r="169" ht="24.0" customHeight="1"/>
    <row r="170" ht="24.0" customHeight="1"/>
    <row r="171" ht="24.0" customHeight="1"/>
    <row r="172" ht="24.0" customHeight="1"/>
    <row r="173" ht="24.0" customHeight="1"/>
    <row r="174" ht="24.0" customHeight="1"/>
    <row r="175" ht="24.0" customHeight="1"/>
    <row r="176" ht="24.0" customHeight="1"/>
    <row r="177" ht="24.0" customHeight="1"/>
    <row r="178" ht="24.0" customHeight="1"/>
    <row r="179" ht="24.0" customHeight="1"/>
    <row r="180" ht="24.0" customHeight="1"/>
    <row r="181" ht="24.0" customHeight="1"/>
    <row r="182" ht="24.0" customHeight="1"/>
    <row r="183" ht="24.0" customHeight="1"/>
    <row r="184" ht="24.0" customHeight="1"/>
    <row r="185" ht="24.0" customHeight="1"/>
    <row r="186" ht="24.0" customHeight="1"/>
    <row r="187" ht="24.0" customHeight="1"/>
    <row r="188" ht="24.0" customHeight="1"/>
    <row r="189" ht="24.0" customHeight="1"/>
    <row r="190" ht="24.0" customHeight="1"/>
    <row r="191" ht="24.0" customHeight="1"/>
    <row r="192" ht="24.0" customHeight="1"/>
    <row r="193" ht="24.0" customHeight="1"/>
    <row r="194" ht="24.0" customHeight="1"/>
    <row r="195" ht="24.0" customHeight="1"/>
    <row r="196" ht="24.0" customHeight="1"/>
    <row r="197" ht="24.0" customHeight="1"/>
    <row r="198" ht="24.0" customHeight="1"/>
    <row r="199" ht="24.0" customHeight="1"/>
    <row r="200" ht="24.0" customHeight="1"/>
    <row r="201" ht="24.0" customHeight="1"/>
    <row r="202" ht="24.0" customHeight="1"/>
    <row r="203" ht="24.0" customHeight="1"/>
    <row r="204" ht="24.0" customHeight="1"/>
    <row r="205" ht="24.0" customHeight="1"/>
    <row r="206" ht="24.0" customHeight="1"/>
    <row r="207" ht="24.0" customHeight="1"/>
    <row r="208" ht="24.0" customHeight="1"/>
    <row r="209" ht="24.0" customHeight="1"/>
    <row r="210" ht="24.0" customHeight="1"/>
    <row r="211" ht="24.0" customHeight="1"/>
    <row r="212" ht="24.0" customHeight="1"/>
    <row r="213" ht="24.0" customHeight="1"/>
    <row r="214" ht="24.0" customHeight="1"/>
    <row r="215" ht="24.0" customHeight="1"/>
    <row r="216" ht="24.0" customHeight="1"/>
    <row r="217" ht="24.0" customHeight="1"/>
    <row r="218" ht="24.0" customHeight="1"/>
    <row r="219" ht="24.0" customHeight="1"/>
    <row r="220" ht="24.0" customHeight="1"/>
    <row r="221" ht="24.0" customHeight="1"/>
    <row r="222" ht="24.0" customHeight="1"/>
    <row r="223" ht="24.0" customHeight="1"/>
    <row r="224" ht="24.0" customHeight="1"/>
    <row r="225" ht="24.0" customHeight="1"/>
    <row r="226" ht="24.0" customHeight="1"/>
    <row r="227" ht="24.0" customHeight="1"/>
    <row r="228" ht="24.0" customHeight="1"/>
    <row r="229" ht="24.0" customHeight="1"/>
    <row r="230" ht="24.0" customHeight="1"/>
    <row r="231" ht="24.0" customHeight="1"/>
    <row r="232" ht="24.0" customHeight="1"/>
    <row r="233" ht="24.0" customHeight="1"/>
    <row r="234" ht="24.0" customHeight="1"/>
    <row r="235" ht="24.0" customHeight="1"/>
    <row r="236" ht="24.0" customHeight="1"/>
    <row r="237" ht="24.0" customHeight="1"/>
    <row r="238" ht="24.0" customHeight="1"/>
    <row r="239" ht="24.0" customHeight="1"/>
    <row r="240" ht="24.0" customHeight="1"/>
    <row r="241" ht="24.0" customHeight="1"/>
    <row r="242" ht="24.0" customHeight="1"/>
    <row r="243" ht="24.0" customHeight="1"/>
    <row r="244" ht="24.0" customHeight="1"/>
    <row r="245" ht="24.0" customHeight="1"/>
    <row r="246" ht="24.0" customHeight="1"/>
    <row r="247" ht="24.0" customHeight="1"/>
    <row r="248" ht="24.0" customHeight="1"/>
    <row r="249" ht="24.0" customHeight="1"/>
    <row r="250" ht="24.0" customHeight="1"/>
    <row r="251" ht="24.0" customHeight="1"/>
    <row r="252" ht="24.0" customHeight="1"/>
    <row r="253" ht="24.0" customHeight="1"/>
    <row r="254" ht="24.0" customHeight="1"/>
    <row r="255" ht="24.0" customHeight="1"/>
    <row r="256" ht="24.0" customHeight="1"/>
    <row r="257" ht="24.0" customHeight="1"/>
    <row r="258" ht="24.0" customHeight="1"/>
    <row r="259" ht="24.0" customHeight="1"/>
    <row r="260" ht="24.0" customHeight="1"/>
    <row r="261" ht="24.0" customHeight="1"/>
    <row r="262" ht="24.0" customHeight="1"/>
    <row r="263" ht="24.0" customHeight="1"/>
    <row r="264" ht="24.0" customHeight="1"/>
    <row r="265" ht="24.0" customHeight="1"/>
    <row r="266" ht="24.0" customHeight="1"/>
    <row r="267" ht="24.0" customHeight="1"/>
    <row r="268" ht="24.0" customHeight="1"/>
    <row r="269" ht="24.0" customHeight="1"/>
    <row r="270" ht="24.0" customHeight="1"/>
    <row r="271" ht="24.0" customHeight="1"/>
    <row r="272" ht="24.0" customHeight="1"/>
    <row r="273" ht="24.0" customHeight="1"/>
    <row r="274" ht="24.0" customHeight="1"/>
    <row r="275" ht="24.0" customHeight="1"/>
    <row r="276" ht="24.0" customHeight="1"/>
    <row r="277" ht="24.0" customHeight="1"/>
    <row r="278" ht="24.0" customHeight="1"/>
    <row r="279" ht="24.0" customHeight="1"/>
    <row r="280" ht="24.0" customHeight="1"/>
    <row r="281" ht="24.0" customHeight="1"/>
    <row r="282" ht="24.0" customHeight="1"/>
    <row r="283" ht="24.0" customHeight="1"/>
    <row r="284" ht="24.0" customHeight="1"/>
    <row r="285" ht="24.0" customHeight="1"/>
    <row r="286" ht="24.0" customHeight="1"/>
    <row r="287" ht="24.0" customHeight="1"/>
    <row r="288" ht="24.0" customHeight="1"/>
    <row r="289" ht="24.0" customHeight="1"/>
    <row r="290" ht="24.0" customHeight="1"/>
    <row r="291" ht="24.0" customHeight="1"/>
    <row r="292" ht="24.0" customHeight="1"/>
    <row r="293" ht="24.0" customHeight="1"/>
    <row r="294" ht="24.0" customHeight="1"/>
    <row r="295" ht="24.0" customHeight="1"/>
    <row r="296" ht="24.0" customHeight="1"/>
    <row r="297" ht="24.0" customHeight="1"/>
    <row r="298" ht="24.0" customHeight="1"/>
    <row r="299" ht="24.0" customHeight="1"/>
    <row r="300" ht="24.0" customHeight="1"/>
    <row r="301" ht="24.0" customHeight="1"/>
    <row r="302" ht="24.0" customHeight="1"/>
    <row r="303" ht="24.0" customHeight="1"/>
    <row r="304" ht="24.0" customHeight="1"/>
    <row r="305" ht="24.0" customHeight="1"/>
    <row r="306" ht="24.0" customHeight="1"/>
    <row r="307" ht="24.0" customHeight="1"/>
    <row r="308" ht="24.0" customHeight="1"/>
    <row r="309" ht="24.0" customHeight="1"/>
    <row r="310" ht="24.0" customHeight="1"/>
    <row r="311" ht="24.0" customHeight="1"/>
    <row r="312" ht="24.0" customHeight="1"/>
    <row r="313" ht="24.0" customHeight="1"/>
    <row r="314" ht="24.0" customHeight="1"/>
    <row r="315" ht="24.0" customHeight="1"/>
    <row r="316" ht="24.0" customHeight="1"/>
    <row r="317" ht="24.0" customHeight="1"/>
    <row r="318" ht="24.0" customHeight="1"/>
    <row r="319" ht="24.0" customHeight="1"/>
    <row r="320" ht="24.0" customHeight="1"/>
    <row r="321" ht="24.0" customHeight="1"/>
    <row r="322" ht="24.0" customHeight="1"/>
    <row r="323" ht="24.0" customHeight="1"/>
    <row r="324" ht="24.0" customHeight="1"/>
    <row r="325" ht="24.0" customHeight="1"/>
    <row r="326" ht="24.0" customHeight="1"/>
    <row r="327" ht="24.0" customHeight="1"/>
    <row r="328" ht="24.0" customHeight="1"/>
    <row r="329" ht="24.0" customHeight="1"/>
    <row r="330" ht="24.0" customHeight="1"/>
    <row r="331" ht="24.0" customHeight="1"/>
    <row r="332" ht="24.0" customHeight="1"/>
    <row r="333" ht="24.0" customHeight="1"/>
    <row r="334" ht="24.0" customHeight="1"/>
    <row r="335" ht="24.0" customHeight="1"/>
    <row r="336" ht="24.0" customHeight="1"/>
    <row r="337" ht="24.0" customHeight="1"/>
    <row r="338" ht="24.0" customHeight="1"/>
    <row r="339" ht="24.0" customHeight="1"/>
    <row r="340" ht="24.0" customHeight="1"/>
    <row r="341" ht="24.0" customHeight="1"/>
    <row r="342" ht="24.0" customHeight="1"/>
    <row r="343" ht="24.0" customHeight="1"/>
    <row r="344" ht="24.0" customHeight="1"/>
    <row r="345" ht="24.0" customHeight="1"/>
    <row r="346" ht="24.0" customHeight="1"/>
    <row r="347" ht="24.0" customHeight="1"/>
    <row r="348" ht="24.0" customHeight="1"/>
    <row r="349" ht="24.0" customHeight="1"/>
    <row r="350" ht="24.0" customHeight="1"/>
    <row r="351" ht="24.0" customHeight="1"/>
    <row r="352" ht="24.0" customHeight="1"/>
    <row r="353" ht="24.0" customHeight="1"/>
    <row r="354" ht="24.0" customHeight="1"/>
    <row r="355" ht="24.0" customHeight="1"/>
    <row r="356" ht="24.0" customHeight="1"/>
    <row r="357" ht="24.0" customHeight="1"/>
    <row r="358" ht="24.0" customHeight="1"/>
    <row r="359" ht="24.0" customHeight="1"/>
    <row r="360" ht="24.0" customHeight="1"/>
    <row r="361" ht="24.0" customHeight="1"/>
    <row r="362" ht="24.0" customHeight="1"/>
    <row r="363" ht="24.0" customHeight="1"/>
    <row r="364" ht="24.0" customHeight="1"/>
    <row r="365" ht="24.0" customHeight="1"/>
    <row r="366" ht="24.0" customHeight="1"/>
    <row r="367" ht="24.0" customHeight="1"/>
    <row r="368" ht="24.0" customHeight="1"/>
    <row r="369" ht="24.0" customHeight="1"/>
    <row r="370" ht="24.0" customHeight="1"/>
    <row r="371" ht="24.0" customHeight="1"/>
    <row r="372" ht="24.0" customHeight="1"/>
    <row r="373" ht="24.0" customHeight="1"/>
    <row r="374" ht="24.0" customHeight="1"/>
    <row r="375" ht="24.0" customHeight="1"/>
    <row r="376" ht="24.0" customHeight="1"/>
    <row r="377" ht="24.0" customHeight="1"/>
    <row r="378" ht="24.0" customHeight="1"/>
    <row r="379" ht="24.0" customHeight="1"/>
    <row r="380" ht="24.0" customHeight="1"/>
    <row r="381" ht="24.0" customHeight="1"/>
    <row r="382" ht="24.0" customHeight="1"/>
    <row r="383" ht="24.0" customHeight="1"/>
    <row r="384" ht="24.0" customHeight="1"/>
    <row r="385" ht="24.0" customHeight="1"/>
    <row r="386" ht="24.0" customHeight="1"/>
    <row r="387" ht="24.0" customHeight="1"/>
    <row r="388" ht="24.0" customHeight="1"/>
    <row r="389" ht="24.0" customHeight="1"/>
    <row r="390" ht="24.0" customHeight="1"/>
    <row r="391" ht="24.0" customHeight="1"/>
    <row r="392" ht="24.0" customHeight="1"/>
    <row r="393" ht="24.0" customHeight="1"/>
    <row r="394" ht="24.0" customHeight="1"/>
    <row r="395" ht="24.0" customHeight="1"/>
    <row r="396" ht="24.0" customHeight="1"/>
    <row r="397" ht="24.0" customHeight="1"/>
    <row r="398" ht="24.0" customHeight="1"/>
    <row r="399" ht="24.0" customHeight="1"/>
    <row r="400" ht="24.0" customHeight="1"/>
    <row r="401" ht="24.0" customHeight="1"/>
    <row r="402" ht="24.0" customHeight="1"/>
    <row r="403" ht="24.0" customHeight="1"/>
    <row r="404" ht="24.0" customHeight="1"/>
    <row r="405" ht="24.0" customHeight="1"/>
    <row r="406" ht="24.0" customHeight="1"/>
    <row r="407" ht="24.0" customHeight="1"/>
    <row r="408" ht="24.0" customHeight="1"/>
    <row r="409" ht="24.0" customHeight="1"/>
    <row r="410" ht="24.0" customHeight="1"/>
    <row r="411" ht="24.0" customHeight="1"/>
    <row r="412" ht="24.0" customHeight="1"/>
    <row r="413" ht="24.0" customHeight="1"/>
    <row r="414" ht="24.0" customHeight="1"/>
    <row r="415" ht="24.0" customHeight="1"/>
    <row r="416" ht="24.0" customHeight="1"/>
    <row r="417" ht="24.0" customHeight="1"/>
    <row r="418" ht="24.0" customHeight="1"/>
    <row r="419" ht="24.0" customHeight="1"/>
    <row r="420" ht="24.0" customHeight="1"/>
    <row r="421" ht="24.0" customHeight="1"/>
    <row r="422" ht="24.0" customHeight="1"/>
    <row r="423" ht="24.0" customHeight="1"/>
    <row r="424" ht="24.0" customHeight="1"/>
    <row r="425" ht="24.0" customHeight="1"/>
    <row r="426" ht="24.0" customHeight="1"/>
    <row r="427" ht="24.0" customHeight="1"/>
    <row r="428" ht="24.0" customHeight="1"/>
    <row r="429" ht="24.0" customHeight="1"/>
    <row r="430" ht="24.0" customHeight="1"/>
    <row r="431" ht="24.0" customHeight="1"/>
    <row r="432" ht="24.0" customHeight="1"/>
    <row r="433" ht="24.0" customHeight="1"/>
    <row r="434" ht="24.0" customHeight="1"/>
    <row r="435" ht="24.0" customHeight="1"/>
    <row r="436" ht="24.0" customHeight="1"/>
    <row r="437" ht="24.0" customHeight="1"/>
    <row r="438" ht="24.0" customHeight="1"/>
    <row r="439" ht="24.0" customHeight="1"/>
    <row r="440" ht="24.0" customHeight="1"/>
    <row r="441" ht="24.0" customHeight="1"/>
    <row r="442" ht="24.0" customHeight="1"/>
    <row r="443" ht="24.0" customHeight="1"/>
    <row r="444" ht="24.0" customHeight="1"/>
    <row r="445" ht="24.0" customHeight="1"/>
    <row r="446" ht="24.0" customHeight="1"/>
    <row r="447" ht="24.0" customHeight="1"/>
    <row r="448" ht="24.0" customHeight="1"/>
    <row r="449" ht="24.0" customHeight="1"/>
    <row r="450" ht="24.0" customHeight="1"/>
    <row r="451" ht="24.0" customHeight="1"/>
    <row r="452" ht="24.0" customHeight="1"/>
    <row r="453" ht="24.0" customHeight="1"/>
    <row r="454" ht="24.0" customHeight="1"/>
    <row r="455" ht="24.0" customHeight="1"/>
    <row r="456" ht="24.0" customHeight="1"/>
    <row r="457" ht="24.0" customHeight="1"/>
    <row r="458" ht="24.0" customHeight="1"/>
    <row r="459" ht="24.0" customHeight="1"/>
    <row r="460" ht="24.0" customHeight="1"/>
    <row r="461" ht="24.0" customHeight="1"/>
    <row r="462" ht="24.0" customHeight="1"/>
    <row r="463" ht="24.0" customHeight="1"/>
    <row r="464" ht="24.0" customHeight="1"/>
    <row r="465" ht="24.0" customHeight="1"/>
    <row r="466" ht="24.0" customHeight="1"/>
    <row r="467" ht="24.0" customHeight="1"/>
    <row r="468" ht="24.0" customHeight="1"/>
    <row r="469" ht="24.0" customHeight="1"/>
    <row r="470" ht="24.0" customHeight="1"/>
    <row r="471" ht="24.0" customHeight="1"/>
    <row r="472" ht="24.0" customHeight="1"/>
    <row r="473" ht="24.0" customHeight="1"/>
    <row r="474" ht="24.0" customHeight="1"/>
    <row r="475" ht="24.0" customHeight="1"/>
    <row r="476" ht="24.0" customHeight="1"/>
    <row r="477" ht="24.0" customHeight="1"/>
    <row r="478" ht="24.0" customHeight="1"/>
    <row r="479" ht="24.0" customHeight="1"/>
    <row r="480" ht="24.0" customHeight="1"/>
    <row r="481" ht="24.0" customHeight="1"/>
    <row r="482" ht="24.0" customHeight="1"/>
    <row r="483" ht="24.0" customHeight="1"/>
    <row r="484" ht="24.0" customHeight="1"/>
    <row r="485" ht="24.0" customHeight="1"/>
    <row r="486" ht="24.0" customHeight="1"/>
    <row r="487" ht="24.0" customHeight="1"/>
    <row r="488" ht="24.0" customHeight="1"/>
    <row r="489" ht="24.0" customHeight="1"/>
    <row r="490" ht="24.0" customHeight="1"/>
    <row r="491" ht="24.0" customHeight="1"/>
    <row r="492" ht="24.0" customHeight="1"/>
    <row r="493" ht="24.0" customHeight="1"/>
    <row r="494" ht="24.0" customHeight="1"/>
    <row r="495" ht="24.0" customHeight="1"/>
    <row r="496" ht="24.0" customHeight="1"/>
    <row r="497" ht="24.0" customHeight="1"/>
    <row r="498" ht="24.0" customHeight="1"/>
    <row r="499" ht="24.0" customHeight="1"/>
    <row r="500" ht="24.0" customHeight="1"/>
    <row r="501" ht="24.0" customHeight="1"/>
    <row r="502" ht="24.0" customHeight="1"/>
    <row r="503" ht="24.0" customHeight="1"/>
    <row r="504" ht="24.0" customHeight="1"/>
    <row r="505" ht="24.0" customHeight="1"/>
    <row r="506" ht="24.0" customHeight="1"/>
    <row r="507" ht="24.0" customHeight="1"/>
    <row r="508" ht="24.0" customHeight="1"/>
    <row r="509" ht="24.0" customHeight="1"/>
    <row r="510" ht="24.0" customHeight="1"/>
    <row r="511" ht="24.0" customHeight="1"/>
    <row r="512" ht="24.0" customHeight="1"/>
    <row r="513" ht="24.0" customHeight="1"/>
    <row r="514" ht="24.0" customHeight="1"/>
    <row r="515" ht="24.0" customHeight="1"/>
    <row r="516" ht="24.0" customHeight="1"/>
    <row r="517" ht="24.0" customHeight="1"/>
    <row r="518" ht="24.0" customHeight="1"/>
    <row r="519" ht="24.0" customHeight="1"/>
    <row r="520" ht="24.0" customHeight="1"/>
    <row r="521" ht="24.0" customHeight="1"/>
    <row r="522" ht="24.0" customHeight="1"/>
    <row r="523" ht="24.0" customHeight="1"/>
    <row r="524" ht="24.0" customHeight="1"/>
    <row r="525" ht="24.0" customHeight="1"/>
    <row r="526" ht="24.0" customHeight="1"/>
    <row r="527" ht="24.0" customHeight="1"/>
    <row r="528" ht="24.0" customHeight="1"/>
    <row r="529" ht="24.0" customHeight="1"/>
    <row r="530" ht="24.0" customHeight="1"/>
    <row r="531" ht="24.0" customHeight="1"/>
    <row r="532" ht="24.0" customHeight="1"/>
    <row r="533" ht="24.0" customHeight="1"/>
    <row r="534" ht="24.0" customHeight="1"/>
    <row r="535" ht="24.0" customHeight="1"/>
    <row r="536" ht="24.0" customHeight="1"/>
    <row r="537" ht="24.0" customHeight="1"/>
    <row r="538" ht="24.0" customHeight="1"/>
    <row r="539" ht="24.0" customHeight="1"/>
    <row r="540" ht="24.0" customHeight="1"/>
    <row r="541" ht="24.0" customHeight="1"/>
    <row r="542" ht="24.0" customHeight="1"/>
    <row r="543" ht="24.0" customHeight="1"/>
    <row r="544" ht="24.0" customHeight="1"/>
    <row r="545" ht="24.0" customHeight="1"/>
    <row r="546" ht="24.0" customHeight="1"/>
    <row r="547" ht="24.0" customHeight="1"/>
    <row r="548" ht="24.0" customHeight="1"/>
    <row r="549" ht="24.0" customHeight="1"/>
    <row r="550" ht="24.0" customHeight="1"/>
    <row r="551" ht="24.0" customHeight="1"/>
    <row r="552" ht="24.0" customHeight="1"/>
    <row r="553" ht="24.0" customHeight="1"/>
    <row r="554" ht="24.0" customHeight="1"/>
    <row r="555" ht="24.0" customHeight="1"/>
    <row r="556" ht="24.0" customHeight="1"/>
    <row r="557" ht="24.0" customHeight="1"/>
    <row r="558" ht="24.0" customHeight="1"/>
    <row r="559" ht="24.0" customHeight="1"/>
    <row r="560" ht="24.0" customHeight="1"/>
    <row r="561" ht="24.0" customHeight="1"/>
    <row r="562" ht="24.0" customHeight="1"/>
    <row r="563" ht="24.0" customHeight="1"/>
    <row r="564" ht="24.0" customHeight="1"/>
    <row r="565" ht="24.0" customHeight="1"/>
    <row r="566" ht="24.0" customHeight="1"/>
    <row r="567" ht="24.0" customHeight="1"/>
    <row r="568" ht="24.0" customHeight="1"/>
    <row r="569" ht="24.0" customHeight="1"/>
    <row r="570" ht="24.0" customHeight="1"/>
    <row r="571" ht="24.0" customHeight="1"/>
    <row r="572" ht="24.0" customHeight="1"/>
    <row r="573" ht="24.0" customHeight="1"/>
    <row r="574" ht="24.0" customHeight="1"/>
    <row r="575" ht="24.0" customHeight="1"/>
    <row r="576" ht="24.0" customHeight="1"/>
    <row r="577" ht="24.0" customHeight="1"/>
    <row r="578" ht="24.0" customHeight="1"/>
    <row r="579" ht="24.0" customHeight="1"/>
    <row r="580" ht="24.0" customHeight="1"/>
    <row r="581" ht="24.0" customHeight="1"/>
    <row r="582" ht="24.0" customHeight="1"/>
    <row r="583" ht="24.0" customHeight="1"/>
    <row r="584" ht="24.0" customHeight="1"/>
    <row r="585" ht="24.0" customHeight="1"/>
    <row r="586" ht="24.0" customHeight="1"/>
    <row r="587" ht="24.0" customHeight="1"/>
    <row r="588" ht="24.0" customHeight="1"/>
    <row r="589" ht="24.0" customHeight="1"/>
    <row r="590" ht="24.0" customHeight="1"/>
    <row r="591" ht="24.0" customHeight="1"/>
    <row r="592" ht="24.0" customHeight="1"/>
    <row r="593" ht="24.0" customHeight="1"/>
    <row r="594" ht="24.0" customHeight="1"/>
    <row r="595" ht="24.0" customHeight="1"/>
    <row r="596" ht="24.0" customHeight="1"/>
    <row r="597" ht="24.0" customHeight="1"/>
    <row r="598" ht="24.0" customHeight="1"/>
    <row r="599" ht="24.0" customHeight="1"/>
    <row r="600" ht="24.0" customHeight="1"/>
    <row r="601" ht="24.0" customHeight="1"/>
    <row r="602" ht="24.0" customHeight="1"/>
    <row r="603" ht="24.0" customHeight="1"/>
    <row r="604" ht="24.0" customHeight="1"/>
    <row r="605" ht="24.0" customHeight="1"/>
    <row r="606" ht="24.0" customHeight="1"/>
    <row r="607" ht="24.0" customHeight="1"/>
    <row r="608" ht="24.0" customHeight="1"/>
    <row r="609" ht="24.0" customHeight="1"/>
    <row r="610" ht="24.0" customHeight="1"/>
    <row r="611" ht="24.0" customHeight="1"/>
    <row r="612" ht="24.0" customHeight="1"/>
    <row r="613" ht="24.0" customHeight="1"/>
    <row r="614" ht="24.0" customHeight="1"/>
    <row r="615" ht="24.0" customHeight="1"/>
    <row r="616" ht="24.0" customHeight="1"/>
    <row r="617" ht="24.0" customHeight="1"/>
    <row r="618" ht="24.0" customHeight="1"/>
    <row r="619" ht="24.0" customHeight="1"/>
    <row r="620" ht="24.0" customHeight="1"/>
    <row r="621" ht="24.0" customHeight="1"/>
    <row r="622" ht="24.0" customHeight="1"/>
    <row r="623" ht="24.0" customHeight="1"/>
    <row r="624" ht="24.0" customHeight="1"/>
    <row r="625" ht="24.0" customHeight="1"/>
    <row r="626" ht="24.0" customHeight="1"/>
    <row r="627" ht="24.0" customHeight="1"/>
    <row r="628" ht="24.0" customHeight="1"/>
    <row r="629" ht="24.0" customHeight="1"/>
    <row r="630" ht="24.0" customHeight="1"/>
    <row r="631" ht="24.0" customHeight="1"/>
    <row r="632" ht="24.0" customHeight="1"/>
    <row r="633" ht="24.0" customHeight="1"/>
    <row r="634" ht="24.0" customHeight="1"/>
    <row r="635" ht="24.0" customHeight="1"/>
    <row r="636" ht="24.0" customHeight="1"/>
    <row r="637" ht="24.0" customHeight="1"/>
    <row r="638" ht="24.0" customHeight="1"/>
    <row r="639" ht="24.0" customHeight="1"/>
    <row r="640" ht="24.0" customHeight="1"/>
    <row r="641" ht="24.0" customHeight="1"/>
    <row r="642" ht="24.0" customHeight="1"/>
    <row r="643" ht="24.0" customHeight="1"/>
    <row r="644" ht="24.0" customHeight="1"/>
    <row r="645" ht="24.0" customHeight="1"/>
    <row r="646" ht="24.0" customHeight="1"/>
    <row r="647" ht="24.0" customHeight="1"/>
    <row r="648" ht="24.0" customHeight="1"/>
    <row r="649" ht="24.0" customHeight="1"/>
    <row r="650" ht="24.0" customHeight="1"/>
    <row r="651" ht="24.0" customHeight="1"/>
    <row r="652" ht="24.0" customHeight="1"/>
    <row r="653" ht="24.0" customHeight="1"/>
    <row r="654" ht="24.0" customHeight="1"/>
    <row r="655" ht="24.0" customHeight="1"/>
    <row r="656" ht="24.0" customHeight="1"/>
    <row r="657" ht="24.0" customHeight="1"/>
    <row r="658" ht="24.0" customHeight="1"/>
    <row r="659" ht="24.0" customHeight="1"/>
    <row r="660" ht="24.0" customHeight="1"/>
    <row r="661" ht="24.0" customHeight="1"/>
    <row r="662" ht="24.0" customHeight="1"/>
    <row r="663" ht="24.0" customHeight="1"/>
    <row r="664" ht="24.0" customHeight="1"/>
    <row r="665" ht="24.0" customHeight="1"/>
    <row r="666" ht="24.0" customHeight="1"/>
    <row r="667" ht="24.0" customHeight="1"/>
    <row r="668" ht="24.0" customHeight="1"/>
    <row r="669" ht="24.0" customHeight="1"/>
    <row r="670" ht="24.0" customHeight="1"/>
    <row r="671" ht="24.0" customHeight="1"/>
    <row r="672" ht="24.0" customHeight="1"/>
    <row r="673" ht="24.0" customHeight="1"/>
    <row r="674" ht="24.0" customHeight="1"/>
    <row r="675" ht="24.0" customHeight="1"/>
    <row r="676" ht="24.0" customHeight="1"/>
    <row r="677" ht="24.0" customHeight="1"/>
    <row r="678" ht="24.0" customHeight="1"/>
    <row r="679" ht="24.0" customHeight="1"/>
    <row r="680" ht="24.0" customHeight="1"/>
    <row r="681" ht="24.0" customHeight="1"/>
    <row r="682" ht="24.0" customHeight="1"/>
    <row r="683" ht="24.0" customHeight="1"/>
    <row r="684" ht="24.0" customHeight="1"/>
    <row r="685" ht="24.0" customHeight="1"/>
    <row r="686" ht="24.0" customHeight="1"/>
    <row r="687" ht="24.0" customHeight="1"/>
    <row r="688" ht="24.0" customHeight="1"/>
    <row r="689" ht="24.0" customHeight="1"/>
    <row r="690" ht="24.0" customHeight="1"/>
    <row r="691" ht="24.0" customHeight="1"/>
    <row r="692" ht="24.0" customHeight="1"/>
    <row r="693" ht="24.0" customHeight="1"/>
    <row r="694" ht="24.0" customHeight="1"/>
    <row r="695" ht="24.0" customHeight="1"/>
    <row r="696" ht="24.0" customHeight="1"/>
    <row r="697" ht="24.0" customHeight="1"/>
    <row r="698" ht="24.0" customHeight="1"/>
    <row r="699" ht="24.0" customHeight="1"/>
    <row r="700" ht="24.0" customHeight="1"/>
    <row r="701" ht="24.0" customHeight="1"/>
    <row r="702" ht="24.0" customHeight="1"/>
    <row r="703" ht="24.0" customHeight="1"/>
    <row r="704" ht="24.0" customHeight="1"/>
    <row r="705" ht="24.0" customHeight="1"/>
    <row r="706" ht="24.0" customHeight="1"/>
    <row r="707" ht="24.0" customHeight="1"/>
    <row r="708" ht="24.0" customHeight="1"/>
    <row r="709" ht="24.0" customHeight="1"/>
    <row r="710" ht="24.0" customHeight="1"/>
    <row r="711" ht="24.0" customHeight="1"/>
    <row r="712" ht="24.0" customHeight="1"/>
    <row r="713" ht="24.0" customHeight="1"/>
    <row r="714" ht="24.0" customHeight="1"/>
    <row r="715" ht="24.0" customHeight="1"/>
    <row r="716" ht="24.0" customHeight="1"/>
    <row r="717" ht="24.0" customHeight="1"/>
    <row r="718" ht="24.0" customHeight="1"/>
    <row r="719" ht="24.0" customHeight="1"/>
    <row r="720" ht="24.0" customHeight="1"/>
    <row r="721" ht="24.0" customHeight="1"/>
    <row r="722" ht="24.0" customHeight="1"/>
    <row r="723" ht="24.0" customHeight="1"/>
    <row r="724" ht="24.0" customHeight="1"/>
    <row r="725" ht="24.0" customHeight="1"/>
    <row r="726" ht="24.0" customHeight="1"/>
    <row r="727" ht="24.0" customHeight="1"/>
    <row r="728" ht="24.0" customHeight="1"/>
    <row r="729" ht="24.0" customHeight="1"/>
    <row r="730" ht="24.0" customHeight="1"/>
    <row r="731" ht="24.0" customHeight="1"/>
    <row r="732" ht="24.0" customHeight="1"/>
    <row r="733" ht="24.0" customHeight="1"/>
    <row r="734" ht="24.0" customHeight="1"/>
    <row r="735" ht="24.0" customHeight="1"/>
    <row r="736" ht="24.0" customHeight="1"/>
    <row r="737" ht="24.0" customHeight="1"/>
    <row r="738" ht="24.0" customHeight="1"/>
    <row r="739" ht="24.0" customHeight="1"/>
    <row r="740" ht="24.0" customHeight="1"/>
    <row r="741" ht="24.0" customHeight="1"/>
    <row r="742" ht="24.0" customHeight="1"/>
    <row r="743" ht="24.0" customHeight="1"/>
    <row r="744" ht="24.0" customHeight="1"/>
    <row r="745" ht="24.0" customHeight="1"/>
    <row r="746" ht="24.0" customHeight="1"/>
    <row r="747" ht="24.0" customHeight="1"/>
    <row r="748" ht="24.0" customHeight="1"/>
    <row r="749" ht="24.0" customHeight="1"/>
    <row r="750" ht="24.0" customHeight="1"/>
    <row r="751" ht="24.0" customHeight="1"/>
    <row r="752" ht="24.0" customHeight="1"/>
    <row r="753" ht="24.0" customHeight="1"/>
    <row r="754" ht="24.0" customHeight="1"/>
    <row r="755" ht="24.0" customHeight="1"/>
    <row r="756" ht="24.0" customHeight="1"/>
    <row r="757" ht="24.0" customHeight="1"/>
    <row r="758" ht="24.0" customHeight="1"/>
    <row r="759" ht="24.0" customHeight="1"/>
    <row r="760" ht="24.0" customHeight="1"/>
    <row r="761" ht="24.0" customHeight="1"/>
    <row r="762" ht="24.0" customHeight="1"/>
    <row r="763" ht="24.0" customHeight="1"/>
    <row r="764" ht="24.0" customHeight="1"/>
    <row r="765" ht="24.0" customHeight="1"/>
    <row r="766" ht="24.0" customHeight="1"/>
    <row r="767" ht="24.0" customHeight="1"/>
    <row r="768" ht="24.0" customHeight="1"/>
    <row r="769" ht="24.0" customHeight="1"/>
    <row r="770" ht="24.0" customHeight="1"/>
    <row r="771" ht="24.0" customHeight="1"/>
    <row r="772" ht="24.0" customHeight="1"/>
    <row r="773" ht="24.0" customHeight="1"/>
    <row r="774" ht="24.0" customHeight="1"/>
    <row r="775" ht="24.0" customHeight="1"/>
    <row r="776" ht="24.0" customHeight="1"/>
    <row r="777" ht="24.0" customHeight="1"/>
    <row r="778" ht="24.0" customHeight="1"/>
    <row r="779" ht="24.0" customHeight="1"/>
    <row r="780" ht="24.0" customHeight="1"/>
    <row r="781" ht="24.0" customHeight="1"/>
    <row r="782" ht="24.0" customHeight="1"/>
    <row r="783" ht="24.0" customHeight="1"/>
    <row r="784" ht="24.0" customHeight="1"/>
    <row r="785" ht="24.0" customHeight="1"/>
    <row r="786" ht="24.0" customHeight="1"/>
    <row r="787" ht="24.0" customHeight="1"/>
    <row r="788" ht="24.0" customHeight="1"/>
    <row r="789" ht="24.0" customHeight="1"/>
    <row r="790" ht="24.0" customHeight="1"/>
    <row r="791" ht="24.0" customHeight="1"/>
    <row r="792" ht="24.0" customHeight="1"/>
    <row r="793" ht="24.0" customHeight="1"/>
    <row r="794" ht="24.0" customHeight="1"/>
    <row r="795" ht="24.0" customHeight="1"/>
    <row r="796" ht="24.0" customHeight="1"/>
    <row r="797" ht="24.0" customHeight="1"/>
    <row r="798" ht="24.0" customHeight="1"/>
    <row r="799" ht="24.0" customHeight="1"/>
    <row r="800" ht="24.0" customHeight="1"/>
    <row r="801" ht="24.0" customHeight="1"/>
    <row r="802" ht="24.0" customHeight="1"/>
    <row r="803" ht="24.0" customHeight="1"/>
    <row r="804" ht="24.0" customHeight="1"/>
    <row r="805" ht="24.0" customHeight="1"/>
    <row r="806" ht="24.0" customHeight="1"/>
    <row r="807" ht="24.0" customHeight="1"/>
    <row r="808" ht="24.0" customHeight="1"/>
    <row r="809" ht="24.0" customHeight="1"/>
    <row r="810" ht="24.0" customHeight="1"/>
    <row r="811" ht="24.0" customHeight="1"/>
    <row r="812" ht="24.0" customHeight="1"/>
    <row r="813" ht="24.0" customHeight="1"/>
    <row r="814" ht="24.0" customHeight="1"/>
    <row r="815" ht="24.0" customHeight="1"/>
    <row r="816" ht="24.0" customHeight="1"/>
    <row r="817" ht="24.0" customHeight="1"/>
    <row r="818" ht="24.0" customHeight="1"/>
    <row r="819" ht="24.0" customHeight="1"/>
    <row r="820" ht="24.0" customHeight="1"/>
    <row r="821" ht="24.0" customHeight="1"/>
    <row r="822" ht="24.0" customHeight="1"/>
    <row r="823" ht="24.0" customHeight="1"/>
    <row r="824" ht="24.0" customHeight="1"/>
    <row r="825" ht="24.0" customHeight="1"/>
    <row r="826" ht="24.0" customHeight="1"/>
    <row r="827" ht="24.0" customHeight="1"/>
    <row r="828" ht="24.0" customHeight="1"/>
    <row r="829" ht="24.0" customHeight="1"/>
    <row r="830" ht="24.0" customHeight="1"/>
    <row r="831" ht="24.0" customHeight="1"/>
    <row r="832" ht="24.0" customHeight="1"/>
    <row r="833" ht="24.0" customHeight="1"/>
    <row r="834" ht="24.0" customHeight="1"/>
    <row r="835" ht="24.0" customHeight="1"/>
    <row r="836" ht="24.0" customHeight="1"/>
    <row r="837" ht="24.0" customHeight="1"/>
    <row r="838" ht="24.0" customHeight="1"/>
    <row r="839" ht="24.0" customHeight="1"/>
    <row r="840" ht="24.0" customHeight="1"/>
    <row r="841" ht="24.0" customHeight="1"/>
    <row r="842" ht="24.0" customHeight="1"/>
    <row r="843" ht="24.0" customHeight="1"/>
    <row r="844" ht="24.0" customHeight="1"/>
    <row r="845" ht="24.0" customHeight="1"/>
    <row r="846" ht="24.0" customHeight="1"/>
    <row r="847" ht="24.0" customHeight="1"/>
    <row r="848" ht="24.0" customHeight="1"/>
    <row r="849" ht="24.0" customHeight="1"/>
    <row r="850" ht="24.0" customHeight="1"/>
    <row r="851" ht="24.0" customHeight="1"/>
    <row r="852" ht="24.0" customHeight="1"/>
    <row r="853" ht="24.0" customHeight="1"/>
    <row r="854" ht="24.0" customHeight="1"/>
    <row r="855" ht="24.0" customHeight="1"/>
    <row r="856" ht="24.0" customHeight="1"/>
    <row r="857" ht="24.0" customHeight="1"/>
    <row r="858" ht="24.0" customHeight="1"/>
    <row r="859" ht="24.0" customHeight="1"/>
    <row r="860" ht="24.0" customHeight="1"/>
    <row r="861" ht="24.0" customHeight="1"/>
    <row r="862" ht="24.0" customHeight="1"/>
    <row r="863" ht="24.0" customHeight="1"/>
    <row r="864" ht="24.0" customHeight="1"/>
    <row r="865" ht="24.0" customHeight="1"/>
    <row r="866" ht="24.0" customHeight="1"/>
    <row r="867" ht="24.0" customHeight="1"/>
    <row r="868" ht="24.0" customHeight="1"/>
    <row r="869" ht="24.0" customHeight="1"/>
    <row r="870" ht="24.0" customHeight="1"/>
    <row r="871" ht="24.0" customHeight="1"/>
    <row r="872" ht="24.0" customHeight="1"/>
    <row r="873" ht="24.0" customHeight="1"/>
    <row r="874" ht="24.0" customHeight="1"/>
    <row r="875" ht="24.0" customHeight="1"/>
    <row r="876" ht="24.0" customHeight="1"/>
    <row r="877" ht="24.0" customHeight="1"/>
    <row r="878" ht="24.0" customHeight="1"/>
    <row r="879" ht="24.0" customHeight="1"/>
    <row r="880" ht="24.0" customHeight="1"/>
    <row r="881" ht="24.0" customHeight="1"/>
    <row r="882" ht="24.0" customHeight="1"/>
    <row r="883" ht="24.0" customHeight="1"/>
    <row r="884" ht="24.0" customHeight="1"/>
    <row r="885" ht="24.0" customHeight="1"/>
    <row r="886" ht="24.0" customHeight="1"/>
    <row r="887" ht="24.0" customHeight="1"/>
    <row r="888" ht="24.0" customHeight="1"/>
    <row r="889" ht="24.0" customHeight="1"/>
    <row r="890" ht="24.0" customHeight="1"/>
    <row r="891" ht="24.0" customHeight="1"/>
    <row r="892" ht="24.0" customHeight="1"/>
    <row r="893" ht="24.0" customHeight="1"/>
    <row r="894" ht="24.0" customHeight="1"/>
    <row r="895" ht="24.0" customHeight="1"/>
    <row r="896" ht="24.0" customHeight="1"/>
    <row r="897" ht="24.0" customHeight="1"/>
    <row r="898" ht="24.0" customHeight="1"/>
    <row r="899" ht="24.0" customHeight="1"/>
    <row r="900" ht="24.0" customHeight="1"/>
    <row r="901" ht="24.0" customHeight="1"/>
    <row r="902" ht="24.0" customHeight="1"/>
    <row r="903" ht="24.0" customHeight="1"/>
    <row r="904" ht="24.0" customHeight="1"/>
    <row r="905" ht="24.0" customHeight="1"/>
    <row r="906" ht="24.0" customHeight="1"/>
    <row r="907" ht="24.0" customHeight="1"/>
    <row r="908" ht="24.0" customHeight="1"/>
    <row r="909" ht="24.0" customHeight="1"/>
    <row r="910" ht="24.0" customHeight="1"/>
    <row r="911" ht="24.0" customHeight="1"/>
    <row r="912" ht="24.0" customHeight="1"/>
    <row r="913" ht="24.0" customHeight="1"/>
    <row r="914" ht="24.0" customHeight="1"/>
    <row r="915" ht="24.0" customHeight="1"/>
    <row r="916" ht="24.0" customHeight="1"/>
    <row r="917" ht="24.0" customHeight="1"/>
    <row r="918" ht="24.0" customHeight="1"/>
    <row r="919" ht="24.0" customHeight="1"/>
    <row r="920" ht="24.0" customHeight="1"/>
    <row r="921" ht="24.0" customHeight="1"/>
    <row r="922" ht="24.0" customHeight="1"/>
    <row r="923" ht="24.0" customHeight="1"/>
    <row r="924" ht="24.0" customHeight="1"/>
    <row r="925" ht="24.0" customHeight="1"/>
    <row r="926" ht="24.0" customHeight="1"/>
    <row r="927" ht="24.0" customHeight="1"/>
    <row r="928" ht="24.0" customHeight="1"/>
    <row r="929" ht="24.0" customHeight="1"/>
    <row r="930" ht="24.0" customHeight="1"/>
    <row r="931" ht="24.0" customHeight="1"/>
    <row r="932" ht="24.0" customHeight="1"/>
    <row r="933" ht="24.0" customHeight="1"/>
    <row r="934" ht="24.0" customHeight="1"/>
    <row r="935" ht="24.0" customHeight="1"/>
    <row r="936" ht="24.0" customHeight="1"/>
    <row r="937" ht="24.0" customHeight="1"/>
    <row r="938" ht="24.0" customHeight="1"/>
    <row r="939" ht="24.0" customHeight="1"/>
    <row r="940" ht="24.0" customHeight="1"/>
    <row r="941" ht="24.0" customHeight="1"/>
    <row r="942" ht="24.0" customHeight="1"/>
    <row r="943" ht="24.0" customHeight="1"/>
    <row r="944" ht="24.0" customHeight="1"/>
    <row r="945" ht="24.0" customHeight="1"/>
    <row r="946" ht="24.0" customHeight="1"/>
    <row r="947" ht="24.0" customHeight="1"/>
    <row r="948" ht="24.0" customHeight="1"/>
    <row r="949" ht="24.0" customHeight="1"/>
    <row r="950" ht="24.0" customHeight="1"/>
    <row r="951" ht="24.0" customHeight="1"/>
    <row r="952" ht="24.0" customHeight="1"/>
    <row r="953" ht="24.0" customHeight="1"/>
    <row r="954" ht="24.0" customHeight="1"/>
    <row r="955" ht="24.0" customHeight="1"/>
    <row r="956" ht="24.0" customHeight="1"/>
    <row r="957" ht="24.0" customHeight="1"/>
    <row r="958" ht="24.0" customHeight="1"/>
    <row r="959" ht="24.0" customHeight="1"/>
    <row r="960" ht="24.0" customHeight="1"/>
    <row r="961" ht="24.0" customHeight="1"/>
    <row r="962" ht="24.0" customHeight="1"/>
    <row r="963" ht="24.0" customHeight="1"/>
    <row r="964" ht="24.0" customHeight="1"/>
    <row r="965" ht="24.0" customHeight="1"/>
    <row r="966" ht="24.0" customHeight="1"/>
    <row r="967" ht="24.0" customHeight="1"/>
    <row r="968" ht="24.0" customHeight="1"/>
    <row r="969" ht="24.0" customHeight="1"/>
    <row r="970" ht="24.0" customHeight="1"/>
    <row r="971" ht="24.0" customHeight="1"/>
    <row r="972" ht="24.0" customHeight="1"/>
    <row r="973" ht="24.0" customHeight="1"/>
    <row r="974" ht="24.0" customHeight="1"/>
    <row r="975" ht="24.0" customHeight="1"/>
    <row r="976" ht="24.0" customHeight="1"/>
    <row r="977" ht="24.0" customHeight="1"/>
    <row r="978" ht="24.0" customHeight="1"/>
    <row r="979" ht="24.0" customHeight="1"/>
    <row r="980" ht="24.0" customHeight="1"/>
    <row r="981" ht="24.0" customHeight="1"/>
    <row r="982" ht="24.0" customHeight="1"/>
    <row r="983" ht="24.0" customHeight="1"/>
    <row r="984" ht="24.0" customHeight="1"/>
    <row r="985" ht="24.0" customHeight="1"/>
    <row r="986" ht="24.0" customHeight="1"/>
    <row r="987" ht="24.0" customHeight="1"/>
    <row r="988" ht="24.0" customHeight="1"/>
    <row r="989" ht="24.0" customHeight="1"/>
    <row r="990" ht="24.0" customHeight="1"/>
    <row r="991" ht="24.0" customHeight="1"/>
    <row r="992" ht="24.0" customHeight="1"/>
    <row r="993" ht="24.0" customHeight="1"/>
    <row r="994" ht="24.0" customHeight="1"/>
    <row r="995" ht="24.0" customHeight="1"/>
    <row r="996" ht="24.0" customHeight="1"/>
    <row r="997" ht="24.0" customHeight="1"/>
    <row r="998" ht="24.0" customHeight="1"/>
    <row r="999" ht="24.0" customHeight="1"/>
    <row r="1000" ht="24.0" customHeight="1"/>
  </sheetData>
  <mergeCells count="2">
    <mergeCell ref="B1:F1"/>
    <mergeCell ref="B7:E7"/>
  </mergeCells>
  <conditionalFormatting sqref="E4">
    <cfRule type="expression" dxfId="0" priority="1">
      <formula>AND(ISNUMBER(E4),ROUND(E4,2)=INT(ROUND(E4,2)))</formula>
    </cfRule>
  </conditionalFormatting>
  <conditionalFormatting sqref="E4">
    <cfRule type="expression" dxfId="1" priority="2">
      <formula>AND(ISNUMBER(E4),ROUND(E4,2)&lt;&gt;INT(ROUND(E4,2)))</formula>
    </cfRule>
  </conditionalFormatting>
  <conditionalFormatting sqref="F4">
    <cfRule type="expression" dxfId="0" priority="3">
      <formula>AND(ISNUMBER(F4),ROUND(F4,2)=INT(ROUND(F4,2)))</formula>
    </cfRule>
  </conditionalFormatting>
  <conditionalFormatting sqref="F4">
    <cfRule type="expression" dxfId="1" priority="4">
      <formula>AND(ISNUMBER(F4),ROUND(F4,2)&lt;&gt;INT(ROUND(F4,2)))</formula>
    </cfRule>
  </conditionalFormatting>
  <conditionalFormatting sqref="F7">
    <cfRule type="expression" dxfId="0" priority="5">
      <formula>AND(ISNUMBER(F7),ROUND(F7,2)=INT(ROUND(F7,2)))</formula>
    </cfRule>
  </conditionalFormatting>
  <conditionalFormatting sqref="F7">
    <cfRule type="expression" dxfId="1" priority="6">
      <formula>AND(ISNUMBER(F7),ROUND(F7,2)&lt;&gt;INT(ROUND(F7,2)))</formula>
    </cfRule>
  </conditionalFormatting>
  <dataValidations>
    <dataValidation type="decimal" operator="greaterThanOrEqual" allowBlank="1" showInputMessage="1" showErrorMessage="1" prompt="יש להזין מספר לא שלילי" sqref="D4">
      <formula1>0.0</formula1>
    </dataValidation>
    <dataValidation type="custom" allowBlank="1" showInputMessage="1" showErrorMessage="1" prompt="מספר לא שלילי, כלול או לא רלוונטי בלבד" sqref="E4">
      <formula1>OR(ISBLANK(E4),AND(ISNUMBER(E4),E4&gt;=0),E4="כלול",E4="לא רלוונטי")</formula1>
    </dataValidation>
  </dataValidations>
  <printOptions/>
  <pageMargins bottom="0.75" footer="0.0" header="0.0" left="0.25" right="0.25" top="0.75"/>
  <pageSetup fitToHeight="0" paperSize="9" orientation="portrait"/>
  <headerFooter>
    <oddFooter>&amp;Cעמוד &amp;P</oddFooter>
  </headerFooter>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rightToLeft="1" workbookViewId="0"/>
  </sheetViews>
  <sheetFormatPr customHeight="1" defaultColWidth="14.43" defaultRowHeight="15.0"/>
  <cols>
    <col customWidth="1" min="1" max="1" width="7.29"/>
    <col customWidth="1" min="2" max="2" width="66.29"/>
    <col customWidth="1" min="3" max="6" width="8.14"/>
    <col customWidth="1" hidden="1" min="7" max="7" width="36.0"/>
    <col customWidth="1" hidden="1" min="8" max="8" width="12.0"/>
    <col customWidth="1" min="9" max="26" width="8.71"/>
  </cols>
  <sheetData>
    <row r="1" ht="31.5" customHeight="1">
      <c r="A1" s="10"/>
      <c r="B1" s="3" t="s">
        <v>101</v>
      </c>
      <c r="G1" s="2" t="s">
        <v>100</v>
      </c>
      <c r="H1" s="2" t="s">
        <v>53</v>
      </c>
    </row>
    <row r="2" ht="31.5" customHeight="1">
      <c r="A2" s="16" t="s">
        <v>59</v>
      </c>
      <c r="B2" s="17" t="s">
        <v>67</v>
      </c>
      <c r="C2" s="16" t="s">
        <v>72</v>
      </c>
      <c r="D2" s="16" t="s">
        <v>76</v>
      </c>
      <c r="E2" s="16" t="s">
        <v>79</v>
      </c>
      <c r="F2" s="16" t="s">
        <v>81</v>
      </c>
      <c r="G2" s="2"/>
      <c r="H2" s="2" t="s">
        <v>84</v>
      </c>
    </row>
    <row r="3" ht="81.0" customHeight="1">
      <c r="A3" s="19"/>
      <c r="B3" s="20" t="s">
        <v>264</v>
      </c>
      <c r="C3" s="19"/>
      <c r="D3" s="19"/>
      <c r="E3" s="19"/>
      <c r="F3" s="19"/>
      <c r="G3" s="12" t="s">
        <v>369</v>
      </c>
      <c r="H3" s="12" t="s">
        <v>105</v>
      </c>
    </row>
    <row r="4" ht="46.5" customHeight="1">
      <c r="A4" s="19"/>
      <c r="B4" s="20" t="s">
        <v>370</v>
      </c>
      <c r="C4" s="19" t="s">
        <v>147</v>
      </c>
      <c r="D4" s="19"/>
      <c r="E4" s="22"/>
      <c r="F4" s="22" t="str">
        <f t="shared" ref="F4:F5" si="1">IF(ISBLANK(D4),"",IF(NOT(ISNUMBER(D4)),"קלט לא תקין",IF(D4&lt;0,"קלט לא תקין",IF(ISBLANK(E4),"",IF(OR(E4="כלול",E4="לא רלוונטי"),0,IF(NOT(ISNUMBER(E4)),"קלט לא תקין",IF(E4&lt;0,"קלט לא תקין",ROUND(D4*E4,2))))))))</f>
        <v/>
      </c>
      <c r="G4" s="12" t="s">
        <v>371</v>
      </c>
      <c r="H4" s="12" t="s">
        <v>113</v>
      </c>
    </row>
    <row r="5" ht="46.5" customHeight="1">
      <c r="A5" s="19"/>
      <c r="B5" s="20" t="s">
        <v>372</v>
      </c>
      <c r="C5" s="19" t="s">
        <v>126</v>
      </c>
      <c r="D5" s="19"/>
      <c r="E5" s="22"/>
      <c r="F5" s="22" t="str">
        <f t="shared" si="1"/>
        <v/>
      </c>
      <c r="G5" s="12" t="s">
        <v>373</v>
      </c>
      <c r="H5" s="12" t="s">
        <v>113</v>
      </c>
    </row>
    <row r="6" ht="399.75" customHeight="1">
      <c r="A6" s="19"/>
      <c r="B6" s="20"/>
      <c r="C6" s="19"/>
      <c r="D6" s="19"/>
      <c r="E6" s="19"/>
      <c r="F6" s="19"/>
      <c r="G6" s="12"/>
      <c r="H6" s="12" t="s">
        <v>86</v>
      </c>
    </row>
    <row r="7" ht="48.75" customHeight="1">
      <c r="A7" s="19"/>
      <c r="B7" s="20"/>
      <c r="C7" s="19"/>
      <c r="D7" s="19"/>
      <c r="E7" s="19"/>
      <c r="F7" s="19"/>
      <c r="G7" s="12"/>
      <c r="H7" s="12" t="s">
        <v>86</v>
      </c>
    </row>
    <row r="8" ht="31.5" customHeight="1">
      <c r="A8" s="6"/>
      <c r="B8" s="7" t="s">
        <v>130</v>
      </c>
      <c r="C8" s="8"/>
      <c r="D8" s="8"/>
      <c r="E8" s="9"/>
      <c r="F8" s="23">
        <f>SUM(F4,F5)</f>
        <v>0</v>
      </c>
      <c r="G8" s="12"/>
      <c r="H8" s="12" t="s">
        <v>136</v>
      </c>
    </row>
    <row r="9" ht="24.0" customHeight="1"/>
    <row r="10" ht="24.0" customHeight="1"/>
    <row r="11" ht="24.0" customHeight="1"/>
    <row r="12" ht="24.0" customHeight="1"/>
    <row r="13" ht="24.0" customHeight="1"/>
    <row r="14" ht="24.0" customHeight="1"/>
    <row r="15" ht="24.0" customHeight="1"/>
    <row r="16" ht="24.0" customHeight="1"/>
    <row r="17" ht="24.0" customHeight="1"/>
    <row r="18" ht="24.0" customHeight="1"/>
    <row r="19" ht="24.0" customHeight="1"/>
    <row r="20" ht="24.0" customHeight="1"/>
    <row r="21" ht="24.0" customHeight="1"/>
    <row r="22" ht="24.0" customHeight="1"/>
    <row r="23" ht="24.0" customHeight="1"/>
    <row r="24" ht="24.0" customHeight="1"/>
    <row r="25" ht="24.0" customHeight="1"/>
    <row r="26" ht="24.0" customHeight="1"/>
    <row r="27" ht="24.0" customHeight="1"/>
    <row r="28" ht="24.0" customHeight="1"/>
    <row r="29" ht="24.0" customHeight="1"/>
    <row r="30" ht="24.0" customHeight="1"/>
    <row r="31" ht="24.0" customHeight="1"/>
    <row r="32" ht="24.0" customHeight="1"/>
    <row r="33" ht="24.0" customHeight="1"/>
    <row r="34" ht="24.0" customHeight="1"/>
    <row r="35" ht="24.0" customHeight="1"/>
    <row r="36" ht="24.0" customHeight="1"/>
    <row r="37" ht="24.0" customHeight="1"/>
    <row r="38" ht="24.0" customHeight="1"/>
    <row r="39" ht="24.0" customHeight="1"/>
    <row r="40" ht="24.0" customHeight="1"/>
    <row r="41" ht="24.0" customHeight="1"/>
    <row r="42" ht="24.0" customHeight="1"/>
    <row r="43" ht="24.0" customHeight="1"/>
    <row r="44" ht="24.0" customHeight="1"/>
    <row r="45" ht="24.0" customHeight="1"/>
    <row r="46" ht="24.0" customHeight="1"/>
    <row r="47" ht="24.0" customHeight="1"/>
    <row r="48" ht="24.0" customHeight="1"/>
    <row r="49" ht="24.0" customHeight="1"/>
    <row r="50" ht="24.0" customHeight="1"/>
    <row r="51" ht="24.0" customHeight="1"/>
    <row r="52" ht="24.0" customHeight="1"/>
    <row r="53" ht="24.0" customHeight="1"/>
    <row r="54" ht="24.0" customHeight="1"/>
    <row r="55" ht="24.0" customHeight="1"/>
    <row r="56" ht="24.0" customHeight="1"/>
    <row r="57" ht="24.0" customHeight="1"/>
    <row r="58" ht="24.0" customHeight="1"/>
    <row r="59" ht="24.0" customHeight="1"/>
    <row r="60" ht="24.0" customHeight="1"/>
    <row r="61" ht="24.0" customHeight="1"/>
    <row r="62" ht="24.0" customHeight="1"/>
    <row r="63" ht="24.0" customHeight="1"/>
    <row r="64" ht="24.0" customHeight="1"/>
    <row r="65" ht="24.0" customHeight="1"/>
    <row r="66" ht="24.0" customHeight="1"/>
    <row r="67" ht="24.0" customHeight="1"/>
    <row r="68" ht="24.0" customHeight="1"/>
    <row r="69" ht="24.0" customHeight="1"/>
    <row r="70" ht="24.0" customHeight="1"/>
    <row r="71" ht="24.0" customHeight="1"/>
    <row r="72" ht="24.0" customHeight="1"/>
    <row r="73" ht="24.0" customHeight="1"/>
    <row r="74" ht="24.0" customHeight="1"/>
    <row r="75" ht="24.0" customHeight="1"/>
    <row r="76" ht="24.0" customHeight="1"/>
    <row r="77" ht="24.0" customHeight="1"/>
    <row r="78" ht="24.0" customHeight="1"/>
    <row r="79" ht="24.0" customHeight="1"/>
    <row r="80" ht="24.0" customHeight="1"/>
    <row r="81" ht="24.0" customHeight="1"/>
    <row r="82" ht="24.0" customHeight="1"/>
    <row r="83" ht="24.0" customHeight="1"/>
    <row r="84" ht="24.0" customHeight="1"/>
    <row r="85" ht="24.0" customHeight="1"/>
    <row r="86" ht="24.0" customHeight="1"/>
    <row r="87" ht="24.0" customHeight="1"/>
    <row r="88" ht="24.0" customHeight="1"/>
    <row r="89" ht="24.0" customHeight="1"/>
    <row r="90" ht="24.0" customHeight="1"/>
    <row r="91" ht="24.0" customHeight="1"/>
    <row r="92" ht="24.0" customHeight="1"/>
    <row r="93" ht="24.0" customHeight="1"/>
    <row r="94" ht="24.0" customHeight="1"/>
    <row r="95" ht="24.0" customHeight="1"/>
    <row r="96" ht="24.0" customHeight="1"/>
    <row r="97" ht="24.0" customHeight="1"/>
    <row r="98" ht="24.0" customHeight="1"/>
    <row r="99" ht="24.0" customHeight="1"/>
    <row r="100" ht="24.0" customHeight="1"/>
    <row r="101" ht="24.0" customHeight="1"/>
    <row r="102" ht="24.0" customHeight="1"/>
    <row r="103" ht="24.0" customHeight="1"/>
    <row r="104" ht="24.0" customHeight="1"/>
    <row r="105" ht="24.0" customHeight="1"/>
    <row r="106" ht="24.0" customHeight="1"/>
    <row r="107" ht="24.0" customHeight="1"/>
    <row r="108" ht="24.0" customHeight="1"/>
    <row r="109" ht="24.0" customHeight="1"/>
    <row r="110" ht="24.0" customHeight="1"/>
    <row r="111" ht="24.0" customHeight="1"/>
    <row r="112" ht="24.0" customHeight="1"/>
    <row r="113" ht="24.0" customHeight="1"/>
    <row r="114" ht="24.0" customHeight="1"/>
    <row r="115" ht="24.0" customHeight="1"/>
    <row r="116" ht="24.0" customHeight="1"/>
    <row r="117" ht="24.0" customHeight="1"/>
    <row r="118" ht="24.0" customHeight="1"/>
    <row r="119" ht="24.0" customHeight="1"/>
    <row r="120" ht="24.0" customHeight="1"/>
    <row r="121" ht="24.0" customHeight="1"/>
    <row r="122" ht="24.0" customHeight="1"/>
    <row r="123" ht="24.0" customHeight="1"/>
    <row r="124" ht="24.0" customHeight="1"/>
    <row r="125" ht="24.0" customHeight="1"/>
    <row r="126" ht="24.0" customHeight="1"/>
    <row r="127" ht="24.0" customHeight="1"/>
    <row r="128" ht="24.0" customHeight="1"/>
    <row r="129" ht="24.0" customHeight="1"/>
    <row r="130" ht="24.0" customHeight="1"/>
    <row r="131" ht="24.0" customHeight="1"/>
    <row r="132" ht="24.0" customHeight="1"/>
    <row r="133" ht="24.0" customHeight="1"/>
    <row r="134" ht="24.0" customHeight="1"/>
    <row r="135" ht="24.0" customHeight="1"/>
    <row r="136" ht="24.0" customHeight="1"/>
    <row r="137" ht="24.0" customHeight="1"/>
    <row r="138" ht="24.0" customHeight="1"/>
    <row r="139" ht="24.0" customHeight="1"/>
    <row r="140" ht="24.0" customHeight="1"/>
    <row r="141" ht="24.0" customHeight="1"/>
    <row r="142" ht="24.0" customHeight="1"/>
    <row r="143" ht="24.0" customHeight="1"/>
    <row r="144" ht="24.0" customHeight="1"/>
    <row r="145" ht="24.0" customHeight="1"/>
    <row r="146" ht="24.0" customHeight="1"/>
    <row r="147" ht="24.0" customHeight="1"/>
    <row r="148" ht="24.0" customHeight="1"/>
    <row r="149" ht="24.0" customHeight="1"/>
    <row r="150" ht="24.0" customHeight="1"/>
    <row r="151" ht="24.0" customHeight="1"/>
    <row r="152" ht="24.0" customHeight="1"/>
    <row r="153" ht="24.0" customHeight="1"/>
    <row r="154" ht="24.0" customHeight="1"/>
    <row r="155" ht="24.0" customHeight="1"/>
    <row r="156" ht="24.0" customHeight="1"/>
    <row r="157" ht="24.0" customHeight="1"/>
    <row r="158" ht="24.0" customHeight="1"/>
    <row r="159" ht="24.0" customHeight="1"/>
    <row r="160" ht="24.0" customHeight="1"/>
    <row r="161" ht="24.0" customHeight="1"/>
    <row r="162" ht="24.0" customHeight="1"/>
    <row r="163" ht="24.0" customHeight="1"/>
    <row r="164" ht="24.0" customHeight="1"/>
    <row r="165" ht="24.0" customHeight="1"/>
    <row r="166" ht="24.0" customHeight="1"/>
    <row r="167" ht="24.0" customHeight="1"/>
    <row r="168" ht="24.0" customHeight="1"/>
    <row r="169" ht="24.0" customHeight="1"/>
    <row r="170" ht="24.0" customHeight="1"/>
    <row r="171" ht="24.0" customHeight="1"/>
    <row r="172" ht="24.0" customHeight="1"/>
    <row r="173" ht="24.0" customHeight="1"/>
    <row r="174" ht="24.0" customHeight="1"/>
    <row r="175" ht="24.0" customHeight="1"/>
    <row r="176" ht="24.0" customHeight="1"/>
    <row r="177" ht="24.0" customHeight="1"/>
    <row r="178" ht="24.0" customHeight="1"/>
    <row r="179" ht="24.0" customHeight="1"/>
    <row r="180" ht="24.0" customHeight="1"/>
    <row r="181" ht="24.0" customHeight="1"/>
    <row r="182" ht="24.0" customHeight="1"/>
    <row r="183" ht="24.0" customHeight="1"/>
    <row r="184" ht="24.0" customHeight="1"/>
    <row r="185" ht="24.0" customHeight="1"/>
    <row r="186" ht="24.0" customHeight="1"/>
    <row r="187" ht="24.0" customHeight="1"/>
    <row r="188" ht="24.0" customHeight="1"/>
    <row r="189" ht="24.0" customHeight="1"/>
    <row r="190" ht="24.0" customHeight="1"/>
    <row r="191" ht="24.0" customHeight="1"/>
    <row r="192" ht="24.0" customHeight="1"/>
    <row r="193" ht="24.0" customHeight="1"/>
    <row r="194" ht="24.0" customHeight="1"/>
    <row r="195" ht="24.0" customHeight="1"/>
    <row r="196" ht="24.0" customHeight="1"/>
    <row r="197" ht="24.0" customHeight="1"/>
    <row r="198" ht="24.0" customHeight="1"/>
    <row r="199" ht="24.0" customHeight="1"/>
    <row r="200" ht="24.0" customHeight="1"/>
    <row r="201" ht="24.0" customHeight="1"/>
    <row r="202" ht="24.0" customHeight="1"/>
    <row r="203" ht="24.0" customHeight="1"/>
    <row r="204" ht="24.0" customHeight="1"/>
    <row r="205" ht="24.0" customHeight="1"/>
    <row r="206" ht="24.0" customHeight="1"/>
    <row r="207" ht="24.0" customHeight="1"/>
    <row r="208" ht="24.0" customHeight="1"/>
    <row r="209" ht="24.0" customHeight="1"/>
    <row r="210" ht="24.0" customHeight="1"/>
    <row r="211" ht="24.0" customHeight="1"/>
    <row r="212" ht="24.0" customHeight="1"/>
    <row r="213" ht="24.0" customHeight="1"/>
    <row r="214" ht="24.0" customHeight="1"/>
    <row r="215" ht="24.0" customHeight="1"/>
    <row r="216" ht="24.0" customHeight="1"/>
    <row r="217" ht="24.0" customHeight="1"/>
    <row r="218" ht="24.0" customHeight="1"/>
    <row r="219" ht="24.0" customHeight="1"/>
    <row r="220" ht="24.0" customHeight="1"/>
    <row r="221" ht="24.0" customHeight="1"/>
    <row r="222" ht="24.0" customHeight="1"/>
    <row r="223" ht="24.0" customHeight="1"/>
    <row r="224" ht="24.0" customHeight="1"/>
    <row r="225" ht="24.0" customHeight="1"/>
    <row r="226" ht="24.0" customHeight="1"/>
    <row r="227" ht="24.0" customHeight="1"/>
    <row r="228" ht="24.0" customHeight="1"/>
    <row r="229" ht="24.0" customHeight="1"/>
    <row r="230" ht="24.0" customHeight="1"/>
    <row r="231" ht="24.0" customHeight="1"/>
    <row r="232" ht="24.0" customHeight="1"/>
    <row r="233" ht="24.0" customHeight="1"/>
    <row r="234" ht="24.0" customHeight="1"/>
    <row r="235" ht="24.0" customHeight="1"/>
    <row r="236" ht="24.0" customHeight="1"/>
    <row r="237" ht="24.0" customHeight="1"/>
    <row r="238" ht="24.0" customHeight="1"/>
    <row r="239" ht="24.0" customHeight="1"/>
    <row r="240" ht="24.0" customHeight="1"/>
    <row r="241" ht="24.0" customHeight="1"/>
    <row r="242" ht="24.0" customHeight="1"/>
    <row r="243" ht="24.0" customHeight="1"/>
    <row r="244" ht="24.0" customHeight="1"/>
    <row r="245" ht="24.0" customHeight="1"/>
    <row r="246" ht="24.0" customHeight="1"/>
    <row r="247" ht="24.0" customHeight="1"/>
    <row r="248" ht="24.0" customHeight="1"/>
    <row r="249" ht="24.0" customHeight="1"/>
    <row r="250" ht="24.0" customHeight="1"/>
    <row r="251" ht="24.0" customHeight="1"/>
    <row r="252" ht="24.0" customHeight="1"/>
    <row r="253" ht="24.0" customHeight="1"/>
    <row r="254" ht="24.0" customHeight="1"/>
    <row r="255" ht="24.0" customHeight="1"/>
    <row r="256" ht="24.0" customHeight="1"/>
    <row r="257" ht="24.0" customHeight="1"/>
    <row r="258" ht="24.0" customHeight="1"/>
    <row r="259" ht="24.0" customHeight="1"/>
    <row r="260" ht="24.0" customHeight="1"/>
    <row r="261" ht="24.0" customHeight="1"/>
    <row r="262" ht="24.0" customHeight="1"/>
    <row r="263" ht="24.0" customHeight="1"/>
    <row r="264" ht="24.0" customHeight="1"/>
    <row r="265" ht="24.0" customHeight="1"/>
    <row r="266" ht="24.0" customHeight="1"/>
    <row r="267" ht="24.0" customHeight="1"/>
    <row r="268" ht="24.0" customHeight="1"/>
    <row r="269" ht="24.0" customHeight="1"/>
    <row r="270" ht="24.0" customHeight="1"/>
    <row r="271" ht="24.0" customHeight="1"/>
    <row r="272" ht="24.0" customHeight="1"/>
    <row r="273" ht="24.0" customHeight="1"/>
    <row r="274" ht="24.0" customHeight="1"/>
    <row r="275" ht="24.0" customHeight="1"/>
    <row r="276" ht="24.0" customHeight="1"/>
    <row r="277" ht="24.0" customHeight="1"/>
    <row r="278" ht="24.0" customHeight="1"/>
    <row r="279" ht="24.0" customHeight="1"/>
    <row r="280" ht="24.0" customHeight="1"/>
    <row r="281" ht="24.0" customHeight="1"/>
    <row r="282" ht="24.0" customHeight="1"/>
    <row r="283" ht="24.0" customHeight="1"/>
    <row r="284" ht="24.0" customHeight="1"/>
    <row r="285" ht="24.0" customHeight="1"/>
    <row r="286" ht="24.0" customHeight="1"/>
    <row r="287" ht="24.0" customHeight="1"/>
    <row r="288" ht="24.0" customHeight="1"/>
    <row r="289" ht="24.0" customHeight="1"/>
    <row r="290" ht="24.0" customHeight="1"/>
    <row r="291" ht="24.0" customHeight="1"/>
    <row r="292" ht="24.0" customHeight="1"/>
    <row r="293" ht="24.0" customHeight="1"/>
    <row r="294" ht="24.0" customHeight="1"/>
    <row r="295" ht="24.0" customHeight="1"/>
    <row r="296" ht="24.0" customHeight="1"/>
    <row r="297" ht="24.0" customHeight="1"/>
    <row r="298" ht="24.0" customHeight="1"/>
    <row r="299" ht="24.0" customHeight="1"/>
    <row r="300" ht="24.0" customHeight="1"/>
    <row r="301" ht="24.0" customHeight="1"/>
    <row r="302" ht="24.0" customHeight="1"/>
    <row r="303" ht="24.0" customHeight="1"/>
    <row r="304" ht="24.0" customHeight="1"/>
    <row r="305" ht="24.0" customHeight="1"/>
    <row r="306" ht="24.0" customHeight="1"/>
    <row r="307" ht="24.0" customHeight="1"/>
    <row r="308" ht="24.0" customHeight="1"/>
    <row r="309" ht="24.0" customHeight="1"/>
    <row r="310" ht="24.0" customHeight="1"/>
    <row r="311" ht="24.0" customHeight="1"/>
    <row r="312" ht="24.0" customHeight="1"/>
    <row r="313" ht="24.0" customHeight="1"/>
    <row r="314" ht="24.0" customHeight="1"/>
    <row r="315" ht="24.0" customHeight="1"/>
    <row r="316" ht="24.0" customHeight="1"/>
    <row r="317" ht="24.0" customHeight="1"/>
    <row r="318" ht="24.0" customHeight="1"/>
    <row r="319" ht="24.0" customHeight="1"/>
    <row r="320" ht="24.0" customHeight="1"/>
    <row r="321" ht="24.0" customHeight="1"/>
    <row r="322" ht="24.0" customHeight="1"/>
    <row r="323" ht="24.0" customHeight="1"/>
    <row r="324" ht="24.0" customHeight="1"/>
    <row r="325" ht="24.0" customHeight="1"/>
    <row r="326" ht="24.0" customHeight="1"/>
    <row r="327" ht="24.0" customHeight="1"/>
    <row r="328" ht="24.0" customHeight="1"/>
    <row r="329" ht="24.0" customHeight="1"/>
    <row r="330" ht="24.0" customHeight="1"/>
    <row r="331" ht="24.0" customHeight="1"/>
    <row r="332" ht="24.0" customHeight="1"/>
    <row r="333" ht="24.0" customHeight="1"/>
    <row r="334" ht="24.0" customHeight="1"/>
    <row r="335" ht="24.0" customHeight="1"/>
    <row r="336" ht="24.0" customHeight="1"/>
    <row r="337" ht="24.0" customHeight="1"/>
    <row r="338" ht="24.0" customHeight="1"/>
    <row r="339" ht="24.0" customHeight="1"/>
    <row r="340" ht="24.0" customHeight="1"/>
    <row r="341" ht="24.0" customHeight="1"/>
    <row r="342" ht="24.0" customHeight="1"/>
    <row r="343" ht="24.0" customHeight="1"/>
    <row r="344" ht="24.0" customHeight="1"/>
    <row r="345" ht="24.0" customHeight="1"/>
    <row r="346" ht="24.0" customHeight="1"/>
    <row r="347" ht="24.0" customHeight="1"/>
    <row r="348" ht="24.0" customHeight="1"/>
    <row r="349" ht="24.0" customHeight="1"/>
    <row r="350" ht="24.0" customHeight="1"/>
    <row r="351" ht="24.0" customHeight="1"/>
    <row r="352" ht="24.0" customHeight="1"/>
    <row r="353" ht="24.0" customHeight="1"/>
    <row r="354" ht="24.0" customHeight="1"/>
    <row r="355" ht="24.0" customHeight="1"/>
    <row r="356" ht="24.0" customHeight="1"/>
    <row r="357" ht="24.0" customHeight="1"/>
    <row r="358" ht="24.0" customHeight="1"/>
    <row r="359" ht="24.0" customHeight="1"/>
    <row r="360" ht="24.0" customHeight="1"/>
    <row r="361" ht="24.0" customHeight="1"/>
    <row r="362" ht="24.0" customHeight="1"/>
    <row r="363" ht="24.0" customHeight="1"/>
    <row r="364" ht="24.0" customHeight="1"/>
    <row r="365" ht="24.0" customHeight="1"/>
    <row r="366" ht="24.0" customHeight="1"/>
    <row r="367" ht="24.0" customHeight="1"/>
    <row r="368" ht="24.0" customHeight="1"/>
    <row r="369" ht="24.0" customHeight="1"/>
    <row r="370" ht="24.0" customHeight="1"/>
    <row r="371" ht="24.0" customHeight="1"/>
    <row r="372" ht="24.0" customHeight="1"/>
    <row r="373" ht="24.0" customHeight="1"/>
    <row r="374" ht="24.0" customHeight="1"/>
    <row r="375" ht="24.0" customHeight="1"/>
    <row r="376" ht="24.0" customHeight="1"/>
    <row r="377" ht="24.0" customHeight="1"/>
    <row r="378" ht="24.0" customHeight="1"/>
    <row r="379" ht="24.0" customHeight="1"/>
    <row r="380" ht="24.0" customHeight="1"/>
    <row r="381" ht="24.0" customHeight="1"/>
    <row r="382" ht="24.0" customHeight="1"/>
    <row r="383" ht="24.0" customHeight="1"/>
    <row r="384" ht="24.0" customHeight="1"/>
    <row r="385" ht="24.0" customHeight="1"/>
    <row r="386" ht="24.0" customHeight="1"/>
    <row r="387" ht="24.0" customHeight="1"/>
    <row r="388" ht="24.0" customHeight="1"/>
    <row r="389" ht="24.0" customHeight="1"/>
    <row r="390" ht="24.0" customHeight="1"/>
    <row r="391" ht="24.0" customHeight="1"/>
    <row r="392" ht="24.0" customHeight="1"/>
    <row r="393" ht="24.0" customHeight="1"/>
    <row r="394" ht="24.0" customHeight="1"/>
    <row r="395" ht="24.0" customHeight="1"/>
    <row r="396" ht="24.0" customHeight="1"/>
    <row r="397" ht="24.0" customHeight="1"/>
    <row r="398" ht="24.0" customHeight="1"/>
    <row r="399" ht="24.0" customHeight="1"/>
    <row r="400" ht="24.0" customHeight="1"/>
    <row r="401" ht="24.0" customHeight="1"/>
    <row r="402" ht="24.0" customHeight="1"/>
    <row r="403" ht="24.0" customHeight="1"/>
    <row r="404" ht="24.0" customHeight="1"/>
    <row r="405" ht="24.0" customHeight="1"/>
    <row r="406" ht="24.0" customHeight="1"/>
    <row r="407" ht="24.0" customHeight="1"/>
    <row r="408" ht="24.0" customHeight="1"/>
    <row r="409" ht="24.0" customHeight="1"/>
    <row r="410" ht="24.0" customHeight="1"/>
    <row r="411" ht="24.0" customHeight="1"/>
    <row r="412" ht="24.0" customHeight="1"/>
    <row r="413" ht="24.0" customHeight="1"/>
    <row r="414" ht="24.0" customHeight="1"/>
    <row r="415" ht="24.0" customHeight="1"/>
    <row r="416" ht="24.0" customHeight="1"/>
    <row r="417" ht="24.0" customHeight="1"/>
    <row r="418" ht="24.0" customHeight="1"/>
    <row r="419" ht="24.0" customHeight="1"/>
    <row r="420" ht="24.0" customHeight="1"/>
    <row r="421" ht="24.0" customHeight="1"/>
    <row r="422" ht="24.0" customHeight="1"/>
    <row r="423" ht="24.0" customHeight="1"/>
    <row r="424" ht="24.0" customHeight="1"/>
    <row r="425" ht="24.0" customHeight="1"/>
    <row r="426" ht="24.0" customHeight="1"/>
    <row r="427" ht="24.0" customHeight="1"/>
    <row r="428" ht="24.0" customHeight="1"/>
    <row r="429" ht="24.0" customHeight="1"/>
    <row r="430" ht="24.0" customHeight="1"/>
    <row r="431" ht="24.0" customHeight="1"/>
    <row r="432" ht="24.0" customHeight="1"/>
    <row r="433" ht="24.0" customHeight="1"/>
    <row r="434" ht="24.0" customHeight="1"/>
    <row r="435" ht="24.0" customHeight="1"/>
    <row r="436" ht="24.0" customHeight="1"/>
    <row r="437" ht="24.0" customHeight="1"/>
    <row r="438" ht="24.0" customHeight="1"/>
    <row r="439" ht="24.0" customHeight="1"/>
    <row r="440" ht="24.0" customHeight="1"/>
    <row r="441" ht="24.0" customHeight="1"/>
    <row r="442" ht="24.0" customHeight="1"/>
    <row r="443" ht="24.0" customHeight="1"/>
    <row r="444" ht="24.0" customHeight="1"/>
    <row r="445" ht="24.0" customHeight="1"/>
    <row r="446" ht="24.0" customHeight="1"/>
    <row r="447" ht="24.0" customHeight="1"/>
    <row r="448" ht="24.0" customHeight="1"/>
    <row r="449" ht="24.0" customHeight="1"/>
    <row r="450" ht="24.0" customHeight="1"/>
    <row r="451" ht="24.0" customHeight="1"/>
    <row r="452" ht="24.0" customHeight="1"/>
    <row r="453" ht="24.0" customHeight="1"/>
    <row r="454" ht="24.0" customHeight="1"/>
    <row r="455" ht="24.0" customHeight="1"/>
    <row r="456" ht="24.0" customHeight="1"/>
    <row r="457" ht="24.0" customHeight="1"/>
    <row r="458" ht="24.0" customHeight="1"/>
    <row r="459" ht="24.0" customHeight="1"/>
    <row r="460" ht="24.0" customHeight="1"/>
    <row r="461" ht="24.0" customHeight="1"/>
    <row r="462" ht="24.0" customHeight="1"/>
    <row r="463" ht="24.0" customHeight="1"/>
    <row r="464" ht="24.0" customHeight="1"/>
    <row r="465" ht="24.0" customHeight="1"/>
    <row r="466" ht="24.0" customHeight="1"/>
    <row r="467" ht="24.0" customHeight="1"/>
    <row r="468" ht="24.0" customHeight="1"/>
    <row r="469" ht="24.0" customHeight="1"/>
    <row r="470" ht="24.0" customHeight="1"/>
    <row r="471" ht="24.0" customHeight="1"/>
    <row r="472" ht="24.0" customHeight="1"/>
    <row r="473" ht="24.0" customHeight="1"/>
    <row r="474" ht="24.0" customHeight="1"/>
    <row r="475" ht="24.0" customHeight="1"/>
    <row r="476" ht="24.0" customHeight="1"/>
    <row r="477" ht="24.0" customHeight="1"/>
    <row r="478" ht="24.0" customHeight="1"/>
    <row r="479" ht="24.0" customHeight="1"/>
    <row r="480" ht="24.0" customHeight="1"/>
    <row r="481" ht="24.0" customHeight="1"/>
    <row r="482" ht="24.0" customHeight="1"/>
    <row r="483" ht="24.0" customHeight="1"/>
    <row r="484" ht="24.0" customHeight="1"/>
    <row r="485" ht="24.0" customHeight="1"/>
    <row r="486" ht="24.0" customHeight="1"/>
    <row r="487" ht="24.0" customHeight="1"/>
    <row r="488" ht="24.0" customHeight="1"/>
    <row r="489" ht="24.0" customHeight="1"/>
    <row r="490" ht="24.0" customHeight="1"/>
    <row r="491" ht="24.0" customHeight="1"/>
    <row r="492" ht="24.0" customHeight="1"/>
    <row r="493" ht="24.0" customHeight="1"/>
    <row r="494" ht="24.0" customHeight="1"/>
    <row r="495" ht="24.0" customHeight="1"/>
    <row r="496" ht="24.0" customHeight="1"/>
    <row r="497" ht="24.0" customHeight="1"/>
    <row r="498" ht="24.0" customHeight="1"/>
    <row r="499" ht="24.0" customHeight="1"/>
    <row r="500" ht="24.0" customHeight="1"/>
    <row r="501" ht="24.0" customHeight="1"/>
    <row r="502" ht="24.0" customHeight="1"/>
    <row r="503" ht="24.0" customHeight="1"/>
    <row r="504" ht="24.0" customHeight="1"/>
    <row r="505" ht="24.0" customHeight="1"/>
    <row r="506" ht="24.0" customHeight="1"/>
    <row r="507" ht="24.0" customHeight="1"/>
    <row r="508" ht="24.0" customHeight="1"/>
    <row r="509" ht="24.0" customHeight="1"/>
    <row r="510" ht="24.0" customHeight="1"/>
    <row r="511" ht="24.0" customHeight="1"/>
    <row r="512" ht="24.0" customHeight="1"/>
    <row r="513" ht="24.0" customHeight="1"/>
    <row r="514" ht="24.0" customHeight="1"/>
    <row r="515" ht="24.0" customHeight="1"/>
    <row r="516" ht="24.0" customHeight="1"/>
    <row r="517" ht="24.0" customHeight="1"/>
    <row r="518" ht="24.0" customHeight="1"/>
    <row r="519" ht="24.0" customHeight="1"/>
    <row r="520" ht="24.0" customHeight="1"/>
    <row r="521" ht="24.0" customHeight="1"/>
    <row r="522" ht="24.0" customHeight="1"/>
    <row r="523" ht="24.0" customHeight="1"/>
    <row r="524" ht="24.0" customHeight="1"/>
    <row r="525" ht="24.0" customHeight="1"/>
    <row r="526" ht="24.0" customHeight="1"/>
    <row r="527" ht="24.0" customHeight="1"/>
    <row r="528" ht="24.0" customHeight="1"/>
    <row r="529" ht="24.0" customHeight="1"/>
    <row r="530" ht="24.0" customHeight="1"/>
    <row r="531" ht="24.0" customHeight="1"/>
    <row r="532" ht="24.0" customHeight="1"/>
    <row r="533" ht="24.0" customHeight="1"/>
    <row r="534" ht="24.0" customHeight="1"/>
    <row r="535" ht="24.0" customHeight="1"/>
    <row r="536" ht="24.0" customHeight="1"/>
    <row r="537" ht="24.0" customHeight="1"/>
    <row r="538" ht="24.0" customHeight="1"/>
    <row r="539" ht="24.0" customHeight="1"/>
    <row r="540" ht="24.0" customHeight="1"/>
    <row r="541" ht="24.0" customHeight="1"/>
    <row r="542" ht="24.0" customHeight="1"/>
    <row r="543" ht="24.0" customHeight="1"/>
    <row r="544" ht="24.0" customHeight="1"/>
    <row r="545" ht="24.0" customHeight="1"/>
    <row r="546" ht="24.0" customHeight="1"/>
    <row r="547" ht="24.0" customHeight="1"/>
    <row r="548" ht="24.0" customHeight="1"/>
    <row r="549" ht="24.0" customHeight="1"/>
    <row r="550" ht="24.0" customHeight="1"/>
    <row r="551" ht="24.0" customHeight="1"/>
    <row r="552" ht="24.0" customHeight="1"/>
    <row r="553" ht="24.0" customHeight="1"/>
    <row r="554" ht="24.0" customHeight="1"/>
    <row r="555" ht="24.0" customHeight="1"/>
    <row r="556" ht="24.0" customHeight="1"/>
    <row r="557" ht="24.0" customHeight="1"/>
    <row r="558" ht="24.0" customHeight="1"/>
    <row r="559" ht="24.0" customHeight="1"/>
    <row r="560" ht="24.0" customHeight="1"/>
    <row r="561" ht="24.0" customHeight="1"/>
    <row r="562" ht="24.0" customHeight="1"/>
    <row r="563" ht="24.0" customHeight="1"/>
    <row r="564" ht="24.0" customHeight="1"/>
    <row r="565" ht="24.0" customHeight="1"/>
    <row r="566" ht="24.0" customHeight="1"/>
    <row r="567" ht="24.0" customHeight="1"/>
    <row r="568" ht="24.0" customHeight="1"/>
    <row r="569" ht="24.0" customHeight="1"/>
    <row r="570" ht="24.0" customHeight="1"/>
    <row r="571" ht="24.0" customHeight="1"/>
    <row r="572" ht="24.0" customHeight="1"/>
    <row r="573" ht="24.0" customHeight="1"/>
    <row r="574" ht="24.0" customHeight="1"/>
    <row r="575" ht="24.0" customHeight="1"/>
    <row r="576" ht="24.0" customHeight="1"/>
    <row r="577" ht="24.0" customHeight="1"/>
    <row r="578" ht="24.0" customHeight="1"/>
    <row r="579" ht="24.0" customHeight="1"/>
    <row r="580" ht="24.0" customHeight="1"/>
    <row r="581" ht="24.0" customHeight="1"/>
    <row r="582" ht="24.0" customHeight="1"/>
    <row r="583" ht="24.0" customHeight="1"/>
    <row r="584" ht="24.0" customHeight="1"/>
    <row r="585" ht="24.0" customHeight="1"/>
    <row r="586" ht="24.0" customHeight="1"/>
    <row r="587" ht="24.0" customHeight="1"/>
    <row r="588" ht="24.0" customHeight="1"/>
    <row r="589" ht="24.0" customHeight="1"/>
    <row r="590" ht="24.0" customHeight="1"/>
    <row r="591" ht="24.0" customHeight="1"/>
    <row r="592" ht="24.0" customHeight="1"/>
    <row r="593" ht="24.0" customHeight="1"/>
    <row r="594" ht="24.0" customHeight="1"/>
    <row r="595" ht="24.0" customHeight="1"/>
    <row r="596" ht="24.0" customHeight="1"/>
    <row r="597" ht="24.0" customHeight="1"/>
    <row r="598" ht="24.0" customHeight="1"/>
    <row r="599" ht="24.0" customHeight="1"/>
    <row r="600" ht="24.0" customHeight="1"/>
    <row r="601" ht="24.0" customHeight="1"/>
    <row r="602" ht="24.0" customHeight="1"/>
    <row r="603" ht="24.0" customHeight="1"/>
    <row r="604" ht="24.0" customHeight="1"/>
    <row r="605" ht="24.0" customHeight="1"/>
    <row r="606" ht="24.0" customHeight="1"/>
    <row r="607" ht="24.0" customHeight="1"/>
    <row r="608" ht="24.0" customHeight="1"/>
    <row r="609" ht="24.0" customHeight="1"/>
    <row r="610" ht="24.0" customHeight="1"/>
    <row r="611" ht="24.0" customHeight="1"/>
    <row r="612" ht="24.0" customHeight="1"/>
    <row r="613" ht="24.0" customHeight="1"/>
    <row r="614" ht="24.0" customHeight="1"/>
    <row r="615" ht="24.0" customHeight="1"/>
    <row r="616" ht="24.0" customHeight="1"/>
    <row r="617" ht="24.0" customHeight="1"/>
    <row r="618" ht="24.0" customHeight="1"/>
    <row r="619" ht="24.0" customHeight="1"/>
    <row r="620" ht="24.0" customHeight="1"/>
    <row r="621" ht="24.0" customHeight="1"/>
    <row r="622" ht="24.0" customHeight="1"/>
    <row r="623" ht="24.0" customHeight="1"/>
    <row r="624" ht="24.0" customHeight="1"/>
    <row r="625" ht="24.0" customHeight="1"/>
    <row r="626" ht="24.0" customHeight="1"/>
    <row r="627" ht="24.0" customHeight="1"/>
    <row r="628" ht="24.0" customHeight="1"/>
    <row r="629" ht="24.0" customHeight="1"/>
    <row r="630" ht="24.0" customHeight="1"/>
    <row r="631" ht="24.0" customHeight="1"/>
    <row r="632" ht="24.0" customHeight="1"/>
    <row r="633" ht="24.0" customHeight="1"/>
    <row r="634" ht="24.0" customHeight="1"/>
    <row r="635" ht="24.0" customHeight="1"/>
    <row r="636" ht="24.0" customHeight="1"/>
    <row r="637" ht="24.0" customHeight="1"/>
    <row r="638" ht="24.0" customHeight="1"/>
    <row r="639" ht="24.0" customHeight="1"/>
    <row r="640" ht="24.0" customHeight="1"/>
    <row r="641" ht="24.0" customHeight="1"/>
    <row r="642" ht="24.0" customHeight="1"/>
    <row r="643" ht="24.0" customHeight="1"/>
    <row r="644" ht="24.0" customHeight="1"/>
    <row r="645" ht="24.0" customHeight="1"/>
    <row r="646" ht="24.0" customHeight="1"/>
    <row r="647" ht="24.0" customHeight="1"/>
    <row r="648" ht="24.0" customHeight="1"/>
    <row r="649" ht="24.0" customHeight="1"/>
    <row r="650" ht="24.0" customHeight="1"/>
    <row r="651" ht="24.0" customHeight="1"/>
    <row r="652" ht="24.0" customHeight="1"/>
    <row r="653" ht="24.0" customHeight="1"/>
    <row r="654" ht="24.0" customHeight="1"/>
    <row r="655" ht="24.0" customHeight="1"/>
    <row r="656" ht="24.0" customHeight="1"/>
    <row r="657" ht="24.0" customHeight="1"/>
    <row r="658" ht="24.0" customHeight="1"/>
    <row r="659" ht="24.0" customHeight="1"/>
    <row r="660" ht="24.0" customHeight="1"/>
    <row r="661" ht="24.0" customHeight="1"/>
    <row r="662" ht="24.0" customHeight="1"/>
    <row r="663" ht="24.0" customHeight="1"/>
    <row r="664" ht="24.0" customHeight="1"/>
    <row r="665" ht="24.0" customHeight="1"/>
    <row r="666" ht="24.0" customHeight="1"/>
    <row r="667" ht="24.0" customHeight="1"/>
    <row r="668" ht="24.0" customHeight="1"/>
    <row r="669" ht="24.0" customHeight="1"/>
    <row r="670" ht="24.0" customHeight="1"/>
    <row r="671" ht="24.0" customHeight="1"/>
    <row r="672" ht="24.0" customHeight="1"/>
    <row r="673" ht="24.0" customHeight="1"/>
    <row r="674" ht="24.0" customHeight="1"/>
    <row r="675" ht="24.0" customHeight="1"/>
    <row r="676" ht="24.0" customHeight="1"/>
    <row r="677" ht="24.0" customHeight="1"/>
    <row r="678" ht="24.0" customHeight="1"/>
    <row r="679" ht="24.0" customHeight="1"/>
    <row r="680" ht="24.0" customHeight="1"/>
    <row r="681" ht="24.0" customHeight="1"/>
    <row r="682" ht="24.0" customHeight="1"/>
    <row r="683" ht="24.0" customHeight="1"/>
    <row r="684" ht="24.0" customHeight="1"/>
    <row r="685" ht="24.0" customHeight="1"/>
    <row r="686" ht="24.0" customHeight="1"/>
    <row r="687" ht="24.0" customHeight="1"/>
    <row r="688" ht="24.0" customHeight="1"/>
    <row r="689" ht="24.0" customHeight="1"/>
    <row r="690" ht="24.0" customHeight="1"/>
    <row r="691" ht="24.0" customHeight="1"/>
    <row r="692" ht="24.0" customHeight="1"/>
    <row r="693" ht="24.0" customHeight="1"/>
    <row r="694" ht="24.0" customHeight="1"/>
    <row r="695" ht="24.0" customHeight="1"/>
    <row r="696" ht="24.0" customHeight="1"/>
    <row r="697" ht="24.0" customHeight="1"/>
    <row r="698" ht="24.0" customHeight="1"/>
    <row r="699" ht="24.0" customHeight="1"/>
    <row r="700" ht="24.0" customHeight="1"/>
    <row r="701" ht="24.0" customHeight="1"/>
    <row r="702" ht="24.0" customHeight="1"/>
    <row r="703" ht="24.0" customHeight="1"/>
    <row r="704" ht="24.0" customHeight="1"/>
    <row r="705" ht="24.0" customHeight="1"/>
    <row r="706" ht="24.0" customHeight="1"/>
    <row r="707" ht="24.0" customHeight="1"/>
    <row r="708" ht="24.0" customHeight="1"/>
    <row r="709" ht="24.0" customHeight="1"/>
    <row r="710" ht="24.0" customHeight="1"/>
    <row r="711" ht="24.0" customHeight="1"/>
    <row r="712" ht="24.0" customHeight="1"/>
    <row r="713" ht="24.0" customHeight="1"/>
    <row r="714" ht="24.0" customHeight="1"/>
    <row r="715" ht="24.0" customHeight="1"/>
    <row r="716" ht="24.0" customHeight="1"/>
    <row r="717" ht="24.0" customHeight="1"/>
    <row r="718" ht="24.0" customHeight="1"/>
    <row r="719" ht="24.0" customHeight="1"/>
    <row r="720" ht="24.0" customHeight="1"/>
    <row r="721" ht="24.0" customHeight="1"/>
    <row r="722" ht="24.0" customHeight="1"/>
    <row r="723" ht="24.0" customHeight="1"/>
    <row r="724" ht="24.0" customHeight="1"/>
    <row r="725" ht="24.0" customHeight="1"/>
    <row r="726" ht="24.0" customHeight="1"/>
    <row r="727" ht="24.0" customHeight="1"/>
    <row r="728" ht="24.0" customHeight="1"/>
    <row r="729" ht="24.0" customHeight="1"/>
    <row r="730" ht="24.0" customHeight="1"/>
    <row r="731" ht="24.0" customHeight="1"/>
    <row r="732" ht="24.0" customHeight="1"/>
    <row r="733" ht="24.0" customHeight="1"/>
    <row r="734" ht="24.0" customHeight="1"/>
    <row r="735" ht="24.0" customHeight="1"/>
    <row r="736" ht="24.0" customHeight="1"/>
    <row r="737" ht="24.0" customHeight="1"/>
    <row r="738" ht="24.0" customHeight="1"/>
    <row r="739" ht="24.0" customHeight="1"/>
    <row r="740" ht="24.0" customHeight="1"/>
    <row r="741" ht="24.0" customHeight="1"/>
    <row r="742" ht="24.0" customHeight="1"/>
    <row r="743" ht="24.0" customHeight="1"/>
    <row r="744" ht="24.0" customHeight="1"/>
    <row r="745" ht="24.0" customHeight="1"/>
    <row r="746" ht="24.0" customHeight="1"/>
    <row r="747" ht="24.0" customHeight="1"/>
    <row r="748" ht="24.0" customHeight="1"/>
    <row r="749" ht="24.0" customHeight="1"/>
    <row r="750" ht="24.0" customHeight="1"/>
    <row r="751" ht="24.0" customHeight="1"/>
    <row r="752" ht="24.0" customHeight="1"/>
    <row r="753" ht="24.0" customHeight="1"/>
    <row r="754" ht="24.0" customHeight="1"/>
    <row r="755" ht="24.0" customHeight="1"/>
    <row r="756" ht="24.0" customHeight="1"/>
    <row r="757" ht="24.0" customHeight="1"/>
    <row r="758" ht="24.0" customHeight="1"/>
    <row r="759" ht="24.0" customHeight="1"/>
    <row r="760" ht="24.0" customHeight="1"/>
    <row r="761" ht="24.0" customHeight="1"/>
    <row r="762" ht="24.0" customHeight="1"/>
    <row r="763" ht="24.0" customHeight="1"/>
    <row r="764" ht="24.0" customHeight="1"/>
    <row r="765" ht="24.0" customHeight="1"/>
    <row r="766" ht="24.0" customHeight="1"/>
    <row r="767" ht="24.0" customHeight="1"/>
    <row r="768" ht="24.0" customHeight="1"/>
    <row r="769" ht="24.0" customHeight="1"/>
    <row r="770" ht="24.0" customHeight="1"/>
    <row r="771" ht="24.0" customHeight="1"/>
    <row r="772" ht="24.0" customHeight="1"/>
    <row r="773" ht="24.0" customHeight="1"/>
    <row r="774" ht="24.0" customHeight="1"/>
    <row r="775" ht="24.0" customHeight="1"/>
    <row r="776" ht="24.0" customHeight="1"/>
    <row r="777" ht="24.0" customHeight="1"/>
    <row r="778" ht="24.0" customHeight="1"/>
    <row r="779" ht="24.0" customHeight="1"/>
    <row r="780" ht="24.0" customHeight="1"/>
    <row r="781" ht="24.0" customHeight="1"/>
    <row r="782" ht="24.0" customHeight="1"/>
    <row r="783" ht="24.0" customHeight="1"/>
    <row r="784" ht="24.0" customHeight="1"/>
    <row r="785" ht="24.0" customHeight="1"/>
    <row r="786" ht="24.0" customHeight="1"/>
    <row r="787" ht="24.0" customHeight="1"/>
    <row r="788" ht="24.0" customHeight="1"/>
    <row r="789" ht="24.0" customHeight="1"/>
    <row r="790" ht="24.0" customHeight="1"/>
    <row r="791" ht="24.0" customHeight="1"/>
    <row r="792" ht="24.0" customHeight="1"/>
    <row r="793" ht="24.0" customHeight="1"/>
    <row r="794" ht="24.0" customHeight="1"/>
    <row r="795" ht="24.0" customHeight="1"/>
    <row r="796" ht="24.0" customHeight="1"/>
    <row r="797" ht="24.0" customHeight="1"/>
    <row r="798" ht="24.0" customHeight="1"/>
    <row r="799" ht="24.0" customHeight="1"/>
    <row r="800" ht="24.0" customHeight="1"/>
    <row r="801" ht="24.0" customHeight="1"/>
    <row r="802" ht="24.0" customHeight="1"/>
    <row r="803" ht="24.0" customHeight="1"/>
    <row r="804" ht="24.0" customHeight="1"/>
    <row r="805" ht="24.0" customHeight="1"/>
    <row r="806" ht="24.0" customHeight="1"/>
    <row r="807" ht="24.0" customHeight="1"/>
    <row r="808" ht="24.0" customHeight="1"/>
    <row r="809" ht="24.0" customHeight="1"/>
    <row r="810" ht="24.0" customHeight="1"/>
    <row r="811" ht="24.0" customHeight="1"/>
    <row r="812" ht="24.0" customHeight="1"/>
    <row r="813" ht="24.0" customHeight="1"/>
    <row r="814" ht="24.0" customHeight="1"/>
    <row r="815" ht="24.0" customHeight="1"/>
    <row r="816" ht="24.0" customHeight="1"/>
    <row r="817" ht="24.0" customHeight="1"/>
    <row r="818" ht="24.0" customHeight="1"/>
    <row r="819" ht="24.0" customHeight="1"/>
    <row r="820" ht="24.0" customHeight="1"/>
    <row r="821" ht="24.0" customHeight="1"/>
    <row r="822" ht="24.0" customHeight="1"/>
    <row r="823" ht="24.0" customHeight="1"/>
    <row r="824" ht="24.0" customHeight="1"/>
    <row r="825" ht="24.0" customHeight="1"/>
    <row r="826" ht="24.0" customHeight="1"/>
    <row r="827" ht="24.0" customHeight="1"/>
    <row r="828" ht="24.0" customHeight="1"/>
    <row r="829" ht="24.0" customHeight="1"/>
    <row r="830" ht="24.0" customHeight="1"/>
    <row r="831" ht="24.0" customHeight="1"/>
    <row r="832" ht="24.0" customHeight="1"/>
    <row r="833" ht="24.0" customHeight="1"/>
    <row r="834" ht="24.0" customHeight="1"/>
    <row r="835" ht="24.0" customHeight="1"/>
    <row r="836" ht="24.0" customHeight="1"/>
    <row r="837" ht="24.0" customHeight="1"/>
    <row r="838" ht="24.0" customHeight="1"/>
    <row r="839" ht="24.0" customHeight="1"/>
    <row r="840" ht="24.0" customHeight="1"/>
    <row r="841" ht="24.0" customHeight="1"/>
    <row r="842" ht="24.0" customHeight="1"/>
    <row r="843" ht="24.0" customHeight="1"/>
    <row r="844" ht="24.0" customHeight="1"/>
    <row r="845" ht="24.0" customHeight="1"/>
    <row r="846" ht="24.0" customHeight="1"/>
    <row r="847" ht="24.0" customHeight="1"/>
    <row r="848" ht="24.0" customHeight="1"/>
    <row r="849" ht="24.0" customHeight="1"/>
    <row r="850" ht="24.0" customHeight="1"/>
    <row r="851" ht="24.0" customHeight="1"/>
    <row r="852" ht="24.0" customHeight="1"/>
    <row r="853" ht="24.0" customHeight="1"/>
    <row r="854" ht="24.0" customHeight="1"/>
    <row r="855" ht="24.0" customHeight="1"/>
    <row r="856" ht="24.0" customHeight="1"/>
    <row r="857" ht="24.0" customHeight="1"/>
    <row r="858" ht="24.0" customHeight="1"/>
    <row r="859" ht="24.0" customHeight="1"/>
    <row r="860" ht="24.0" customHeight="1"/>
    <row r="861" ht="24.0" customHeight="1"/>
    <row r="862" ht="24.0" customHeight="1"/>
    <row r="863" ht="24.0" customHeight="1"/>
    <row r="864" ht="24.0" customHeight="1"/>
    <row r="865" ht="24.0" customHeight="1"/>
    <row r="866" ht="24.0" customHeight="1"/>
    <row r="867" ht="24.0" customHeight="1"/>
    <row r="868" ht="24.0" customHeight="1"/>
    <row r="869" ht="24.0" customHeight="1"/>
    <row r="870" ht="24.0" customHeight="1"/>
    <row r="871" ht="24.0" customHeight="1"/>
    <row r="872" ht="24.0" customHeight="1"/>
    <row r="873" ht="24.0" customHeight="1"/>
    <row r="874" ht="24.0" customHeight="1"/>
    <row r="875" ht="24.0" customHeight="1"/>
    <row r="876" ht="24.0" customHeight="1"/>
    <row r="877" ht="24.0" customHeight="1"/>
    <row r="878" ht="24.0" customHeight="1"/>
    <row r="879" ht="24.0" customHeight="1"/>
    <row r="880" ht="24.0" customHeight="1"/>
    <row r="881" ht="24.0" customHeight="1"/>
    <row r="882" ht="24.0" customHeight="1"/>
    <row r="883" ht="24.0" customHeight="1"/>
    <row r="884" ht="24.0" customHeight="1"/>
    <row r="885" ht="24.0" customHeight="1"/>
    <row r="886" ht="24.0" customHeight="1"/>
    <row r="887" ht="24.0" customHeight="1"/>
    <row r="888" ht="24.0" customHeight="1"/>
    <row r="889" ht="24.0" customHeight="1"/>
    <row r="890" ht="24.0" customHeight="1"/>
    <row r="891" ht="24.0" customHeight="1"/>
    <row r="892" ht="24.0" customHeight="1"/>
    <row r="893" ht="24.0" customHeight="1"/>
    <row r="894" ht="24.0" customHeight="1"/>
    <row r="895" ht="24.0" customHeight="1"/>
    <row r="896" ht="24.0" customHeight="1"/>
    <row r="897" ht="24.0" customHeight="1"/>
    <row r="898" ht="24.0" customHeight="1"/>
    <row r="899" ht="24.0" customHeight="1"/>
    <row r="900" ht="24.0" customHeight="1"/>
    <row r="901" ht="24.0" customHeight="1"/>
    <row r="902" ht="24.0" customHeight="1"/>
    <row r="903" ht="24.0" customHeight="1"/>
    <row r="904" ht="24.0" customHeight="1"/>
    <row r="905" ht="24.0" customHeight="1"/>
    <row r="906" ht="24.0" customHeight="1"/>
    <row r="907" ht="24.0" customHeight="1"/>
    <row r="908" ht="24.0" customHeight="1"/>
    <row r="909" ht="24.0" customHeight="1"/>
    <row r="910" ht="24.0" customHeight="1"/>
    <row r="911" ht="24.0" customHeight="1"/>
    <row r="912" ht="24.0" customHeight="1"/>
    <row r="913" ht="24.0" customHeight="1"/>
    <row r="914" ht="24.0" customHeight="1"/>
    <row r="915" ht="24.0" customHeight="1"/>
    <row r="916" ht="24.0" customHeight="1"/>
    <row r="917" ht="24.0" customHeight="1"/>
    <row r="918" ht="24.0" customHeight="1"/>
    <row r="919" ht="24.0" customHeight="1"/>
    <row r="920" ht="24.0" customHeight="1"/>
    <row r="921" ht="24.0" customHeight="1"/>
    <row r="922" ht="24.0" customHeight="1"/>
    <row r="923" ht="24.0" customHeight="1"/>
    <row r="924" ht="24.0" customHeight="1"/>
    <row r="925" ht="24.0" customHeight="1"/>
    <row r="926" ht="24.0" customHeight="1"/>
    <row r="927" ht="24.0" customHeight="1"/>
    <row r="928" ht="24.0" customHeight="1"/>
    <row r="929" ht="24.0" customHeight="1"/>
    <row r="930" ht="24.0" customHeight="1"/>
    <row r="931" ht="24.0" customHeight="1"/>
    <row r="932" ht="24.0" customHeight="1"/>
    <row r="933" ht="24.0" customHeight="1"/>
    <row r="934" ht="24.0" customHeight="1"/>
    <row r="935" ht="24.0" customHeight="1"/>
    <row r="936" ht="24.0" customHeight="1"/>
    <row r="937" ht="24.0" customHeight="1"/>
    <row r="938" ht="24.0" customHeight="1"/>
    <row r="939" ht="24.0" customHeight="1"/>
    <row r="940" ht="24.0" customHeight="1"/>
    <row r="941" ht="24.0" customHeight="1"/>
    <row r="942" ht="24.0" customHeight="1"/>
    <row r="943" ht="24.0" customHeight="1"/>
    <row r="944" ht="24.0" customHeight="1"/>
    <row r="945" ht="24.0" customHeight="1"/>
    <row r="946" ht="24.0" customHeight="1"/>
    <row r="947" ht="24.0" customHeight="1"/>
    <row r="948" ht="24.0" customHeight="1"/>
    <row r="949" ht="24.0" customHeight="1"/>
    <row r="950" ht="24.0" customHeight="1"/>
    <row r="951" ht="24.0" customHeight="1"/>
    <row r="952" ht="24.0" customHeight="1"/>
    <row r="953" ht="24.0" customHeight="1"/>
    <row r="954" ht="24.0" customHeight="1"/>
    <row r="955" ht="24.0" customHeight="1"/>
    <row r="956" ht="24.0" customHeight="1"/>
    <row r="957" ht="24.0" customHeight="1"/>
    <row r="958" ht="24.0" customHeight="1"/>
    <row r="959" ht="24.0" customHeight="1"/>
    <row r="960" ht="24.0" customHeight="1"/>
    <row r="961" ht="24.0" customHeight="1"/>
    <row r="962" ht="24.0" customHeight="1"/>
    <row r="963" ht="24.0" customHeight="1"/>
    <row r="964" ht="24.0" customHeight="1"/>
    <row r="965" ht="24.0" customHeight="1"/>
    <row r="966" ht="24.0" customHeight="1"/>
    <row r="967" ht="24.0" customHeight="1"/>
    <row r="968" ht="24.0" customHeight="1"/>
    <row r="969" ht="24.0" customHeight="1"/>
    <row r="970" ht="24.0" customHeight="1"/>
    <row r="971" ht="24.0" customHeight="1"/>
    <row r="972" ht="24.0" customHeight="1"/>
    <row r="973" ht="24.0" customHeight="1"/>
    <row r="974" ht="24.0" customHeight="1"/>
    <row r="975" ht="24.0" customHeight="1"/>
    <row r="976" ht="24.0" customHeight="1"/>
    <row r="977" ht="24.0" customHeight="1"/>
    <row r="978" ht="24.0" customHeight="1"/>
    <row r="979" ht="24.0" customHeight="1"/>
    <row r="980" ht="24.0" customHeight="1"/>
    <row r="981" ht="24.0" customHeight="1"/>
    <row r="982" ht="24.0" customHeight="1"/>
    <row r="983" ht="24.0" customHeight="1"/>
    <row r="984" ht="24.0" customHeight="1"/>
    <row r="985" ht="24.0" customHeight="1"/>
    <row r="986" ht="24.0" customHeight="1"/>
    <row r="987" ht="24.0" customHeight="1"/>
    <row r="988" ht="24.0" customHeight="1"/>
    <row r="989" ht="24.0" customHeight="1"/>
    <row r="990" ht="24.0" customHeight="1"/>
    <row r="991" ht="24.0" customHeight="1"/>
    <row r="992" ht="24.0" customHeight="1"/>
    <row r="993" ht="24.0" customHeight="1"/>
    <row r="994" ht="24.0" customHeight="1"/>
    <row r="995" ht="24.0" customHeight="1"/>
    <row r="996" ht="24.0" customHeight="1"/>
    <row r="997" ht="24.0" customHeight="1"/>
    <row r="998" ht="24.0" customHeight="1"/>
    <row r="999" ht="24.0" customHeight="1"/>
    <row r="1000" ht="24.0" customHeight="1"/>
  </sheetData>
  <mergeCells count="2">
    <mergeCell ref="B1:F1"/>
    <mergeCell ref="B8:E8"/>
  </mergeCells>
  <conditionalFormatting sqref="E4">
    <cfRule type="expression" dxfId="0" priority="1">
      <formula>AND(ISNUMBER(E4),ROUND(E4,2)=INT(ROUND(E4,2)))</formula>
    </cfRule>
  </conditionalFormatting>
  <conditionalFormatting sqref="E4">
    <cfRule type="expression" dxfId="1" priority="2">
      <formula>AND(ISNUMBER(E4),ROUND(E4,2)&lt;&gt;INT(ROUND(E4,2)))</formula>
    </cfRule>
  </conditionalFormatting>
  <conditionalFormatting sqref="F4">
    <cfRule type="expression" dxfId="0" priority="3">
      <formula>AND(ISNUMBER(F4),ROUND(F4,2)=INT(ROUND(F4,2)))</formula>
    </cfRule>
  </conditionalFormatting>
  <conditionalFormatting sqref="F4">
    <cfRule type="expression" dxfId="1" priority="4">
      <formula>AND(ISNUMBER(F4),ROUND(F4,2)&lt;&gt;INT(ROUND(F4,2)))</formula>
    </cfRule>
  </conditionalFormatting>
  <conditionalFormatting sqref="E5">
    <cfRule type="expression" dxfId="0" priority="5">
      <formula>AND(ISNUMBER(E5),ROUND(E5,2)=INT(ROUND(E5,2)))</formula>
    </cfRule>
  </conditionalFormatting>
  <conditionalFormatting sqref="E5">
    <cfRule type="expression" dxfId="1" priority="6">
      <formula>AND(ISNUMBER(E5),ROUND(E5,2)&lt;&gt;INT(ROUND(E5,2)))</formula>
    </cfRule>
  </conditionalFormatting>
  <conditionalFormatting sqref="F5">
    <cfRule type="expression" dxfId="0" priority="7">
      <formula>AND(ISNUMBER(F5),ROUND(F5,2)=INT(ROUND(F5,2)))</formula>
    </cfRule>
  </conditionalFormatting>
  <conditionalFormatting sqref="F5">
    <cfRule type="expression" dxfId="1" priority="8">
      <formula>AND(ISNUMBER(F5),ROUND(F5,2)&lt;&gt;INT(ROUND(F5,2)))</formula>
    </cfRule>
  </conditionalFormatting>
  <conditionalFormatting sqref="F8">
    <cfRule type="expression" dxfId="0" priority="9">
      <formula>AND(ISNUMBER(F8),ROUND(F8,2)=INT(ROUND(F8,2)))</formula>
    </cfRule>
  </conditionalFormatting>
  <conditionalFormatting sqref="F8">
    <cfRule type="expression" dxfId="1" priority="10">
      <formula>AND(ISNUMBER(F8),ROUND(F8,2)&lt;&gt;INT(ROUND(F8,2)))</formula>
    </cfRule>
  </conditionalFormatting>
  <dataValidations>
    <dataValidation type="decimal" operator="greaterThanOrEqual" allowBlank="1" showInputMessage="1" showErrorMessage="1" prompt="יש להזין מספר לא שלילי" sqref="D4:D5">
      <formula1>0.0</formula1>
    </dataValidation>
    <dataValidation type="custom" allowBlank="1" showInputMessage="1" showErrorMessage="1" prompt="מספר לא שלילי, כלול או לא רלוונטי בלבד" sqref="E4:E5">
      <formula1>OR(ISBLANK(E4),AND(ISNUMBER(E4),E4&gt;=0),E4="כלול",E4="לא רלוונטי")</formula1>
    </dataValidation>
  </dataValidations>
  <printOptions/>
  <pageMargins bottom="0.75" footer="0.0" header="0.0" left="0.25" right="0.25" top="0.75"/>
  <pageSetup fitToHeight="0" paperSize="9" orientation="portrait"/>
  <headerFooter>
    <oddFooter>&amp;Cעמוד &amp;P</oddFooter>
  </headerFooter>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rightToLeft="1" workbookViewId="0"/>
  </sheetViews>
  <sheetFormatPr customHeight="1" defaultColWidth="14.43" defaultRowHeight="15.0"/>
  <cols>
    <col customWidth="1" min="1" max="1" width="7.29"/>
    <col customWidth="1" min="2" max="2" width="66.29"/>
    <col customWidth="1" min="3" max="6" width="8.14"/>
    <col customWidth="1" min="7" max="26" width="8.71"/>
  </cols>
  <sheetData>
    <row r="1" ht="39.75" customHeight="1">
      <c r="A1" s="2"/>
      <c r="B1" s="3" t="s">
        <v>374</v>
      </c>
    </row>
    <row r="2" ht="30.0" customHeight="1">
      <c r="A2" s="29" t="s">
        <v>9</v>
      </c>
      <c r="B2" s="30" t="s">
        <v>375</v>
      </c>
      <c r="C2" s="31"/>
      <c r="D2" s="32"/>
      <c r="E2" s="33" t="s">
        <v>81</v>
      </c>
      <c r="F2" s="32"/>
    </row>
    <row r="3" ht="24.0" customHeight="1">
      <c r="A3" s="34">
        <v>1.0</v>
      </c>
      <c r="B3" s="35" t="s">
        <v>22</v>
      </c>
      <c r="C3" s="36"/>
      <c r="D3" s="37"/>
      <c r="E3" s="38">
        <f>'בנייה ומחיצות פנים'!F11</f>
        <v>0.01</v>
      </c>
      <c r="F3" s="37"/>
    </row>
    <row r="4" ht="24.0" customHeight="1">
      <c r="A4" s="34">
        <v>2.0</v>
      </c>
      <c r="B4" s="35" t="s">
        <v>25</v>
      </c>
      <c r="C4" s="36"/>
      <c r="D4" s="37"/>
      <c r="E4" s="39">
        <f>'אינסטלציה ותברואה'!F13</f>
        <v>0</v>
      </c>
      <c r="F4" s="37"/>
    </row>
    <row r="5" ht="24.0" customHeight="1">
      <c r="A5" s="34">
        <v>3.0</v>
      </c>
      <c r="B5" s="35" t="s">
        <v>28</v>
      </c>
      <c r="C5" s="36"/>
      <c r="D5" s="37"/>
      <c r="E5" s="39">
        <f>'חשמל והכנות תקשורת'!F15</f>
        <v>0</v>
      </c>
      <c r="F5" s="37"/>
    </row>
    <row r="6" ht="24.0" customHeight="1">
      <c r="A6" s="34">
        <v>4.0</v>
      </c>
      <c r="B6" s="35" t="s">
        <v>35</v>
      </c>
      <c r="C6" s="36"/>
      <c r="D6" s="37"/>
      <c r="E6" s="39">
        <f>'איטום'!F7</f>
        <v>0</v>
      </c>
      <c r="F6" s="37"/>
    </row>
    <row r="7" ht="24.0" customHeight="1">
      <c r="A7" s="34">
        <v>5.0</v>
      </c>
      <c r="B7" s="35" t="s">
        <v>38</v>
      </c>
      <c r="C7" s="36"/>
      <c r="D7" s="37"/>
      <c r="E7" s="39">
        <f>'דלתות פנים'!F7</f>
        <v>0</v>
      </c>
      <c r="F7" s="37"/>
    </row>
    <row r="8" ht="24.0" customHeight="1">
      <c r="A8" s="34">
        <v>6.0</v>
      </c>
      <c r="B8" s="35" t="s">
        <v>41</v>
      </c>
      <c r="C8" s="36"/>
      <c r="D8" s="37"/>
      <c r="E8" s="39">
        <f>'ריצוף וחיפוי'!F9</f>
        <v>0</v>
      </c>
      <c r="F8" s="37"/>
    </row>
    <row r="9" ht="24.0" customHeight="1">
      <c r="A9" s="34">
        <v>7.0</v>
      </c>
      <c r="B9" s="35" t="s">
        <v>44</v>
      </c>
      <c r="C9" s="36"/>
      <c r="D9" s="37"/>
      <c r="E9" s="39">
        <f>'תקרות והנמכות'!F9</f>
        <v>0</v>
      </c>
      <c r="F9" s="37"/>
    </row>
    <row r="10" ht="24.0" customHeight="1">
      <c r="A10" s="34">
        <v>8.0</v>
      </c>
      <c r="B10" s="35" t="s">
        <v>48</v>
      </c>
      <c r="C10" s="36"/>
      <c r="D10" s="37"/>
      <c r="E10" s="39">
        <f>'צבע וגמרים דקורטיביים'!F9</f>
        <v>0</v>
      </c>
      <c r="F10" s="37"/>
    </row>
    <row r="11" ht="24.0" customHeight="1">
      <c r="A11" s="34">
        <v>9.0</v>
      </c>
      <c r="B11" s="35" t="s">
        <v>51</v>
      </c>
      <c r="C11" s="36"/>
      <c r="D11" s="37"/>
      <c r="E11" s="39">
        <f>'נגרות ייעודית'!F21</f>
        <v>0</v>
      </c>
      <c r="F11" s="37"/>
    </row>
    <row r="12" ht="24.0" customHeight="1">
      <c r="A12" s="12"/>
      <c r="B12" s="40" t="s">
        <v>376</v>
      </c>
    </row>
    <row r="13" ht="31.5" customHeight="1">
      <c r="A13" s="12"/>
      <c r="B13" s="41" t="s">
        <v>81</v>
      </c>
      <c r="C13" s="8"/>
      <c r="D13" s="42"/>
      <c r="E13" s="43">
        <f>SUM(E3:E11)</f>
        <v>0.01</v>
      </c>
      <c r="F13" s="42"/>
    </row>
    <row r="14" ht="31.5" customHeight="1">
      <c r="A14" s="12"/>
      <c r="B14" s="44" t="str">
        <f>IF(ISNUMBER('שער'!F14),"מע"&amp;CHAR(34)&amp;"מ ("&amp;'שער'!F14&amp;"%)","מע"&amp;CHAR(34)&amp;"מ (לא הוגדר)")</f>
        <v>מע"מ (18%)</v>
      </c>
      <c r="C14" s="45"/>
      <c r="D14" s="46"/>
      <c r="E14" s="47">
        <f>IF(ISBLANK('שער'!F14),"",IF(ISNUMBER('שער'!F14),ROUND(E13*'שער'!F14/100,2),"קלט לא תקין"))</f>
        <v>0</v>
      </c>
      <c r="F14" s="46"/>
    </row>
    <row r="15" ht="31.5" customHeight="1">
      <c r="A15" s="12"/>
      <c r="B15" s="48" t="s">
        <v>377</v>
      </c>
      <c r="C15" s="45"/>
      <c r="D15" s="46"/>
      <c r="E15" s="49">
        <f>IF(ISNUMBER(E14),SUM(E13,E14),"")</f>
        <v>0.01</v>
      </c>
      <c r="F15" s="46"/>
    </row>
    <row r="16" ht="24.0" customHeight="1"/>
    <row r="17" ht="24.0" customHeight="1"/>
    <row r="18" ht="24.0" customHeight="1"/>
    <row r="19" ht="24.0" customHeight="1"/>
    <row r="20" ht="24.0" customHeight="1"/>
    <row r="21" ht="24.0" customHeight="1"/>
    <row r="22" ht="24.0" customHeight="1"/>
    <row r="23" ht="24.0" customHeight="1"/>
    <row r="24" ht="24.0" customHeight="1"/>
    <row r="25" ht="24.0" customHeight="1"/>
    <row r="26" ht="24.0" customHeight="1"/>
    <row r="27" ht="24.0" customHeight="1"/>
    <row r="28" ht="24.0" customHeight="1"/>
    <row r="29" ht="24.0" customHeight="1"/>
    <row r="30" ht="24.0" customHeight="1"/>
    <row r="31" ht="24.0" customHeight="1"/>
    <row r="32" ht="24.0" customHeight="1"/>
    <row r="33" ht="24.0" customHeight="1"/>
    <row r="34" ht="24.0" customHeight="1"/>
    <row r="35" ht="24.0" customHeight="1"/>
    <row r="36" ht="24.0" customHeight="1"/>
    <row r="37" ht="24.0" customHeight="1"/>
    <row r="38" ht="24.0" customHeight="1"/>
    <row r="39" ht="24.0" customHeight="1"/>
    <row r="40" ht="24.0" customHeight="1"/>
    <row r="41" ht="24.0" customHeight="1"/>
    <row r="42" ht="24.0" customHeight="1"/>
    <row r="43" ht="24.0" customHeight="1"/>
    <row r="44" ht="24.0" customHeight="1"/>
    <row r="45" ht="24.0" customHeight="1"/>
    <row r="46" ht="24.0" customHeight="1"/>
    <row r="47" ht="24.0" customHeight="1"/>
    <row r="48" ht="24.0" customHeight="1"/>
    <row r="49" ht="24.0" customHeight="1"/>
    <row r="50" ht="24.0" customHeight="1"/>
    <row r="51" ht="24.0" customHeight="1"/>
    <row r="52" ht="24.0" customHeight="1"/>
    <row r="53" ht="24.0" customHeight="1"/>
    <row r="54" ht="24.0" customHeight="1"/>
    <row r="55" ht="24.0" customHeight="1"/>
    <row r="56" ht="24.0" customHeight="1"/>
    <row r="57" ht="24.0" customHeight="1"/>
    <row r="58" ht="24.0" customHeight="1"/>
    <row r="59" ht="24.0" customHeight="1"/>
    <row r="60" ht="24.0" customHeight="1"/>
    <row r="61" ht="24.0" customHeight="1"/>
    <row r="62" ht="24.0" customHeight="1"/>
    <row r="63" ht="24.0" customHeight="1"/>
    <row r="64" ht="24.0" customHeight="1"/>
    <row r="65" ht="24.0" customHeight="1"/>
    <row r="66" ht="24.0" customHeight="1"/>
    <row r="67" ht="24.0" customHeight="1"/>
    <row r="68" ht="24.0" customHeight="1"/>
    <row r="69" ht="24.0" customHeight="1"/>
    <row r="70" ht="24.0" customHeight="1"/>
    <row r="71" ht="24.0" customHeight="1"/>
    <row r="72" ht="24.0" customHeight="1"/>
    <row r="73" ht="24.0" customHeight="1"/>
    <row r="74" ht="24.0" customHeight="1"/>
    <row r="75" ht="24.0" customHeight="1"/>
    <row r="76" ht="24.0" customHeight="1"/>
    <row r="77" ht="24.0" customHeight="1"/>
    <row r="78" ht="24.0" customHeight="1"/>
    <row r="79" ht="24.0" customHeight="1"/>
    <row r="80" ht="24.0" customHeight="1"/>
    <row r="81" ht="24.0" customHeight="1"/>
    <row r="82" ht="24.0" customHeight="1"/>
    <row r="83" ht="24.0" customHeight="1"/>
    <row r="84" ht="24.0" customHeight="1"/>
    <row r="85" ht="24.0" customHeight="1"/>
    <row r="86" ht="24.0" customHeight="1"/>
    <row r="87" ht="24.0" customHeight="1"/>
    <row r="88" ht="24.0" customHeight="1"/>
    <row r="89" ht="24.0" customHeight="1"/>
    <row r="90" ht="24.0" customHeight="1"/>
    <row r="91" ht="24.0" customHeight="1"/>
    <row r="92" ht="24.0" customHeight="1"/>
    <row r="93" ht="24.0" customHeight="1"/>
    <row r="94" ht="24.0" customHeight="1"/>
    <row r="95" ht="24.0" customHeight="1"/>
    <row r="96" ht="24.0" customHeight="1"/>
    <row r="97" ht="24.0" customHeight="1"/>
    <row r="98" ht="24.0" customHeight="1"/>
    <row r="99" ht="24.0" customHeight="1"/>
    <row r="100" ht="24.0" customHeight="1"/>
    <row r="101" ht="24.0" customHeight="1"/>
    <row r="102" ht="24.0" customHeight="1"/>
    <row r="103" ht="24.0" customHeight="1"/>
    <row r="104" ht="24.0" customHeight="1"/>
    <row r="105" ht="24.0" customHeight="1"/>
    <row r="106" ht="24.0" customHeight="1"/>
    <row r="107" ht="24.0" customHeight="1"/>
    <row r="108" ht="24.0" customHeight="1"/>
    <row r="109" ht="24.0" customHeight="1"/>
    <row r="110" ht="24.0" customHeight="1"/>
    <row r="111" ht="24.0" customHeight="1"/>
    <row r="112" ht="24.0" customHeight="1"/>
    <row r="113" ht="24.0" customHeight="1"/>
    <row r="114" ht="24.0" customHeight="1"/>
    <row r="115" ht="24.0" customHeight="1"/>
    <row r="116" ht="24.0" customHeight="1"/>
    <row r="117" ht="24.0" customHeight="1"/>
    <row r="118" ht="24.0" customHeight="1"/>
    <row r="119" ht="24.0" customHeight="1"/>
    <row r="120" ht="24.0" customHeight="1"/>
    <row r="121" ht="24.0" customHeight="1"/>
    <row r="122" ht="24.0" customHeight="1"/>
    <row r="123" ht="24.0" customHeight="1"/>
    <row r="124" ht="24.0" customHeight="1"/>
    <row r="125" ht="24.0" customHeight="1"/>
    <row r="126" ht="24.0" customHeight="1"/>
    <row r="127" ht="24.0" customHeight="1"/>
    <row r="128" ht="24.0" customHeight="1"/>
    <row r="129" ht="24.0" customHeight="1"/>
    <row r="130" ht="24.0" customHeight="1"/>
    <row r="131" ht="24.0" customHeight="1"/>
    <row r="132" ht="24.0" customHeight="1"/>
    <row r="133" ht="24.0" customHeight="1"/>
    <row r="134" ht="24.0" customHeight="1"/>
    <row r="135" ht="24.0" customHeight="1"/>
    <row r="136" ht="24.0" customHeight="1"/>
    <row r="137" ht="24.0" customHeight="1"/>
    <row r="138" ht="24.0" customHeight="1"/>
    <row r="139" ht="24.0" customHeight="1"/>
    <row r="140" ht="24.0" customHeight="1"/>
    <row r="141" ht="24.0" customHeight="1"/>
    <row r="142" ht="24.0" customHeight="1"/>
    <row r="143" ht="24.0" customHeight="1"/>
    <row r="144" ht="24.0" customHeight="1"/>
    <row r="145" ht="24.0" customHeight="1"/>
    <row r="146" ht="24.0" customHeight="1"/>
    <row r="147" ht="24.0" customHeight="1"/>
    <row r="148" ht="24.0" customHeight="1"/>
    <row r="149" ht="24.0" customHeight="1"/>
    <row r="150" ht="24.0" customHeight="1"/>
    <row r="151" ht="24.0" customHeight="1"/>
    <row r="152" ht="24.0" customHeight="1"/>
    <row r="153" ht="24.0" customHeight="1"/>
    <row r="154" ht="24.0" customHeight="1"/>
    <row r="155" ht="24.0" customHeight="1"/>
    <row r="156" ht="24.0" customHeight="1"/>
    <row r="157" ht="24.0" customHeight="1"/>
    <row r="158" ht="24.0" customHeight="1"/>
    <row r="159" ht="24.0" customHeight="1"/>
    <row r="160" ht="24.0" customHeight="1"/>
    <row r="161" ht="24.0" customHeight="1"/>
    <row r="162" ht="24.0" customHeight="1"/>
    <row r="163" ht="24.0" customHeight="1"/>
    <row r="164" ht="24.0" customHeight="1"/>
    <row r="165" ht="24.0" customHeight="1"/>
    <row r="166" ht="24.0" customHeight="1"/>
    <row r="167" ht="24.0" customHeight="1"/>
    <row r="168" ht="24.0" customHeight="1"/>
    <row r="169" ht="24.0" customHeight="1"/>
    <row r="170" ht="24.0" customHeight="1"/>
    <row r="171" ht="24.0" customHeight="1"/>
    <row r="172" ht="24.0" customHeight="1"/>
    <row r="173" ht="24.0" customHeight="1"/>
    <row r="174" ht="24.0" customHeight="1"/>
    <row r="175" ht="24.0" customHeight="1"/>
    <row r="176" ht="24.0" customHeight="1"/>
    <row r="177" ht="24.0" customHeight="1"/>
    <row r="178" ht="24.0" customHeight="1"/>
    <row r="179" ht="24.0" customHeight="1"/>
    <row r="180" ht="24.0" customHeight="1"/>
    <row r="181" ht="24.0" customHeight="1"/>
    <row r="182" ht="24.0" customHeight="1"/>
    <row r="183" ht="24.0" customHeight="1"/>
    <row r="184" ht="24.0" customHeight="1"/>
    <row r="185" ht="24.0" customHeight="1"/>
    <row r="186" ht="24.0" customHeight="1"/>
    <row r="187" ht="24.0" customHeight="1"/>
    <row r="188" ht="24.0" customHeight="1"/>
    <row r="189" ht="24.0" customHeight="1"/>
    <row r="190" ht="24.0" customHeight="1"/>
    <row r="191" ht="24.0" customHeight="1"/>
    <row r="192" ht="24.0" customHeight="1"/>
    <row r="193" ht="24.0" customHeight="1"/>
    <row r="194" ht="24.0" customHeight="1"/>
    <row r="195" ht="24.0" customHeight="1"/>
    <row r="196" ht="24.0" customHeight="1"/>
    <row r="197" ht="24.0" customHeight="1"/>
    <row r="198" ht="24.0" customHeight="1"/>
    <row r="199" ht="24.0" customHeight="1"/>
    <row r="200" ht="24.0" customHeight="1"/>
    <row r="201" ht="24.0" customHeight="1"/>
    <row r="202" ht="24.0" customHeight="1"/>
    <row r="203" ht="24.0" customHeight="1"/>
    <row r="204" ht="24.0" customHeight="1"/>
    <row r="205" ht="24.0" customHeight="1"/>
    <row r="206" ht="24.0" customHeight="1"/>
    <row r="207" ht="24.0" customHeight="1"/>
    <row r="208" ht="24.0" customHeight="1"/>
    <row r="209" ht="24.0" customHeight="1"/>
    <row r="210" ht="24.0" customHeight="1"/>
    <row r="211" ht="24.0" customHeight="1"/>
    <row r="212" ht="24.0" customHeight="1"/>
    <row r="213" ht="24.0" customHeight="1"/>
    <row r="214" ht="24.0" customHeight="1"/>
    <row r="215" ht="24.0" customHeight="1"/>
    <row r="216" ht="24.0" customHeight="1"/>
    <row r="217" ht="24.0" customHeight="1"/>
    <row r="218" ht="24.0" customHeight="1"/>
    <row r="219" ht="24.0" customHeight="1"/>
    <row r="220" ht="24.0" customHeight="1"/>
    <row r="221" ht="24.0" customHeight="1"/>
    <row r="222" ht="24.0" customHeight="1"/>
    <row r="223" ht="24.0" customHeight="1"/>
    <row r="224" ht="24.0" customHeight="1"/>
    <row r="225" ht="24.0" customHeight="1"/>
    <row r="226" ht="24.0" customHeight="1"/>
    <row r="227" ht="24.0" customHeight="1"/>
    <row r="228" ht="24.0" customHeight="1"/>
    <row r="229" ht="24.0" customHeight="1"/>
    <row r="230" ht="24.0" customHeight="1"/>
    <row r="231" ht="24.0" customHeight="1"/>
    <row r="232" ht="24.0" customHeight="1"/>
    <row r="233" ht="24.0" customHeight="1"/>
    <row r="234" ht="24.0" customHeight="1"/>
    <row r="235" ht="24.0" customHeight="1"/>
    <row r="236" ht="24.0" customHeight="1"/>
    <row r="237" ht="24.0" customHeight="1"/>
    <row r="238" ht="24.0" customHeight="1"/>
    <row r="239" ht="24.0" customHeight="1"/>
    <row r="240" ht="24.0" customHeight="1"/>
    <row r="241" ht="24.0" customHeight="1"/>
    <row r="242" ht="24.0" customHeight="1"/>
    <row r="243" ht="24.0" customHeight="1"/>
    <row r="244" ht="24.0" customHeight="1"/>
    <row r="245" ht="24.0" customHeight="1"/>
    <row r="246" ht="24.0" customHeight="1"/>
    <row r="247" ht="24.0" customHeight="1"/>
    <row r="248" ht="24.0" customHeight="1"/>
    <row r="249" ht="24.0" customHeight="1"/>
    <row r="250" ht="24.0" customHeight="1"/>
    <row r="251" ht="24.0" customHeight="1"/>
    <row r="252" ht="24.0" customHeight="1"/>
    <row r="253" ht="24.0" customHeight="1"/>
    <row r="254" ht="24.0" customHeight="1"/>
    <row r="255" ht="24.0" customHeight="1"/>
    <row r="256" ht="24.0" customHeight="1"/>
    <row r="257" ht="24.0" customHeight="1"/>
    <row r="258" ht="24.0" customHeight="1"/>
    <row r="259" ht="24.0" customHeight="1"/>
    <row r="260" ht="24.0" customHeight="1"/>
    <row r="261" ht="24.0" customHeight="1"/>
    <row r="262" ht="24.0" customHeight="1"/>
    <row r="263" ht="24.0" customHeight="1"/>
    <row r="264" ht="24.0" customHeight="1"/>
    <row r="265" ht="24.0" customHeight="1"/>
    <row r="266" ht="24.0" customHeight="1"/>
    <row r="267" ht="24.0" customHeight="1"/>
    <row r="268" ht="24.0" customHeight="1"/>
    <row r="269" ht="24.0" customHeight="1"/>
    <row r="270" ht="24.0" customHeight="1"/>
    <row r="271" ht="24.0" customHeight="1"/>
    <row r="272" ht="24.0" customHeight="1"/>
    <row r="273" ht="24.0" customHeight="1"/>
    <row r="274" ht="24.0" customHeight="1"/>
    <row r="275" ht="24.0" customHeight="1"/>
    <row r="276" ht="24.0" customHeight="1"/>
    <row r="277" ht="24.0" customHeight="1"/>
    <row r="278" ht="24.0" customHeight="1"/>
    <row r="279" ht="24.0" customHeight="1"/>
    <row r="280" ht="24.0" customHeight="1"/>
    <row r="281" ht="24.0" customHeight="1"/>
    <row r="282" ht="24.0" customHeight="1"/>
    <row r="283" ht="24.0" customHeight="1"/>
    <row r="284" ht="24.0" customHeight="1"/>
    <row r="285" ht="24.0" customHeight="1"/>
    <row r="286" ht="24.0" customHeight="1"/>
    <row r="287" ht="24.0" customHeight="1"/>
    <row r="288" ht="24.0" customHeight="1"/>
    <row r="289" ht="24.0" customHeight="1"/>
    <row r="290" ht="24.0" customHeight="1"/>
    <row r="291" ht="24.0" customHeight="1"/>
    <row r="292" ht="24.0" customHeight="1"/>
    <row r="293" ht="24.0" customHeight="1"/>
    <row r="294" ht="24.0" customHeight="1"/>
    <row r="295" ht="24.0" customHeight="1"/>
    <row r="296" ht="24.0" customHeight="1"/>
    <row r="297" ht="24.0" customHeight="1"/>
    <row r="298" ht="24.0" customHeight="1"/>
    <row r="299" ht="24.0" customHeight="1"/>
    <row r="300" ht="24.0" customHeight="1"/>
    <row r="301" ht="24.0" customHeight="1"/>
    <row r="302" ht="24.0" customHeight="1"/>
    <row r="303" ht="24.0" customHeight="1"/>
    <row r="304" ht="24.0" customHeight="1"/>
    <row r="305" ht="24.0" customHeight="1"/>
    <row r="306" ht="24.0" customHeight="1"/>
    <row r="307" ht="24.0" customHeight="1"/>
    <row r="308" ht="24.0" customHeight="1"/>
    <row r="309" ht="24.0" customHeight="1"/>
    <row r="310" ht="24.0" customHeight="1"/>
    <row r="311" ht="24.0" customHeight="1"/>
    <row r="312" ht="24.0" customHeight="1"/>
    <row r="313" ht="24.0" customHeight="1"/>
    <row r="314" ht="24.0" customHeight="1"/>
    <row r="315" ht="24.0" customHeight="1"/>
    <row r="316" ht="24.0" customHeight="1"/>
    <row r="317" ht="24.0" customHeight="1"/>
    <row r="318" ht="24.0" customHeight="1"/>
    <row r="319" ht="24.0" customHeight="1"/>
    <row r="320" ht="24.0" customHeight="1"/>
    <row r="321" ht="24.0" customHeight="1"/>
    <row r="322" ht="24.0" customHeight="1"/>
    <row r="323" ht="24.0" customHeight="1"/>
    <row r="324" ht="24.0" customHeight="1"/>
    <row r="325" ht="24.0" customHeight="1"/>
    <row r="326" ht="24.0" customHeight="1"/>
    <row r="327" ht="24.0" customHeight="1"/>
    <row r="328" ht="24.0" customHeight="1"/>
    <row r="329" ht="24.0" customHeight="1"/>
    <row r="330" ht="24.0" customHeight="1"/>
    <row r="331" ht="24.0" customHeight="1"/>
    <row r="332" ht="24.0" customHeight="1"/>
    <row r="333" ht="24.0" customHeight="1"/>
    <row r="334" ht="24.0" customHeight="1"/>
    <row r="335" ht="24.0" customHeight="1"/>
    <row r="336" ht="24.0" customHeight="1"/>
    <row r="337" ht="24.0" customHeight="1"/>
    <row r="338" ht="24.0" customHeight="1"/>
    <row r="339" ht="24.0" customHeight="1"/>
    <row r="340" ht="24.0" customHeight="1"/>
    <row r="341" ht="24.0" customHeight="1"/>
    <row r="342" ht="24.0" customHeight="1"/>
    <row r="343" ht="24.0" customHeight="1"/>
    <row r="344" ht="24.0" customHeight="1"/>
    <row r="345" ht="24.0" customHeight="1"/>
    <row r="346" ht="24.0" customHeight="1"/>
    <row r="347" ht="24.0" customHeight="1"/>
    <row r="348" ht="24.0" customHeight="1"/>
    <row r="349" ht="24.0" customHeight="1"/>
    <row r="350" ht="24.0" customHeight="1"/>
    <row r="351" ht="24.0" customHeight="1"/>
    <row r="352" ht="24.0" customHeight="1"/>
    <row r="353" ht="24.0" customHeight="1"/>
    <row r="354" ht="24.0" customHeight="1"/>
    <row r="355" ht="24.0" customHeight="1"/>
    <row r="356" ht="24.0" customHeight="1"/>
    <row r="357" ht="24.0" customHeight="1"/>
    <row r="358" ht="24.0" customHeight="1"/>
    <row r="359" ht="24.0" customHeight="1"/>
    <row r="360" ht="24.0" customHeight="1"/>
    <row r="361" ht="24.0" customHeight="1"/>
    <row r="362" ht="24.0" customHeight="1"/>
    <row r="363" ht="24.0" customHeight="1"/>
    <row r="364" ht="24.0" customHeight="1"/>
    <row r="365" ht="24.0" customHeight="1"/>
    <row r="366" ht="24.0" customHeight="1"/>
    <row r="367" ht="24.0" customHeight="1"/>
    <row r="368" ht="24.0" customHeight="1"/>
    <row r="369" ht="24.0" customHeight="1"/>
    <row r="370" ht="24.0" customHeight="1"/>
    <row r="371" ht="24.0" customHeight="1"/>
    <row r="372" ht="24.0" customHeight="1"/>
    <row r="373" ht="24.0" customHeight="1"/>
    <row r="374" ht="24.0" customHeight="1"/>
    <row r="375" ht="24.0" customHeight="1"/>
    <row r="376" ht="24.0" customHeight="1"/>
    <row r="377" ht="24.0" customHeight="1"/>
    <row r="378" ht="24.0" customHeight="1"/>
    <row r="379" ht="24.0" customHeight="1"/>
    <row r="380" ht="24.0" customHeight="1"/>
    <row r="381" ht="24.0" customHeight="1"/>
    <row r="382" ht="24.0" customHeight="1"/>
    <row r="383" ht="24.0" customHeight="1"/>
    <row r="384" ht="24.0" customHeight="1"/>
    <row r="385" ht="24.0" customHeight="1"/>
    <row r="386" ht="24.0" customHeight="1"/>
    <row r="387" ht="24.0" customHeight="1"/>
    <row r="388" ht="24.0" customHeight="1"/>
    <row r="389" ht="24.0" customHeight="1"/>
    <row r="390" ht="24.0" customHeight="1"/>
    <row r="391" ht="24.0" customHeight="1"/>
    <row r="392" ht="24.0" customHeight="1"/>
    <row r="393" ht="24.0" customHeight="1"/>
    <row r="394" ht="24.0" customHeight="1"/>
    <row r="395" ht="24.0" customHeight="1"/>
    <row r="396" ht="24.0" customHeight="1"/>
    <row r="397" ht="24.0" customHeight="1"/>
    <row r="398" ht="24.0" customHeight="1"/>
    <row r="399" ht="24.0" customHeight="1"/>
    <row r="400" ht="24.0" customHeight="1"/>
    <row r="401" ht="24.0" customHeight="1"/>
    <row r="402" ht="24.0" customHeight="1"/>
    <row r="403" ht="24.0" customHeight="1"/>
    <row r="404" ht="24.0" customHeight="1"/>
    <row r="405" ht="24.0" customHeight="1"/>
    <row r="406" ht="24.0" customHeight="1"/>
    <row r="407" ht="24.0" customHeight="1"/>
    <row r="408" ht="24.0" customHeight="1"/>
    <row r="409" ht="24.0" customHeight="1"/>
    <row r="410" ht="24.0" customHeight="1"/>
    <row r="411" ht="24.0" customHeight="1"/>
    <row r="412" ht="24.0" customHeight="1"/>
    <row r="413" ht="24.0" customHeight="1"/>
    <row r="414" ht="24.0" customHeight="1"/>
    <row r="415" ht="24.0" customHeight="1"/>
    <row r="416" ht="24.0" customHeight="1"/>
    <row r="417" ht="24.0" customHeight="1"/>
    <row r="418" ht="24.0" customHeight="1"/>
    <row r="419" ht="24.0" customHeight="1"/>
    <row r="420" ht="24.0" customHeight="1"/>
    <row r="421" ht="24.0" customHeight="1"/>
    <row r="422" ht="24.0" customHeight="1"/>
    <row r="423" ht="24.0" customHeight="1"/>
    <row r="424" ht="24.0" customHeight="1"/>
    <row r="425" ht="24.0" customHeight="1"/>
    <row r="426" ht="24.0" customHeight="1"/>
    <row r="427" ht="24.0" customHeight="1"/>
    <row r="428" ht="24.0" customHeight="1"/>
    <row r="429" ht="24.0" customHeight="1"/>
    <row r="430" ht="24.0" customHeight="1"/>
    <row r="431" ht="24.0" customHeight="1"/>
    <row r="432" ht="24.0" customHeight="1"/>
    <row r="433" ht="24.0" customHeight="1"/>
    <row r="434" ht="24.0" customHeight="1"/>
    <row r="435" ht="24.0" customHeight="1"/>
    <row r="436" ht="24.0" customHeight="1"/>
    <row r="437" ht="24.0" customHeight="1"/>
    <row r="438" ht="24.0" customHeight="1"/>
    <row r="439" ht="24.0" customHeight="1"/>
    <row r="440" ht="24.0" customHeight="1"/>
    <row r="441" ht="24.0" customHeight="1"/>
    <row r="442" ht="24.0" customHeight="1"/>
    <row r="443" ht="24.0" customHeight="1"/>
    <row r="444" ht="24.0" customHeight="1"/>
    <row r="445" ht="24.0" customHeight="1"/>
    <row r="446" ht="24.0" customHeight="1"/>
    <row r="447" ht="24.0" customHeight="1"/>
    <row r="448" ht="24.0" customHeight="1"/>
    <row r="449" ht="24.0" customHeight="1"/>
    <row r="450" ht="24.0" customHeight="1"/>
    <row r="451" ht="24.0" customHeight="1"/>
    <row r="452" ht="24.0" customHeight="1"/>
    <row r="453" ht="24.0" customHeight="1"/>
    <row r="454" ht="24.0" customHeight="1"/>
    <row r="455" ht="24.0" customHeight="1"/>
    <row r="456" ht="24.0" customHeight="1"/>
    <row r="457" ht="24.0" customHeight="1"/>
    <row r="458" ht="24.0" customHeight="1"/>
    <row r="459" ht="24.0" customHeight="1"/>
    <row r="460" ht="24.0" customHeight="1"/>
    <row r="461" ht="24.0" customHeight="1"/>
    <row r="462" ht="24.0" customHeight="1"/>
    <row r="463" ht="24.0" customHeight="1"/>
    <row r="464" ht="24.0" customHeight="1"/>
    <row r="465" ht="24.0" customHeight="1"/>
    <row r="466" ht="24.0" customHeight="1"/>
    <row r="467" ht="24.0" customHeight="1"/>
    <row r="468" ht="24.0" customHeight="1"/>
    <row r="469" ht="24.0" customHeight="1"/>
    <row r="470" ht="24.0" customHeight="1"/>
    <row r="471" ht="24.0" customHeight="1"/>
    <row r="472" ht="24.0" customHeight="1"/>
    <row r="473" ht="24.0" customHeight="1"/>
    <row r="474" ht="24.0" customHeight="1"/>
    <row r="475" ht="24.0" customHeight="1"/>
    <row r="476" ht="24.0" customHeight="1"/>
    <row r="477" ht="24.0" customHeight="1"/>
    <row r="478" ht="24.0" customHeight="1"/>
    <row r="479" ht="24.0" customHeight="1"/>
    <row r="480" ht="24.0" customHeight="1"/>
    <row r="481" ht="24.0" customHeight="1"/>
    <row r="482" ht="24.0" customHeight="1"/>
    <row r="483" ht="24.0" customHeight="1"/>
    <row r="484" ht="24.0" customHeight="1"/>
    <row r="485" ht="24.0" customHeight="1"/>
    <row r="486" ht="24.0" customHeight="1"/>
    <row r="487" ht="24.0" customHeight="1"/>
    <row r="488" ht="24.0" customHeight="1"/>
    <row r="489" ht="24.0" customHeight="1"/>
    <row r="490" ht="24.0" customHeight="1"/>
    <row r="491" ht="24.0" customHeight="1"/>
    <row r="492" ht="24.0" customHeight="1"/>
    <row r="493" ht="24.0" customHeight="1"/>
    <row r="494" ht="24.0" customHeight="1"/>
    <row r="495" ht="24.0" customHeight="1"/>
    <row r="496" ht="24.0" customHeight="1"/>
    <row r="497" ht="24.0" customHeight="1"/>
    <row r="498" ht="24.0" customHeight="1"/>
    <row r="499" ht="24.0" customHeight="1"/>
    <row r="500" ht="24.0" customHeight="1"/>
    <row r="501" ht="24.0" customHeight="1"/>
    <row r="502" ht="24.0" customHeight="1"/>
    <row r="503" ht="24.0" customHeight="1"/>
    <row r="504" ht="24.0" customHeight="1"/>
    <row r="505" ht="24.0" customHeight="1"/>
    <row r="506" ht="24.0" customHeight="1"/>
    <row r="507" ht="24.0" customHeight="1"/>
    <row r="508" ht="24.0" customHeight="1"/>
    <row r="509" ht="24.0" customHeight="1"/>
    <row r="510" ht="24.0" customHeight="1"/>
    <row r="511" ht="24.0" customHeight="1"/>
    <row r="512" ht="24.0" customHeight="1"/>
    <row r="513" ht="24.0" customHeight="1"/>
    <row r="514" ht="24.0" customHeight="1"/>
    <row r="515" ht="24.0" customHeight="1"/>
    <row r="516" ht="24.0" customHeight="1"/>
    <row r="517" ht="24.0" customHeight="1"/>
    <row r="518" ht="24.0" customHeight="1"/>
    <row r="519" ht="24.0" customHeight="1"/>
    <row r="520" ht="24.0" customHeight="1"/>
    <row r="521" ht="24.0" customHeight="1"/>
    <row r="522" ht="24.0" customHeight="1"/>
    <row r="523" ht="24.0" customHeight="1"/>
    <row r="524" ht="24.0" customHeight="1"/>
    <row r="525" ht="24.0" customHeight="1"/>
    <row r="526" ht="24.0" customHeight="1"/>
    <row r="527" ht="24.0" customHeight="1"/>
    <row r="528" ht="24.0" customHeight="1"/>
    <row r="529" ht="24.0" customHeight="1"/>
    <row r="530" ht="24.0" customHeight="1"/>
    <row r="531" ht="24.0" customHeight="1"/>
    <row r="532" ht="24.0" customHeight="1"/>
    <row r="533" ht="24.0" customHeight="1"/>
    <row r="534" ht="24.0" customHeight="1"/>
    <row r="535" ht="24.0" customHeight="1"/>
    <row r="536" ht="24.0" customHeight="1"/>
    <row r="537" ht="24.0" customHeight="1"/>
    <row r="538" ht="24.0" customHeight="1"/>
    <row r="539" ht="24.0" customHeight="1"/>
    <row r="540" ht="24.0" customHeight="1"/>
    <row r="541" ht="24.0" customHeight="1"/>
    <row r="542" ht="24.0" customHeight="1"/>
    <row r="543" ht="24.0" customHeight="1"/>
    <row r="544" ht="24.0" customHeight="1"/>
    <row r="545" ht="24.0" customHeight="1"/>
    <row r="546" ht="24.0" customHeight="1"/>
    <row r="547" ht="24.0" customHeight="1"/>
    <row r="548" ht="24.0" customHeight="1"/>
    <row r="549" ht="24.0" customHeight="1"/>
    <row r="550" ht="24.0" customHeight="1"/>
    <row r="551" ht="24.0" customHeight="1"/>
    <row r="552" ht="24.0" customHeight="1"/>
    <row r="553" ht="24.0" customHeight="1"/>
    <row r="554" ht="24.0" customHeight="1"/>
    <row r="555" ht="24.0" customHeight="1"/>
    <row r="556" ht="24.0" customHeight="1"/>
    <row r="557" ht="24.0" customHeight="1"/>
    <row r="558" ht="24.0" customHeight="1"/>
    <row r="559" ht="24.0" customHeight="1"/>
    <row r="560" ht="24.0" customHeight="1"/>
    <row r="561" ht="24.0" customHeight="1"/>
    <row r="562" ht="24.0" customHeight="1"/>
    <row r="563" ht="24.0" customHeight="1"/>
    <row r="564" ht="24.0" customHeight="1"/>
    <row r="565" ht="24.0" customHeight="1"/>
    <row r="566" ht="24.0" customHeight="1"/>
    <row r="567" ht="24.0" customHeight="1"/>
    <row r="568" ht="24.0" customHeight="1"/>
    <row r="569" ht="24.0" customHeight="1"/>
    <row r="570" ht="24.0" customHeight="1"/>
    <row r="571" ht="24.0" customHeight="1"/>
    <row r="572" ht="24.0" customHeight="1"/>
    <row r="573" ht="24.0" customHeight="1"/>
    <row r="574" ht="24.0" customHeight="1"/>
    <row r="575" ht="24.0" customHeight="1"/>
    <row r="576" ht="24.0" customHeight="1"/>
    <row r="577" ht="24.0" customHeight="1"/>
    <row r="578" ht="24.0" customHeight="1"/>
    <row r="579" ht="24.0" customHeight="1"/>
    <row r="580" ht="24.0" customHeight="1"/>
    <row r="581" ht="24.0" customHeight="1"/>
    <row r="582" ht="24.0" customHeight="1"/>
    <row r="583" ht="24.0" customHeight="1"/>
    <row r="584" ht="24.0" customHeight="1"/>
    <row r="585" ht="24.0" customHeight="1"/>
    <row r="586" ht="24.0" customHeight="1"/>
    <row r="587" ht="24.0" customHeight="1"/>
    <row r="588" ht="24.0" customHeight="1"/>
    <row r="589" ht="24.0" customHeight="1"/>
    <row r="590" ht="24.0" customHeight="1"/>
    <row r="591" ht="24.0" customHeight="1"/>
    <row r="592" ht="24.0" customHeight="1"/>
    <row r="593" ht="24.0" customHeight="1"/>
    <row r="594" ht="24.0" customHeight="1"/>
    <row r="595" ht="24.0" customHeight="1"/>
    <row r="596" ht="24.0" customHeight="1"/>
    <row r="597" ht="24.0" customHeight="1"/>
    <row r="598" ht="24.0" customHeight="1"/>
    <row r="599" ht="24.0" customHeight="1"/>
    <row r="600" ht="24.0" customHeight="1"/>
    <row r="601" ht="24.0" customHeight="1"/>
    <row r="602" ht="24.0" customHeight="1"/>
    <row r="603" ht="24.0" customHeight="1"/>
    <row r="604" ht="24.0" customHeight="1"/>
    <row r="605" ht="24.0" customHeight="1"/>
    <row r="606" ht="24.0" customHeight="1"/>
    <row r="607" ht="24.0" customHeight="1"/>
    <row r="608" ht="24.0" customHeight="1"/>
    <row r="609" ht="24.0" customHeight="1"/>
    <row r="610" ht="24.0" customHeight="1"/>
    <row r="611" ht="24.0" customHeight="1"/>
    <row r="612" ht="24.0" customHeight="1"/>
    <row r="613" ht="24.0" customHeight="1"/>
    <row r="614" ht="24.0" customHeight="1"/>
    <row r="615" ht="24.0" customHeight="1"/>
    <row r="616" ht="24.0" customHeight="1"/>
    <row r="617" ht="24.0" customHeight="1"/>
    <row r="618" ht="24.0" customHeight="1"/>
    <row r="619" ht="24.0" customHeight="1"/>
    <row r="620" ht="24.0" customHeight="1"/>
    <row r="621" ht="24.0" customHeight="1"/>
    <row r="622" ht="24.0" customHeight="1"/>
    <row r="623" ht="24.0" customHeight="1"/>
    <row r="624" ht="24.0" customHeight="1"/>
    <row r="625" ht="24.0" customHeight="1"/>
    <row r="626" ht="24.0" customHeight="1"/>
    <row r="627" ht="24.0" customHeight="1"/>
    <row r="628" ht="24.0" customHeight="1"/>
    <row r="629" ht="24.0" customHeight="1"/>
    <row r="630" ht="24.0" customHeight="1"/>
    <row r="631" ht="24.0" customHeight="1"/>
    <row r="632" ht="24.0" customHeight="1"/>
    <row r="633" ht="24.0" customHeight="1"/>
    <row r="634" ht="24.0" customHeight="1"/>
    <row r="635" ht="24.0" customHeight="1"/>
    <row r="636" ht="24.0" customHeight="1"/>
    <row r="637" ht="24.0" customHeight="1"/>
    <row r="638" ht="24.0" customHeight="1"/>
    <row r="639" ht="24.0" customHeight="1"/>
    <row r="640" ht="24.0" customHeight="1"/>
    <row r="641" ht="24.0" customHeight="1"/>
    <row r="642" ht="24.0" customHeight="1"/>
    <row r="643" ht="24.0" customHeight="1"/>
    <row r="644" ht="24.0" customHeight="1"/>
    <row r="645" ht="24.0" customHeight="1"/>
    <row r="646" ht="24.0" customHeight="1"/>
    <row r="647" ht="24.0" customHeight="1"/>
    <row r="648" ht="24.0" customHeight="1"/>
    <row r="649" ht="24.0" customHeight="1"/>
    <row r="650" ht="24.0" customHeight="1"/>
    <row r="651" ht="24.0" customHeight="1"/>
    <row r="652" ht="24.0" customHeight="1"/>
    <row r="653" ht="24.0" customHeight="1"/>
    <row r="654" ht="24.0" customHeight="1"/>
    <row r="655" ht="24.0" customHeight="1"/>
    <row r="656" ht="24.0" customHeight="1"/>
    <row r="657" ht="24.0" customHeight="1"/>
    <row r="658" ht="24.0" customHeight="1"/>
    <row r="659" ht="24.0" customHeight="1"/>
    <row r="660" ht="24.0" customHeight="1"/>
    <row r="661" ht="24.0" customHeight="1"/>
    <row r="662" ht="24.0" customHeight="1"/>
    <row r="663" ht="24.0" customHeight="1"/>
    <row r="664" ht="24.0" customHeight="1"/>
    <row r="665" ht="24.0" customHeight="1"/>
    <row r="666" ht="24.0" customHeight="1"/>
    <row r="667" ht="24.0" customHeight="1"/>
    <row r="668" ht="24.0" customHeight="1"/>
    <row r="669" ht="24.0" customHeight="1"/>
    <row r="670" ht="24.0" customHeight="1"/>
    <row r="671" ht="24.0" customHeight="1"/>
    <row r="672" ht="24.0" customHeight="1"/>
    <row r="673" ht="24.0" customHeight="1"/>
    <row r="674" ht="24.0" customHeight="1"/>
    <row r="675" ht="24.0" customHeight="1"/>
    <row r="676" ht="24.0" customHeight="1"/>
    <row r="677" ht="24.0" customHeight="1"/>
    <row r="678" ht="24.0" customHeight="1"/>
    <row r="679" ht="24.0" customHeight="1"/>
    <row r="680" ht="24.0" customHeight="1"/>
    <row r="681" ht="24.0" customHeight="1"/>
    <row r="682" ht="24.0" customHeight="1"/>
    <row r="683" ht="24.0" customHeight="1"/>
    <row r="684" ht="24.0" customHeight="1"/>
    <row r="685" ht="24.0" customHeight="1"/>
    <row r="686" ht="24.0" customHeight="1"/>
    <row r="687" ht="24.0" customHeight="1"/>
    <row r="688" ht="24.0" customHeight="1"/>
    <row r="689" ht="24.0" customHeight="1"/>
    <row r="690" ht="24.0" customHeight="1"/>
    <row r="691" ht="24.0" customHeight="1"/>
    <row r="692" ht="24.0" customHeight="1"/>
    <row r="693" ht="24.0" customHeight="1"/>
    <row r="694" ht="24.0" customHeight="1"/>
    <row r="695" ht="24.0" customHeight="1"/>
    <row r="696" ht="24.0" customHeight="1"/>
    <row r="697" ht="24.0" customHeight="1"/>
    <row r="698" ht="24.0" customHeight="1"/>
    <row r="699" ht="24.0" customHeight="1"/>
    <row r="700" ht="24.0" customHeight="1"/>
    <row r="701" ht="24.0" customHeight="1"/>
    <row r="702" ht="24.0" customHeight="1"/>
    <row r="703" ht="24.0" customHeight="1"/>
    <row r="704" ht="24.0" customHeight="1"/>
    <row r="705" ht="24.0" customHeight="1"/>
    <row r="706" ht="24.0" customHeight="1"/>
    <row r="707" ht="24.0" customHeight="1"/>
    <row r="708" ht="24.0" customHeight="1"/>
    <row r="709" ht="24.0" customHeight="1"/>
    <row r="710" ht="24.0" customHeight="1"/>
    <row r="711" ht="24.0" customHeight="1"/>
    <row r="712" ht="24.0" customHeight="1"/>
    <row r="713" ht="24.0" customHeight="1"/>
    <row r="714" ht="24.0" customHeight="1"/>
    <row r="715" ht="24.0" customHeight="1"/>
    <row r="716" ht="24.0" customHeight="1"/>
    <row r="717" ht="24.0" customHeight="1"/>
    <row r="718" ht="24.0" customHeight="1"/>
    <row r="719" ht="24.0" customHeight="1"/>
    <row r="720" ht="24.0" customHeight="1"/>
    <row r="721" ht="24.0" customHeight="1"/>
    <row r="722" ht="24.0" customHeight="1"/>
    <row r="723" ht="24.0" customHeight="1"/>
    <row r="724" ht="24.0" customHeight="1"/>
    <row r="725" ht="24.0" customHeight="1"/>
    <row r="726" ht="24.0" customHeight="1"/>
    <row r="727" ht="24.0" customHeight="1"/>
    <row r="728" ht="24.0" customHeight="1"/>
    <row r="729" ht="24.0" customHeight="1"/>
    <row r="730" ht="24.0" customHeight="1"/>
    <row r="731" ht="24.0" customHeight="1"/>
    <row r="732" ht="24.0" customHeight="1"/>
    <row r="733" ht="24.0" customHeight="1"/>
    <row r="734" ht="24.0" customHeight="1"/>
    <row r="735" ht="24.0" customHeight="1"/>
    <row r="736" ht="24.0" customHeight="1"/>
    <row r="737" ht="24.0" customHeight="1"/>
    <row r="738" ht="24.0" customHeight="1"/>
    <row r="739" ht="24.0" customHeight="1"/>
    <row r="740" ht="24.0" customHeight="1"/>
    <row r="741" ht="24.0" customHeight="1"/>
    <row r="742" ht="24.0" customHeight="1"/>
    <row r="743" ht="24.0" customHeight="1"/>
    <row r="744" ht="24.0" customHeight="1"/>
    <row r="745" ht="24.0" customHeight="1"/>
    <row r="746" ht="24.0" customHeight="1"/>
    <row r="747" ht="24.0" customHeight="1"/>
    <row r="748" ht="24.0" customHeight="1"/>
    <row r="749" ht="24.0" customHeight="1"/>
    <row r="750" ht="24.0" customHeight="1"/>
    <row r="751" ht="24.0" customHeight="1"/>
    <row r="752" ht="24.0" customHeight="1"/>
    <row r="753" ht="24.0" customHeight="1"/>
    <row r="754" ht="24.0" customHeight="1"/>
    <row r="755" ht="24.0" customHeight="1"/>
    <row r="756" ht="24.0" customHeight="1"/>
    <row r="757" ht="24.0" customHeight="1"/>
    <row r="758" ht="24.0" customHeight="1"/>
    <row r="759" ht="24.0" customHeight="1"/>
    <row r="760" ht="24.0" customHeight="1"/>
    <row r="761" ht="24.0" customHeight="1"/>
    <row r="762" ht="24.0" customHeight="1"/>
    <row r="763" ht="24.0" customHeight="1"/>
    <row r="764" ht="24.0" customHeight="1"/>
    <row r="765" ht="24.0" customHeight="1"/>
    <row r="766" ht="24.0" customHeight="1"/>
    <row r="767" ht="24.0" customHeight="1"/>
    <row r="768" ht="24.0" customHeight="1"/>
    <row r="769" ht="24.0" customHeight="1"/>
    <row r="770" ht="24.0" customHeight="1"/>
    <row r="771" ht="24.0" customHeight="1"/>
    <row r="772" ht="24.0" customHeight="1"/>
    <row r="773" ht="24.0" customHeight="1"/>
    <row r="774" ht="24.0" customHeight="1"/>
    <row r="775" ht="24.0" customHeight="1"/>
    <row r="776" ht="24.0" customHeight="1"/>
    <row r="777" ht="24.0" customHeight="1"/>
    <row r="778" ht="24.0" customHeight="1"/>
    <row r="779" ht="24.0" customHeight="1"/>
    <row r="780" ht="24.0" customHeight="1"/>
    <row r="781" ht="24.0" customHeight="1"/>
    <row r="782" ht="24.0" customHeight="1"/>
    <row r="783" ht="24.0" customHeight="1"/>
    <row r="784" ht="24.0" customHeight="1"/>
    <row r="785" ht="24.0" customHeight="1"/>
    <row r="786" ht="24.0" customHeight="1"/>
    <row r="787" ht="24.0" customHeight="1"/>
    <row r="788" ht="24.0" customHeight="1"/>
    <row r="789" ht="24.0" customHeight="1"/>
    <row r="790" ht="24.0" customHeight="1"/>
    <row r="791" ht="24.0" customHeight="1"/>
    <row r="792" ht="24.0" customHeight="1"/>
    <row r="793" ht="24.0" customHeight="1"/>
    <row r="794" ht="24.0" customHeight="1"/>
    <row r="795" ht="24.0" customHeight="1"/>
    <row r="796" ht="24.0" customHeight="1"/>
    <row r="797" ht="24.0" customHeight="1"/>
    <row r="798" ht="24.0" customHeight="1"/>
    <row r="799" ht="24.0" customHeight="1"/>
    <row r="800" ht="24.0" customHeight="1"/>
    <row r="801" ht="24.0" customHeight="1"/>
    <row r="802" ht="24.0" customHeight="1"/>
    <row r="803" ht="24.0" customHeight="1"/>
    <row r="804" ht="24.0" customHeight="1"/>
    <row r="805" ht="24.0" customHeight="1"/>
    <row r="806" ht="24.0" customHeight="1"/>
    <row r="807" ht="24.0" customHeight="1"/>
    <row r="808" ht="24.0" customHeight="1"/>
    <row r="809" ht="24.0" customHeight="1"/>
    <row r="810" ht="24.0" customHeight="1"/>
    <row r="811" ht="24.0" customHeight="1"/>
    <row r="812" ht="24.0" customHeight="1"/>
    <row r="813" ht="24.0" customHeight="1"/>
    <row r="814" ht="24.0" customHeight="1"/>
    <row r="815" ht="24.0" customHeight="1"/>
    <row r="816" ht="24.0" customHeight="1"/>
    <row r="817" ht="24.0" customHeight="1"/>
    <row r="818" ht="24.0" customHeight="1"/>
    <row r="819" ht="24.0" customHeight="1"/>
    <row r="820" ht="24.0" customHeight="1"/>
    <row r="821" ht="24.0" customHeight="1"/>
    <row r="822" ht="24.0" customHeight="1"/>
    <row r="823" ht="24.0" customHeight="1"/>
    <row r="824" ht="24.0" customHeight="1"/>
    <row r="825" ht="24.0" customHeight="1"/>
    <row r="826" ht="24.0" customHeight="1"/>
    <row r="827" ht="24.0" customHeight="1"/>
    <row r="828" ht="24.0" customHeight="1"/>
    <row r="829" ht="24.0" customHeight="1"/>
    <row r="830" ht="24.0" customHeight="1"/>
    <row r="831" ht="24.0" customHeight="1"/>
    <row r="832" ht="24.0" customHeight="1"/>
    <row r="833" ht="24.0" customHeight="1"/>
    <row r="834" ht="24.0" customHeight="1"/>
    <row r="835" ht="24.0" customHeight="1"/>
    <row r="836" ht="24.0" customHeight="1"/>
    <row r="837" ht="24.0" customHeight="1"/>
    <row r="838" ht="24.0" customHeight="1"/>
    <row r="839" ht="24.0" customHeight="1"/>
    <row r="840" ht="24.0" customHeight="1"/>
    <row r="841" ht="24.0" customHeight="1"/>
    <row r="842" ht="24.0" customHeight="1"/>
    <row r="843" ht="24.0" customHeight="1"/>
    <row r="844" ht="24.0" customHeight="1"/>
    <row r="845" ht="24.0" customHeight="1"/>
    <row r="846" ht="24.0" customHeight="1"/>
    <row r="847" ht="24.0" customHeight="1"/>
    <row r="848" ht="24.0" customHeight="1"/>
    <row r="849" ht="24.0" customHeight="1"/>
    <row r="850" ht="24.0" customHeight="1"/>
    <row r="851" ht="24.0" customHeight="1"/>
    <row r="852" ht="24.0" customHeight="1"/>
    <row r="853" ht="24.0" customHeight="1"/>
    <row r="854" ht="24.0" customHeight="1"/>
    <row r="855" ht="24.0" customHeight="1"/>
    <row r="856" ht="24.0" customHeight="1"/>
    <row r="857" ht="24.0" customHeight="1"/>
    <row r="858" ht="24.0" customHeight="1"/>
    <row r="859" ht="24.0" customHeight="1"/>
    <row r="860" ht="24.0" customHeight="1"/>
    <row r="861" ht="24.0" customHeight="1"/>
    <row r="862" ht="24.0" customHeight="1"/>
    <row r="863" ht="24.0" customHeight="1"/>
    <row r="864" ht="24.0" customHeight="1"/>
    <row r="865" ht="24.0" customHeight="1"/>
    <row r="866" ht="24.0" customHeight="1"/>
    <row r="867" ht="24.0" customHeight="1"/>
    <row r="868" ht="24.0" customHeight="1"/>
    <row r="869" ht="24.0" customHeight="1"/>
    <row r="870" ht="24.0" customHeight="1"/>
    <row r="871" ht="24.0" customHeight="1"/>
    <row r="872" ht="24.0" customHeight="1"/>
    <row r="873" ht="24.0" customHeight="1"/>
    <row r="874" ht="24.0" customHeight="1"/>
    <row r="875" ht="24.0" customHeight="1"/>
    <row r="876" ht="24.0" customHeight="1"/>
    <row r="877" ht="24.0" customHeight="1"/>
    <row r="878" ht="24.0" customHeight="1"/>
    <row r="879" ht="24.0" customHeight="1"/>
    <row r="880" ht="24.0" customHeight="1"/>
    <row r="881" ht="24.0" customHeight="1"/>
    <row r="882" ht="24.0" customHeight="1"/>
    <row r="883" ht="24.0" customHeight="1"/>
    <row r="884" ht="24.0" customHeight="1"/>
    <row r="885" ht="24.0" customHeight="1"/>
    <row r="886" ht="24.0" customHeight="1"/>
    <row r="887" ht="24.0" customHeight="1"/>
    <row r="888" ht="24.0" customHeight="1"/>
    <row r="889" ht="24.0" customHeight="1"/>
    <row r="890" ht="24.0" customHeight="1"/>
    <row r="891" ht="24.0" customHeight="1"/>
    <row r="892" ht="24.0" customHeight="1"/>
    <row r="893" ht="24.0" customHeight="1"/>
    <row r="894" ht="24.0" customHeight="1"/>
    <row r="895" ht="24.0" customHeight="1"/>
    <row r="896" ht="24.0" customHeight="1"/>
    <row r="897" ht="24.0" customHeight="1"/>
    <row r="898" ht="24.0" customHeight="1"/>
    <row r="899" ht="24.0" customHeight="1"/>
    <row r="900" ht="24.0" customHeight="1"/>
    <row r="901" ht="24.0" customHeight="1"/>
    <row r="902" ht="24.0" customHeight="1"/>
    <row r="903" ht="24.0" customHeight="1"/>
    <row r="904" ht="24.0" customHeight="1"/>
    <row r="905" ht="24.0" customHeight="1"/>
    <row r="906" ht="24.0" customHeight="1"/>
    <row r="907" ht="24.0" customHeight="1"/>
    <row r="908" ht="24.0" customHeight="1"/>
    <row r="909" ht="24.0" customHeight="1"/>
    <row r="910" ht="24.0" customHeight="1"/>
    <row r="911" ht="24.0" customHeight="1"/>
    <row r="912" ht="24.0" customHeight="1"/>
    <row r="913" ht="24.0" customHeight="1"/>
    <row r="914" ht="24.0" customHeight="1"/>
    <row r="915" ht="24.0" customHeight="1"/>
    <row r="916" ht="24.0" customHeight="1"/>
    <row r="917" ht="24.0" customHeight="1"/>
    <row r="918" ht="24.0" customHeight="1"/>
    <row r="919" ht="24.0" customHeight="1"/>
    <row r="920" ht="24.0" customHeight="1"/>
    <row r="921" ht="24.0" customHeight="1"/>
    <row r="922" ht="24.0" customHeight="1"/>
    <row r="923" ht="24.0" customHeight="1"/>
    <row r="924" ht="24.0" customHeight="1"/>
    <row r="925" ht="24.0" customHeight="1"/>
    <row r="926" ht="24.0" customHeight="1"/>
    <row r="927" ht="24.0" customHeight="1"/>
    <row r="928" ht="24.0" customHeight="1"/>
    <row r="929" ht="24.0" customHeight="1"/>
    <row r="930" ht="24.0" customHeight="1"/>
    <row r="931" ht="24.0" customHeight="1"/>
    <row r="932" ht="24.0" customHeight="1"/>
    <row r="933" ht="24.0" customHeight="1"/>
    <row r="934" ht="24.0" customHeight="1"/>
    <row r="935" ht="24.0" customHeight="1"/>
    <row r="936" ht="24.0" customHeight="1"/>
    <row r="937" ht="24.0" customHeight="1"/>
    <row r="938" ht="24.0" customHeight="1"/>
    <row r="939" ht="24.0" customHeight="1"/>
    <row r="940" ht="24.0" customHeight="1"/>
    <row r="941" ht="24.0" customHeight="1"/>
    <row r="942" ht="24.0" customHeight="1"/>
    <row r="943" ht="24.0" customHeight="1"/>
    <row r="944" ht="24.0" customHeight="1"/>
    <row r="945" ht="24.0" customHeight="1"/>
    <row r="946" ht="24.0" customHeight="1"/>
    <row r="947" ht="24.0" customHeight="1"/>
    <row r="948" ht="24.0" customHeight="1"/>
    <row r="949" ht="24.0" customHeight="1"/>
    <row r="950" ht="24.0" customHeight="1"/>
    <row r="951" ht="24.0" customHeight="1"/>
    <row r="952" ht="24.0" customHeight="1"/>
    <row r="953" ht="24.0" customHeight="1"/>
    <row r="954" ht="24.0" customHeight="1"/>
    <row r="955" ht="24.0" customHeight="1"/>
    <row r="956" ht="24.0" customHeight="1"/>
    <row r="957" ht="24.0" customHeight="1"/>
    <row r="958" ht="24.0" customHeight="1"/>
    <row r="959" ht="24.0" customHeight="1"/>
    <row r="960" ht="24.0" customHeight="1"/>
    <row r="961" ht="24.0" customHeight="1"/>
    <row r="962" ht="24.0" customHeight="1"/>
    <row r="963" ht="24.0" customHeight="1"/>
    <row r="964" ht="24.0" customHeight="1"/>
    <row r="965" ht="24.0" customHeight="1"/>
    <row r="966" ht="24.0" customHeight="1"/>
    <row r="967" ht="24.0" customHeight="1"/>
    <row r="968" ht="24.0" customHeight="1"/>
    <row r="969" ht="24.0" customHeight="1"/>
    <row r="970" ht="24.0" customHeight="1"/>
    <row r="971" ht="24.0" customHeight="1"/>
    <row r="972" ht="24.0" customHeight="1"/>
    <row r="973" ht="24.0" customHeight="1"/>
    <row r="974" ht="24.0" customHeight="1"/>
    <row r="975" ht="24.0" customHeight="1"/>
    <row r="976" ht="24.0" customHeight="1"/>
    <row r="977" ht="24.0" customHeight="1"/>
    <row r="978" ht="24.0" customHeight="1"/>
    <row r="979" ht="24.0" customHeight="1"/>
    <row r="980" ht="24.0" customHeight="1"/>
    <row r="981" ht="24.0" customHeight="1"/>
    <row r="982" ht="24.0" customHeight="1"/>
    <row r="983" ht="24.0" customHeight="1"/>
    <row r="984" ht="24.0" customHeight="1"/>
    <row r="985" ht="24.0" customHeight="1"/>
    <row r="986" ht="24.0" customHeight="1"/>
    <row r="987" ht="24.0" customHeight="1"/>
    <row r="988" ht="24.0" customHeight="1"/>
    <row r="989" ht="24.0" customHeight="1"/>
    <row r="990" ht="24.0" customHeight="1"/>
    <row r="991" ht="24.0" customHeight="1"/>
    <row r="992" ht="24.0" customHeight="1"/>
    <row r="993" ht="24.0" customHeight="1"/>
    <row r="994" ht="24.0" customHeight="1"/>
    <row r="995" ht="24.0" customHeight="1"/>
    <row r="996" ht="24.0" customHeight="1"/>
    <row r="997" ht="24.0" customHeight="1"/>
    <row r="998" ht="24.0" customHeight="1"/>
    <row r="999" ht="24.0" customHeight="1"/>
    <row r="1000" ht="24.0" customHeight="1"/>
  </sheetData>
  <mergeCells count="28">
    <mergeCell ref="B1:F1"/>
    <mergeCell ref="B2:D2"/>
    <mergeCell ref="E2:F2"/>
    <mergeCell ref="B3:D3"/>
    <mergeCell ref="E3:F3"/>
    <mergeCell ref="B4:D4"/>
    <mergeCell ref="E4:F4"/>
    <mergeCell ref="B5:D5"/>
    <mergeCell ref="E5:F5"/>
    <mergeCell ref="B6:D6"/>
    <mergeCell ref="E6:F6"/>
    <mergeCell ref="B7:D7"/>
    <mergeCell ref="E7:F7"/>
    <mergeCell ref="E8:F8"/>
    <mergeCell ref="B12:F12"/>
    <mergeCell ref="B13:D13"/>
    <mergeCell ref="E13:F13"/>
    <mergeCell ref="B14:D14"/>
    <mergeCell ref="E14:F14"/>
    <mergeCell ref="B15:D15"/>
    <mergeCell ref="E15:F15"/>
    <mergeCell ref="B8:D8"/>
    <mergeCell ref="B9:D9"/>
    <mergeCell ref="E9:F9"/>
    <mergeCell ref="B10:D10"/>
    <mergeCell ref="E10:F10"/>
    <mergeCell ref="B11:D11"/>
    <mergeCell ref="E11:F11"/>
  </mergeCells>
  <conditionalFormatting sqref="E3">
    <cfRule type="expression" dxfId="0" priority="1">
      <formula>AND(ISNUMBER(E3),ROUND(E3,2)=INT(ROUND(E3,2)))</formula>
    </cfRule>
  </conditionalFormatting>
  <conditionalFormatting sqref="E3">
    <cfRule type="expression" dxfId="1" priority="2">
      <formula>AND(ISNUMBER(E3),ROUND(E3,2)&lt;&gt;INT(ROUND(E3,2)))</formula>
    </cfRule>
  </conditionalFormatting>
  <conditionalFormatting sqref="E4">
    <cfRule type="expression" dxfId="0" priority="3">
      <formula>AND(ISNUMBER(E4),ROUND(E4,2)=INT(ROUND(E4,2)))</formula>
    </cfRule>
  </conditionalFormatting>
  <conditionalFormatting sqref="E4">
    <cfRule type="expression" dxfId="1" priority="4">
      <formula>AND(ISNUMBER(E4),ROUND(E4,2)&lt;&gt;INT(ROUND(E4,2)))</formula>
    </cfRule>
  </conditionalFormatting>
  <conditionalFormatting sqref="E5">
    <cfRule type="expression" dxfId="0" priority="5">
      <formula>AND(ISNUMBER(E5),ROUND(E5,2)=INT(ROUND(E5,2)))</formula>
    </cfRule>
  </conditionalFormatting>
  <conditionalFormatting sqref="E5">
    <cfRule type="expression" dxfId="1" priority="6">
      <formula>AND(ISNUMBER(E5),ROUND(E5,2)&lt;&gt;INT(ROUND(E5,2)))</formula>
    </cfRule>
  </conditionalFormatting>
  <conditionalFormatting sqref="E6">
    <cfRule type="expression" dxfId="0" priority="7">
      <formula>AND(ISNUMBER(E6),ROUND(E6,2)=INT(ROUND(E6,2)))</formula>
    </cfRule>
  </conditionalFormatting>
  <conditionalFormatting sqref="E6">
    <cfRule type="expression" dxfId="1" priority="8">
      <formula>AND(ISNUMBER(E6),ROUND(E6,2)&lt;&gt;INT(ROUND(E6,2)))</formula>
    </cfRule>
  </conditionalFormatting>
  <conditionalFormatting sqref="E7">
    <cfRule type="expression" dxfId="0" priority="9">
      <formula>AND(ISNUMBER(E7),ROUND(E7,2)=INT(ROUND(E7,2)))</formula>
    </cfRule>
  </conditionalFormatting>
  <conditionalFormatting sqref="E7">
    <cfRule type="expression" dxfId="1" priority="10">
      <formula>AND(ISNUMBER(E7),ROUND(E7,2)&lt;&gt;INT(ROUND(E7,2)))</formula>
    </cfRule>
  </conditionalFormatting>
  <conditionalFormatting sqref="E8">
    <cfRule type="expression" dxfId="0" priority="11">
      <formula>AND(ISNUMBER(E8),ROUND(E8,2)=INT(ROUND(E8,2)))</formula>
    </cfRule>
  </conditionalFormatting>
  <conditionalFormatting sqref="E8">
    <cfRule type="expression" dxfId="1" priority="12">
      <formula>AND(ISNUMBER(E8),ROUND(E8,2)&lt;&gt;INT(ROUND(E8,2)))</formula>
    </cfRule>
  </conditionalFormatting>
  <conditionalFormatting sqref="E9">
    <cfRule type="expression" dxfId="0" priority="13">
      <formula>AND(ISNUMBER(E9),ROUND(E9,2)=INT(ROUND(E9,2)))</formula>
    </cfRule>
  </conditionalFormatting>
  <conditionalFormatting sqref="E9">
    <cfRule type="expression" dxfId="1" priority="14">
      <formula>AND(ISNUMBER(E9),ROUND(E9,2)&lt;&gt;INT(ROUND(E9,2)))</formula>
    </cfRule>
  </conditionalFormatting>
  <conditionalFormatting sqref="E10">
    <cfRule type="expression" dxfId="0" priority="15">
      <formula>AND(ISNUMBER(E10),ROUND(E10,2)=INT(ROUND(E10,2)))</formula>
    </cfRule>
  </conditionalFormatting>
  <conditionalFormatting sqref="E10">
    <cfRule type="expression" dxfId="1" priority="16">
      <formula>AND(ISNUMBER(E10),ROUND(E10,2)&lt;&gt;INT(ROUND(E10,2)))</formula>
    </cfRule>
  </conditionalFormatting>
  <conditionalFormatting sqref="E11">
    <cfRule type="expression" dxfId="0" priority="17">
      <formula>AND(ISNUMBER(E11),ROUND(E11,2)=INT(ROUND(E11,2)))</formula>
    </cfRule>
  </conditionalFormatting>
  <conditionalFormatting sqref="E11">
    <cfRule type="expression" dxfId="1" priority="18">
      <formula>AND(ISNUMBER(E11),ROUND(E11,2)&lt;&gt;INT(ROUND(E11,2)))</formula>
    </cfRule>
  </conditionalFormatting>
  <conditionalFormatting sqref="E13">
    <cfRule type="expression" dxfId="0" priority="19">
      <formula>AND(ISNUMBER(E13),ROUND(E13,2)=INT(ROUND(E13,2)))</formula>
    </cfRule>
  </conditionalFormatting>
  <conditionalFormatting sqref="E13">
    <cfRule type="expression" dxfId="1" priority="20">
      <formula>AND(ISNUMBER(E13),ROUND(E13,2)&lt;&gt;INT(ROUND(E13,2)))</formula>
    </cfRule>
  </conditionalFormatting>
  <conditionalFormatting sqref="E14">
    <cfRule type="expression" dxfId="0" priority="21">
      <formula>AND(ISNUMBER(E14),ROUND(E14,2)=INT(ROUND(E14,2)))</formula>
    </cfRule>
  </conditionalFormatting>
  <conditionalFormatting sqref="E14">
    <cfRule type="expression" dxfId="1" priority="22">
      <formula>AND(ISNUMBER(E14),ROUND(E14,2)&lt;&gt;INT(ROUND(E14,2)))</formula>
    </cfRule>
  </conditionalFormatting>
  <conditionalFormatting sqref="E15">
    <cfRule type="expression" dxfId="0" priority="23">
      <formula>AND(ISNUMBER(E15),ROUND(E15,2)=INT(ROUND(E15,2)))</formula>
    </cfRule>
  </conditionalFormatting>
  <conditionalFormatting sqref="E15">
    <cfRule type="expression" dxfId="1" priority="24">
      <formula>AND(ISNUMBER(E15),ROUND(E15,2)&lt;&gt;INT(ROUND(E15,2)))</formula>
    </cfRule>
  </conditionalFormatting>
  <printOptions/>
  <pageMargins bottom="0.75" footer="0.0" header="0.0" left="0.25" right="0.25" top="0.75"/>
  <pageSetup fitToHeight="0" paperSize="9" orientation="portrait"/>
  <headerFooter>
    <oddFooter>&amp;Cעמוד &amp;P</oddFooter>
  </headerFooter>
  <drawing r:id="rId1"/>
</worksheet>
</file>